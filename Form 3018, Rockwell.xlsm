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U\"/>
    </mc:Choice>
  </mc:AlternateContent>
  <xr:revisionPtr revIDLastSave="0" documentId="13_ncr:1_{67386F2A-21A4-4D3D-B5FE-1CAF76F6FFA4}" xr6:coauthVersionLast="47" xr6:coauthVersionMax="47" xr10:uidLastSave="{00000000-0000-0000-0000-000000000000}"/>
  <bookViews>
    <workbookView xWindow="4320" yWindow="2265" windowWidth="21600" windowHeight="11295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<sst xmlns="http://schemas.openxmlformats.org/spreadsheetml/2006/main" count="2549" uniqueCount="1156">
  <si>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</si>
  <si>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</si>
  <si>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</si>
  <si>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</si>
  <si>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</si>
  <si>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</si>
  <si>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</si>
  <si>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</si>
  <si>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</si>
  <si>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</si>
  <si>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</si>
  <si>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</si>
  <si>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</si>
  <si>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</si>
  <si>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</si>
  <si>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</si>
  <si>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</si>
  <si>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</si>
  <si>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</si>
  <si>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</si>
  <si>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</si>
  <si>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</si>
  <si>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</si>
  <si>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</si>
  <si>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</si>
  <si>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</si>
  <si>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</si>
  <si>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</si>
  <si>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</si>
  <si>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</si>
  <si>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</si>
  <si>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</si>
  <si>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</si>
  <si>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</si>
  <si>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</si>
  <si>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</si>
  <si>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</si>
  <si>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</si>
  <si>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</si>
  <si>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</si>
  <si>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</si>
  <si>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</si>
  <si>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</si>
  <si>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</si>
  <si>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</si>
  <si>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</si>
  <si>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</si>
  <si>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</si>
  <si>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</si>
  <si>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</si>
  <si>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</si>
  <si>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</si>
  <si>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</si>
  <si>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</si>
  <si>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</si>
  <si>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</si>
  <si>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</si>
  <si>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</si>
  <si>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</si>
  <si>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</si>
  <si>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</si>
  <si>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</si>
  <si>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</si>
  <si>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</si>
  <si>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</si>
  <si>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</si>
  <si>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</si>
  <si>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</si>
  <si>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</si>
  <si>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</si>
  <si>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</si>
  <si>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</si>
  <si>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</si>
  <si>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</si>
  <si>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</si>
  <si>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</si>
  <si>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</si>
  <si>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</si>
  <si>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</si>
  <si>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</si>
  <si>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</si>
  <si>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</si>
  <si>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</si>
  <si>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</si>
  <si>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</si>
  <si>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</si>
  <si>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</si>
  <si>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</si>
  <si>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</si>
  <si>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</si>
  <si>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</si>
  <si>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</si>
  <si>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</si>
  <si>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</si>
  <si>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</si>
  <si>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</si>
  <si>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</si>
  <si>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</si>
  <si>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</si>
  <si>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</si>
  <si>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</si>
  <si>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</si>
  <si>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</si>
  <si>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</si>
  <si>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</si>
  <si>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</si>
  <si>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</si>
  <si>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</si>
  <si>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</si>
  <si>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</si>
  <si>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</si>
  <si>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</si>
  <si>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</si>
  <si>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</si>
  <si>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</si>
  <si>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</si>
  <si>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</si>
  <si>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</si>
  <si>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</si>
  <si>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</si>
  <si>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</si>
  <si>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</si>
  <si>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</si>
  <si>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</si>
  <si>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</si>
  <si>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</si>
  <si>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</si>
  <si>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</si>
  <si>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</si>
  <si>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</si>
  <si>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</si>
  <si>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</si>
  <si>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</si>
  <si>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</si>
  <si>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</si>
  <si>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</si>
  <si>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</si>
  <si>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</si>
  <si>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</si>
  <si>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</si>
  <si>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</si>
  <si>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</si>
  <si>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</si>
  <si>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</si>
  <si>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</si>
  <si>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</si>
  <si>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</si>
  <si>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</si>
  <si>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</si>
  <si>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</si>
  <si>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</si>
  <si>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</si>
  <si>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</si>
  <si>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</si>
  <si>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</si>
  <si>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</si>
  <si>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</si>
  <si>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</si>
  <si>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</si>
  <si>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</si>
  <si>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</si>
  <si>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</si>
  <si>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</si>
  <si>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</si>
  <si>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</si>
  <si>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</si>
  <si>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</si>
  <si>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</si>
  <si>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</si>
  <si>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</si>
  <si>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</si>
  <si>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</si>
  <si>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</si>
  <si>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</si>
  <si>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</si>
  <si>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</si>
  <si>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</si>
  <si>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</si>
  <si>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</si>
  <si>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</si>
  <si>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</si>
  <si>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</si>
  <si>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</si>
  <si>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</si>
  <si>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</si>
  <si>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</si>
  <si>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</si>
  <si>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</si>
  <si>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</si>
  <si>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</si>
  <si>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</si>
  <si>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</si>
  <si>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</si>
  <si>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</si>
  <si>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</si>
  <si>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</si>
  <si>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</si>
  <si>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</si>
  <si>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</si>
  <si>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</si>
  <si>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</si>
  <si>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</si>
  <si>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</si>
  <si>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</si>
  <si>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</si>
  <si>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</si>
  <si>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</si>
  <si>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</si>
  <si>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</si>
  <si>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</si>
  <si>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</si>
  <si>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</si>
  <si>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</si>
  <si>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</si>
  <si>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</si>
  <si>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</si>
  <si>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</si>
  <si>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</si>
  <si>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</si>
  <si>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</si>
  <si>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</si>
  <si>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</si>
  <si>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</si>
  <si>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</si>
  <si>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</si>
  <si>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</si>
  <si>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</si>
  <si>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</si>
  <si>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</si>
  <si>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</si>
  <si>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</si>
  <si>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</si>
  <si>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</si>
  <si>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</si>
  <si>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</si>
  <si>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</si>
  <si>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</si>
  <si>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</si>
  <si>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</si>
  <si>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</si>
  <si>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</si>
  <si>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</si>
  <si>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</si>
  <si>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</si>
  <si>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</si>
  <si>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</si>
  <si>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</si>
  <si>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</si>
  <si>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</si>
  <si>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</si>
  <si>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</si>
  <si>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</si>
  <si>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</si>
  <si>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</si>
  <si>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</si>
  <si>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</si>
  <si>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</si>
  <si>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</si>
  <si>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</si>
  <si>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</si>
  <si>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</si>
  <si>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</si>
  <si>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</si>
  <si>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</si>
  <si>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</si>
  <si>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</si>
  <si>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</si>
  <si>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</si>
  <si>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</si>
  <si>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</si>
  <si>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</si>
  <si>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</si>
  <si>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</si>
  <si>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</si>
  <si>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</si>
  <si>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</si>
  <si>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</si>
  <si>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</si>
  <si>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</si>
  <si>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</si>
  <si>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</si>
  <si>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</si>
  <si>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</si>
  <si>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</si>
  <si>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</si>
  <si>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</si>
  <si>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</si>
  <si>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</si>
  <si>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</si>
  <si>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</si>
  <si>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</si>
  <si>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</si>
  <si>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</si>
  <si>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</si>
  <si>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</si>
  <si>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</si>
  <si>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</si>
  <si>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</si>
  <si>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</si>
  <si>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</si>
  <si>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</si>
  <si>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</si>
  <si>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</si>
  <si>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</si>
  <si>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</si>
  <si>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</si>
  <si>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</si>
  <si>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</si>
  <si>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</si>
  <si>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</si>
  <si>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</si>
  <si>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</si>
  <si>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</si>
  <si>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</si>
  <si>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</si>
  <si>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</si>
  <si>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</si>
  <si>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</si>
  <si>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</si>
  <si>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</si>
  <si>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</si>
  <si>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</si>
  <si>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</si>
  <si>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</si>
  <si>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</si>
  <si>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</si>
  <si>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</si>
  <si>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</si>
  <si>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</si>
  <si>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</si>
  <si>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</si>
  <si>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</si>
  <si>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</si>
  <si>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</si>
  <si>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</si>
  <si>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</si>
  <si>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</si>
  <si>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</si>
  <si>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</si>
  <si>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</si>
  <si>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</si>
  <si>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</si>
  <si>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</si>
  <si>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</si>
  <si>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</si>
  <si>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</si>
  <si>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</si>
  <si>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</si>
  <si>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</si>
  <si>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</si>
  <si>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</si>
  <si>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</si>
  <si>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</si>
  <si>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</si>
  <si>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</si>
  <si>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</si>
  <si>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</si>
  <si>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</si>
  <si>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</si>
  <si>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</si>
  <si>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</si>
  <si>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</si>
  <si>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</si>
  <si>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</si>
  <si>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</si>
  <si>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</si>
  <si>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</si>
  <si>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</si>
  <si>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</si>
  <si>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</si>
  <si>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</si>
  <si>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</si>
  <si>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</si>
  <si>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</si>
  <si>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</si>
  <si>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</si>
  <si>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</si>
  <si>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</si>
  <si>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</si>
  <si>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</si>
  <si>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</si>
  <si>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</si>
  <si>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</si>
  <si>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</si>
  <si>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</si>
  <si>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</si>
  <si>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</si>
  <si>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</si>
  <si>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</si>
  <si>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</si>
  <si>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</si>
  <si>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</si>
  <si>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</si>
  <si>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</si>
  <si>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</si>
  <si>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</si>
  <si>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</si>
  <si>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</si>
  <si>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</si>
  <si>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</si>
  <si>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</si>
  <si>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</si>
  <si>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</si>
  <si>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</si>
  <si>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</si>
  <si>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</si>
  <si>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</si>
  <si>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</si>
  <si>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</si>
  <si>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</si>
  <si>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</si>
  <si>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</si>
  <si>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</si>
  <si>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</si>
  <si>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</si>
  <si>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</si>
  <si>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</si>
  <si>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</si>
  <si>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</si>
  <si>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</si>
  <si>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</si>
  <si>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</si>
  <si>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</si>
  <si>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</si>
  <si>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</si>
  <si>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</si>
  <si>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</si>
  <si>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</si>
  <si>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</si>
  <si>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</si>
  <si>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</si>
  <si>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</si>
  <si>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</si>
  <si>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</si>
  <si>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</si>
  <si>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</si>
  <si>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</si>
  <si>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</si>
  <si>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</si>
  <si>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</si>
  <si>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</si>
  <si>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</si>
  <si>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</si>
  <si>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</si>
  <si>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</si>
  <si>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</si>
  <si>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</si>
  <si>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</si>
  <si>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</si>
  <si>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</si>
  <si>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</si>
  <si>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</si>
  <si>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</si>
  <si>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</si>
  <si>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</si>
  <si>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</si>
  <si>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</si>
  <si>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</si>
  <si>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</si>
  <si>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</si>
  <si>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</si>
  <si>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</si>
  <si>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</si>
  <si>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</si>
  <si>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</si>
  <si>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</si>
  <si>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</si>
  <si>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</si>
  <si>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</si>
  <si>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</si>
  <si>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</si>
  <si>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</si>
  <si>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</si>
  <si>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</si>
  <si>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</si>
  <si>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</si>
  <si>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</si>
  <si>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</si>
  <si>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</si>
  <si>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</si>
  <si>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</si>
  <si>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</si>
  <si>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</si>
  <si>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</si>
  <si>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</si>
  <si>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</si>
  <si>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</si>
  <si>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</si>
  <si>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</si>
  <si>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</si>
  <si>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</si>
  <si>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</si>
  <si>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</si>
  <si>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</si>
  <si>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</si>
  <si>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</si>
  <si>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</si>
  <si>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</si>
  <si>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</si>
  <si>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</si>
  <si>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</si>
  <si>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</si>
  <si>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</si>
  <si>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</si>
  <si>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</si>
  <si>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</si>
  <si>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</si>
  <si>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</si>
  <si>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</si>
  <si>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</si>
  <si>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</si>
  <si>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</si>
  <si>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</si>
  <si>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</si>
  <si>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</si>
  <si>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</si>
  <si>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</si>
  <si>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</si>
  <si>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</si>
  <si>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</si>
  <si>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</si>
  <si>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</si>
  <si>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</si>
  <si>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</si>
  <si>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</si>
  <si>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</si>
  <si>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</si>
  <si>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</si>
  <si>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</si>
  <si>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</si>
  <si>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</si>
  <si>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</si>
  <si>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</si>
  <si>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</si>
  <si>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</si>
  <si>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</si>
  <si>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</si>
  <si>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</si>
  <si>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</si>
  <si>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</si>
  <si>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</si>
  <si>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</si>
  <si>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</si>
  <si>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</si>
  <si>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</si>
  <si>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</si>
  <si>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</si>
  <si>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</si>
  <si>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</si>
  <si>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</si>
  <si>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</si>
  <si>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</si>
  <si>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</si>
  <si>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</si>
  <si>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</si>
  <si>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</si>
  <si>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</si>
  <si>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</si>
  <si>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</si>
  <si>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</si>
  <si>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</si>
  <si>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</si>
  <si>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</si>
  <si>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</si>
  <si>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</si>
  <si>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</si>
  <si>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</si>
  <si>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</si>
  <si>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</si>
  <si>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</si>
  <si>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</si>
  <si>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</si>
  <si>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</si>
  <si>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</si>
  <si>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</si>
  <si>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</si>
  <si>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</si>
  <si>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</si>
  <si>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</si>
  <si>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</si>
  <si>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</si>
  <si>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</si>
  <si>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</si>
  <si>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</si>
  <si>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</si>
  <si>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</si>
  <si>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</si>
  <si>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</si>
  <si>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</si>
  <si>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</si>
  <si>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</si>
  <si>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</si>
  <si>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</si>
  <si>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</si>
  <si>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</si>
  <si>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</si>
  <si>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</si>
  <si>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</si>
  <si>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</si>
  <si>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</si>
  <si>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</si>
  <si>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</si>
  <si>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</si>
  <si>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</si>
  <si>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</si>
  <si>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</si>
  <si>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</si>
  <si>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</si>
  <si>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</si>
  <si>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</si>
  <si>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</si>
  <si>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</si>
  <si>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</si>
  <si>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</si>
  <si>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</si>
  <si>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</si>
  <si>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</si>
  <si>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</si>
  <si>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</si>
  <si>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</si>
  <si>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</si>
  <si>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</si>
  <si>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</si>
  <si>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</si>
  <si>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</si>
  <si>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</si>
  <si>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</si>
  <si>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</si>
  <si>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</si>
  <si>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</si>
  <si>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</si>
  <si>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</si>
  <si>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</si>
  <si>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</si>
  <si>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</si>
  <si>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</si>
  <si>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</si>
  <si>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</si>
  <si>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</si>
  <si>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</si>
  <si>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</si>
  <si>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</si>
  <si>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</si>
  <si>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</si>
  <si>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</si>
  <si>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</si>
  <si>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</si>
  <si>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</si>
  <si>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</si>
  <si>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</si>
  <si>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</si>
  <si>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</si>
  <si>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</si>
  <si>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</si>
  <si>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</si>
  <si>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</si>
  <si>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</si>
  <si>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</si>
  <si>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</si>
  <si>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</si>
  <si>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</si>
  <si>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</si>
  <si>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</si>
  <si>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</si>
  <si>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</si>
  <si>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</si>
  <si>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</si>
  <si>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</si>
  <si>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</si>
  <si>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</si>
  <si>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</si>
  <si>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</si>
  <si>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</si>
  <si>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</si>
  <si>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</si>
  <si>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</si>
  <si>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</si>
  <si>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</si>
  <si>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</si>
  <si>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</si>
  <si>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</si>
  <si>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</si>
  <si>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</si>
  <si>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</si>
  <si>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</si>
  <si>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</si>
  <si>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</si>
  <si>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</si>
  <si>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</si>
  <si>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</si>
  <si>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</si>
  <si>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</si>
  <si>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</si>
  <si>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</si>
  <si>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</si>
  <si>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</si>
  <si>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</si>
  <si>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</si>
  <si>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</si>
  <si>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</si>
  <si>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</si>
  <si>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</si>
  <si>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</si>
  <si>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</si>
  <si>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</si>
  <si>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</si>
  <si>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</si>
  <si>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</si>
  <si>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</si>
  <si>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</si>
  <si>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</si>
  <si>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</si>
  <si>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</si>
  <si>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</si>
  <si>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</si>
  <si>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</si>
  <si>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</si>
  <si>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</si>
  <si>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</si>
  <si>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</si>
  <si>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</si>
  <si>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</si>
  <si>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</si>
  <si>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</si>
  <si>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</si>
  <si>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</si>
  <si>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</si>
  <si>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</si>
  <si>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</si>
  <si>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</si>
  <si>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</si>
  <si>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</si>
  <si>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</si>
  <si>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</si>
  <si>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</si>
  <si>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</si>
  <si>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</si>
  <si>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</si>
  <si>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</si>
  <si>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</si>
  <si>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</si>
  <si>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</si>
  <si>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</si>
  <si>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</si>
  <si>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</si>
  <si>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</si>
  <si>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</si>
  <si>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</si>
  <si>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</si>
  <si>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</si>
  <si>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</si>
  <si>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</si>
  <si>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</si>
  <si>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</si>
  <si>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</si>
  <si>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</si>
  <si>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</si>
  <si>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</si>
  <si>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</si>
  <si>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</si>
  <si>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</si>
  <si>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</si>
  <si>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</si>
  <si>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</si>
  <si>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</si>
  <si>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</si>
  <si>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</si>
  <si>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</si>
  <si>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</si>
  <si>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</si>
  <si>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</si>
  <si>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</si>
  <si>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</si>
  <si>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</si>
  <si>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</si>
  <si>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</si>
  <si>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</si>
  <si>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</si>
  <si>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</si>
  <si>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</si>
  <si>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</si>
  <si>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</si>
  <si>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</si>
  <si>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</si>
  <si>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</si>
  <si>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</si>
  <si>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</si>
  <si>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</si>
  <si>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</si>
  <si>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</si>
  <si>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</si>
  <si>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</si>
  <si>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</si>
  <si>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</si>
  <si>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</si>
  <si>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</si>
  <si>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</si>
  <si>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</si>
  <si>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</si>
  <si>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</si>
  <si>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</si>
  <si>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</si>
  <si>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</si>
  <si>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</si>
  <si>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</si>
  <si>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</si>
  <si>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</si>
  <si>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</si>
  <si>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</si>
  <si>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</si>
  <si>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</si>
  <si>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</si>
  <si>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</si>
  <si>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</si>
  <si>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</si>
  <si>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</si>
  <si>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</si>
  <si>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</si>
  <si>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</si>
  <si>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</si>
  <si>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</si>
  <si>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</si>
  <si>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</si>
  <si>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</si>
  <si>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</si>
  <si>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</si>
  <si>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</si>
  <si>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</si>
  <si>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</si>
  <si>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</si>
  <si>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</si>
  <si>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</si>
  <si>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</si>
  <si>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</si>
  <si>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</si>
  <si>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</si>
  <si>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</si>
  <si>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</si>
  <si>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</si>
  <si>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</si>
  <si>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</si>
  <si>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</si>
  <si>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</si>
  <si>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</si>
  <si>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</si>
  <si>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</si>
  <si>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</si>
  <si>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</si>
  <si>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</si>
  <si>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</si>
  <si>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</si>
  <si>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</si>
  <si>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</si>
  <si>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</si>
  <si>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</si>
  <si>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</si>
  <si>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</si>
  <si>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</si>
  <si>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</si>
  <si>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</si>
  <si>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</si>
  <si>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</si>
  <si>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</si>
  <si>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</si>
  <si>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</si>
  <si>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</si>
  <si>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</si>
  <si>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</si>
  <si>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</si>
  <si>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</si>
  <si>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</si>
  <si>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</si>
  <si>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</si>
  <si>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</si>
  <si>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</si>
  <si>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</si>
  <si>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</si>
  <si>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</si>
  <si>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</si>
  <si>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</si>
  <si>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</si>
  <si>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</si>
  <si>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</si>
  <si>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</si>
  <si>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</si>
  <si>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</si>
  <si>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</si>
  <si>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</si>
  <si>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</si>
  <si>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</si>
  <si>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</si>
  <si>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</si>
  <si>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</si>
  <si>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</si>
  <si>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</si>
  <si>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</si>
  <si>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</si>
  <si>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</si>
  <si>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</si>
  <si>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</si>
  <si>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</si>
  <si>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</si>
  <si>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</si>
  <si>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</si>
  <si>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</si>
  <si>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</si>
  <si>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</si>
  <si>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</si>
  <si>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</si>
  <si>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</si>
  <si>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</si>
  <si>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</si>
  <si>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</si>
  <si>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</si>
  <si>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</si>
  <si>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</si>
  <si>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</si>
  <si>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</si>
  <si>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</si>
  <si>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</si>
  <si>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</si>
  <si>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</si>
  <si>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</si>
  <si>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</si>
  <si>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</si>
  <si>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</si>
  <si>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</si>
  <si>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</si>
  <si>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</si>
  <si>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</si>
  <si>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</si>
  <si>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</si>
  <si>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</si>
  <si>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</si>
  <si>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</si>
  <si>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</si>
  <si>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</si>
  <si>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</si>
  <si>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</si>
  <si>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</si>
  <si>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</si>
  <si>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</si>
  <si>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</si>
  <si>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</si>
  <si>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</si>
  <si>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</si>
  <si>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</si>
  <si>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</si>
  <si>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</si>
  <si>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</si>
  <si>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</si>
  <si>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</si>
  <si>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</si>
  <si>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</si>
  <si>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</si>
  <si>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</si>
  <si>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</si>
  <si>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</si>
  <si>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</si>
  <si>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</si>
  <si>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</si>
  <si>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</si>
  <si>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</si>
  <si>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</si>
  <si>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</si>
  <si>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</si>
  <si>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</si>
  <si>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</si>
  <si>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</si>
  <si>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</si>
  <si>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</si>
  <si>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</si>
  <si>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</si>
  <si>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</si>
  <si>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</si>
  <si>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</si>
  <si>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</si>
  <si>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</si>
  <si>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</si>
  <si>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</si>
  <si>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</si>
  <si>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</si>
  <si>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</si>
  <si>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</si>
  <si>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</si>
  <si>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</si>
  <si>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</si>
  <si>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</si>
  <si>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</si>
  <si>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</si>
  <si>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</si>
  <si>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</si>
  <si>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</si>
  <si>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</si>
  <si>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</si>
  <si>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</si>
  <si>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</si>
  <si>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</si>
  <si>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</si>
  <si>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</si>
  <si>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</si>
  <si>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</si>
  <si>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</si>
  <si>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</si>
  <si>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</si>
  <si>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</si>
  <si>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</si>
  <si>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</si>
  <si>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</si>
  <si>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</si>
  <si>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</si>
  <si>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</si>
  <si>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</si>
  <si>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</si>
  <si>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</si>
  <si>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</si>
  <si>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</si>
  <si>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</si>
  <si>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</si>
  <si>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</si>
  <si>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</si>
  <si>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</si>
  <si>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</si>
  <si>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</si>
  <si>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</si>
  <si>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</si>
  <si>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</si>
  <si>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</si>
  <si>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</si>
  <si>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</si>
  <si>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</si>
  <si>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</si>
  <si>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</si>
  <si>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</si>
  <si>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</si>
  <si>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</si>
  <si>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</si>
  <si>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</si>
  <si>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</si>
  <si>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</si>
  <si>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</si>
  <si>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</si>
  <si>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</si>
  <si>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</si>
  <si>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</si>
  <si>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</si>
  <si>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</si>
  <si>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</si>
  <si>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</si>
  <si>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</si>
  <si>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</si>
  <si>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</si>
  <si>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</si>
  <si>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</si>
  <si>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</si>
  <si>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</si>
  <si>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</si>
  <si>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</si>
  <si>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</si>
  <si>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</si>
  <si>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</si>
  <si>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</si>
  <si>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</si>
  <si>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</si>
  <si>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</si>
  <si>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</si>
  <si>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</si>
  <si>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</si>
  <si>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</si>
  <si>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</si>
  <si>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</si>
  <si>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</si>
  <si>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</si>
  <si>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</si>
  <si>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</si>
  <si>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</si>
  <si>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</si>
  <si>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</si>
  <si>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</si>
  <si>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</si>
  <si>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</si>
  <si>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</si>
  <si>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</si>
  <si>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</si>
  <si>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</si>
  <si>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</si>
  <si>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</si>
  <si>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</si>
  <si>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</si>
  <si>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</si>
  <si>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</si>
  <si>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</si>
  <si>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</si>
  <si>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</si>
  <si>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</si>
  <si>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</si>
  <si>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</si>
  <si>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</si>
  <si>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</si>
  <si>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</si>
  <si>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</si>
  <si>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</si>
  <si>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</si>
  <si>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</si>
  <si>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</si>
  <si>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</si>
  <si>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</si>
  <si>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</si>
  <si>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</si>
  <si>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</si>
  <si>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</si>
  <si>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</si>
  <si>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</si>
  <si>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</si>
  <si>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</si>
  <si>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</si>
  <si>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</si>
  <si>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</si>
  <si>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</si>
  <si>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</si>
  <si>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</si>
  <si>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</si>
  <si>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</si>
  <si>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</si>
  <si>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</si>
  <si>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</si>
  <si>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</si>
  <si>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</si>
  <si>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</si>
  <si>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</si>
  <si>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</si>
  <si>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</si>
  <si>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</si>
  <si>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</si>
  <si>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</si>
  <si>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</si>
  <si>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</si>
  <si>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</si>
  <si>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</si>
  <si>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</si>
  <si>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</si>
  <si>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</si>
  <si>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</si>
  <si>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</si>
  <si>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</si>
  <si>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</si>
  <si>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</si>
  <si>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</si>
  <si>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</si>
  <si>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</si>
  <si>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</si>
  <si>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</si>
  <si>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</si>
  <si>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</si>
  <si>
    <t>Expanded regex (Worksheet!A1) to allow "revisions" in order number (Worksheet!D3)</t>
  </si>
  <si>
    <t>Added uncertainties for HRMW.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</si>
</sst>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F22" sqref="F22"/>
    </sheetView>
  </sheetViews>
  <sheetFormatPr defaultRowHeight="15" x14ac:dyDescent="0.2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98"/>
      <c r="B1" s="130" t="s">
        <v>0</v>
      </c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26" t="s">
        <v>1</v>
      </c>
      <c r="Q1" s="126"/>
      <c r="R1" s="126"/>
      <c r="S1" s="126"/>
      <c r="W1" t="s">
        <v>2</v>
      </c>
    </row>
    <row r="2" spans="1:32" ht="26.25" x14ac:dyDescent="0.4">
      <c r="A2" s="79"/>
      <c r="B2" s="131" t="s">
        <v>3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140"/>
      <c r="E3" s="140"/>
      <c r="F3" s="91" t="s">
        <v>8</v>
      </c>
      <c r="G3" s="143"/>
      <c r="H3" s="143"/>
      <c r="K3" s="4" t="s">
        <v>9</v>
      </c>
      <c r="L3" s="117" t="s">
        <v>10</v>
      </c>
      <c r="N3" s="132"/>
      <c r="O3" s="132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141"/>
      <c r="E4" s="141"/>
      <c r="F4" s="90" t="s">
        <v>14</v>
      </c>
      <c r="G4" s="143"/>
      <c r="H4" s="143"/>
      <c r="K4" s="92" t="str">
        <f>IFERROR(VLOOKUP($D$4,Table1[],2,FALSE),"")</f>
        <v/>
      </c>
      <c r="L4" s="19"/>
      <c r="N4" s="133"/>
      <c r="O4" s="133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 x14ac:dyDescent="0.25">
      <c r="C5" s="4" t="s">
        <v>17</v>
      </c>
      <c r="D5" s="138"/>
      <c r="E5" s="138"/>
      <c r="F5" s="90" t="s">
        <v>18</v>
      </c>
      <c r="G5" s="143"/>
      <c r="H5" s="143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142"/>
      <c r="E6" s="142"/>
      <c r="F6" s="90" t="s">
        <v>23</v>
      </c>
      <c r="G6" s="143"/>
      <c r="H6" s="143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142"/>
      <c r="E7" s="142"/>
      <c r="F7" s="4" t="s">
        <v>29</v>
      </c>
      <c r="G7" s="143"/>
      <c r="H7" s="143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137"/>
      <c r="E8" s="137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138"/>
      <c r="E9" s="138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 x14ac:dyDescent="0.25">
      <c r="B10" s="122" t="s">
        <v>41</v>
      </c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22" t="s">
        <v>41</v>
      </c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23" t="s">
        <v>52</v>
      </c>
      <c r="C16" s="123"/>
      <c r="D16" s="123" t="s">
        <v>53</v>
      </c>
      <c r="E16" s="123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20"/>
      <c r="T17" s="12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1" t="str">
        <f>IF(F$14="","",F$14)</f>
        <v/>
      </c>
      <c r="C18" s="62"/>
      <c r="D18" s="124"/>
      <c r="E18" s="125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1" t="str">
        <f>IF(F$14="","",F$14)</f>
        <v/>
      </c>
      <c r="C19" s="62"/>
      <c r="D19" s="124"/>
      <c r="E19" s="125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1" t="str">
        <f>IF(F$14="","",F$14)</f>
        <v/>
      </c>
      <c r="C20" s="62"/>
      <c r="D20" s="124"/>
      <c r="E20" s="125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 x14ac:dyDescent="0.25">
      <c r="A21" s="99"/>
      <c r="B21" s="112"/>
      <c r="C21" s="100"/>
      <c r="D21" s="121"/>
      <c r="E21" s="12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1" t="str">
        <f>IF(G$14="","",G$14)</f>
        <v/>
      </c>
      <c r="C22" s="62"/>
      <c r="D22" s="119"/>
      <c r="E22" s="119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1" t="str">
        <f>IF(G$14="","",G$14)</f>
        <v/>
      </c>
      <c r="C23" s="62"/>
      <c r="D23" s="119"/>
      <c r="E23" s="119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1" t="str">
        <f>IF(G$14="","",G$14)</f>
        <v/>
      </c>
      <c r="C24" s="62"/>
      <c r="D24" s="119"/>
      <c r="E24" s="119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 x14ac:dyDescent="0.25">
      <c r="A25" s="4"/>
      <c r="B25" s="113"/>
      <c r="C25" s="100"/>
      <c r="D25" s="121"/>
      <c r="E25" s="12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1" t="str">
        <f>IF(H$14="","",H$14)</f>
        <v/>
      </c>
      <c r="C26" s="62"/>
      <c r="D26" s="119"/>
      <c r="E26" s="119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1" t="str">
        <f>IF(H$14="","",H$14)</f>
        <v/>
      </c>
      <c r="C27" s="62"/>
      <c r="D27" s="119"/>
      <c r="E27" s="119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1" t="str">
        <f>IF(H$14="","",H$14)</f>
        <v/>
      </c>
      <c r="C28" s="62"/>
      <c r="D28" s="119"/>
      <c r="E28" s="119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 x14ac:dyDescent="0.25">
      <c r="A29" s="4"/>
      <c r="B29" s="113"/>
      <c r="C29" s="100"/>
      <c r="D29" s="121"/>
      <c r="E29" s="12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1" t="str">
        <f>IF(I$14="","",I$14)</f>
        <v/>
      </c>
      <c r="C30" s="62"/>
      <c r="D30" s="119"/>
      <c r="E30" s="119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1" t="str">
        <f>IF(I$14="","",I$14)</f>
        <v/>
      </c>
      <c r="C31" s="62"/>
      <c r="D31" s="119"/>
      <c r="E31" s="119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1" t="str">
        <f>IF(I$14="","",I$14)</f>
        <v/>
      </c>
      <c r="C32" s="62"/>
      <c r="D32" s="119"/>
      <c r="E32" s="119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 x14ac:dyDescent="0.25">
      <c r="A33" s="4"/>
      <c r="B33" s="113"/>
      <c r="C33" s="100"/>
      <c r="D33" s="121"/>
      <c r="E33" s="12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1" t="str">
        <f>IF(J$14="","",J$14)</f>
        <v/>
      </c>
      <c r="C34" s="62"/>
      <c r="D34" s="119"/>
      <c r="E34" s="119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1" t="str">
        <f>IF(J$14="","",J$14)</f>
        <v/>
      </c>
      <c r="C35" s="62"/>
      <c r="D35" s="119"/>
      <c r="E35" s="119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1" t="str">
        <f>IF(J$14="","",J$14)</f>
        <v/>
      </c>
      <c r="C36" s="62"/>
      <c r="D36" s="119"/>
      <c r="E36" s="119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 x14ac:dyDescent="0.25">
      <c r="A37" s="4"/>
      <c r="B37" s="113"/>
      <c r="C37" s="100"/>
      <c r="D37" s="121"/>
      <c r="E37" s="12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1" t="str">
        <f>IF(K$14="","",K$14)</f>
        <v/>
      </c>
      <c r="C38" s="62"/>
      <c r="D38" s="119"/>
      <c r="E38" s="119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1" t="str">
        <f>IF(K$14="","",K$14)</f>
        <v/>
      </c>
      <c r="C39" s="62"/>
      <c r="D39" s="119"/>
      <c r="E39" s="119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1" t="str">
        <f>IF(K$14="","",K$14)</f>
        <v/>
      </c>
      <c r="C40" s="62"/>
      <c r="D40" s="119"/>
      <c r="E40" s="119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 x14ac:dyDescent="0.25">
      <c r="A41" s="4"/>
      <c r="B41" s="113"/>
      <c r="C41" s="100"/>
      <c r="D41" s="121"/>
      <c r="E41" s="12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1" t="str">
        <f>IF(L$14="","",L$14)</f>
        <v/>
      </c>
      <c r="C42" s="62"/>
      <c r="D42" s="119"/>
      <c r="E42" s="119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1" t="str">
        <f>IF(L$14="","",L$14)</f>
        <v/>
      </c>
      <c r="C43" s="62"/>
      <c r="D43" s="119"/>
      <c r="E43" s="119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1" t="str">
        <f>IF(L$14="","",L$14)</f>
        <v/>
      </c>
      <c r="C44" s="62"/>
      <c r="D44" s="119"/>
      <c r="E44" s="119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 x14ac:dyDescent="0.25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 x14ac:dyDescent="0.25">
      <c r="A46" t="s">
        <v>88</v>
      </c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9"/>
      <c r="N46" t="s">
        <v>89</v>
      </c>
      <c r="O46" s="139" t="str">
        <f>IFERROR(VLOOKUP(B46,DropDowns!H13:I15,2,FALSE),"")</f>
        <v/>
      </c>
      <c r="P46" s="139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27"/>
      <c r="C47" s="128"/>
      <c r="D47" s="128"/>
      <c r="E47" s="128"/>
      <c r="F47" s="128"/>
      <c r="G47" s="128"/>
      <c r="H47" s="128"/>
      <c r="I47" s="128"/>
      <c r="J47" s="128"/>
      <c r="K47" s="128"/>
      <c r="L47" s="129"/>
      <c r="N47" t="s">
        <v>91</v>
      </c>
      <c r="O47" s="139" t="str">
        <f>IFERROR(VLOOKUP(B47,DropDowns!H3:I8,2,FALSE),"")</f>
        <v/>
      </c>
      <c r="P47" s="139"/>
    </row>
    <row r="48" spans="1:39" x14ac:dyDescent="0.25">
      <c r="B48" s="80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algorithmName="SHA-512" hashValue="0A+yO6Taqm48rBMSUE6rcbSbaTkSxcuSnbWa9Mlc/XCjKnFUAzvnSrg2pmCsDRGg3opDWS0k0WA0CGd+56n1vw==" saltValue="d8j06xy+U+ySw/MuEuZFYw==" spinCount="100000" sheet="1" selectLockedCells="1"/>
  <protectedRanges>
    <protectedRange sqref="G4:G6" name="address"/>
  </protectedRanges>
  <mergeCells count="53"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showInputMessage="1" showErrorMessage="1" sqref="N6" xr:uid="{C13D5D0F-8F51-423D-A468-73A663B73DDB}">
      <formula1>N7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16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09" t="s">
        <v>141</v>
      </c>
    </row>
    <row r="2" spans="1:16" x14ac:dyDescent="0.25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 x14ac:dyDescent="0.2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 x14ac:dyDescent="0.2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 x14ac:dyDescent="0.2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 x14ac:dyDescent="0.2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 x14ac:dyDescent="0.2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 x14ac:dyDescent="0.2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 x14ac:dyDescent="0.2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 x14ac:dyDescent="0.2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 x14ac:dyDescent="0.2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 x14ac:dyDescent="0.2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 x14ac:dyDescent="0.2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 x14ac:dyDescent="0.2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 x14ac:dyDescent="0.2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 x14ac:dyDescent="0.2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92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93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94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 t="s">
        <v>133</v>
      </c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46" t="s">
        <v>134</v>
      </c>
      <c r="G6" s="146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 x14ac:dyDescent="0.25">
      <c r="A16" s="122" t="s">
        <v>105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22" t="s">
        <v>105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105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105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114</v>
      </c>
      <c r="B56" s="156" t="s">
        <v>135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116</v>
      </c>
      <c r="B60" s="144" t="str">
        <f>Worksheet!O46</f>
        <v/>
      </c>
      <c r="C60" s="144"/>
    </row>
    <row r="61" spans="1:27" ht="12" customHeight="1" x14ac:dyDescent="0.25">
      <c r="A61" s="154" t="str">
        <f>'CERT AL'!A61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105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8" spans="1:15" x14ac:dyDescent="0.25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5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5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5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5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5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5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5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5" x14ac:dyDescent="0.25">
      <c r="B78" s="54"/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AG2:AH2"/>
    <mergeCell ref="AJ2:AK2"/>
    <mergeCell ref="AM2:AN2"/>
    <mergeCell ref="AP2:AQ2"/>
    <mergeCell ref="AS2:AT2"/>
    <mergeCell ref="A68:O75"/>
    <mergeCell ref="A61:M62"/>
    <mergeCell ref="A52:M54"/>
    <mergeCell ref="B56:M58"/>
    <mergeCell ref="B59:C59"/>
    <mergeCell ref="B60:C60"/>
    <mergeCell ref="A55:M55"/>
    <mergeCell ref="A63:M63"/>
    <mergeCell ref="J12:K12"/>
    <mergeCell ref="J13:K13"/>
    <mergeCell ref="J14:K14"/>
    <mergeCell ref="J15:K15"/>
    <mergeCell ref="O56:AA58"/>
    <mergeCell ref="A16:M16"/>
    <mergeCell ref="A19:M19"/>
    <mergeCell ref="A49:M49"/>
    <mergeCell ref="J11:K11"/>
    <mergeCell ref="B1:K1"/>
    <mergeCell ref="B2:K2"/>
    <mergeCell ref="B3:K3"/>
    <mergeCell ref="F6:G6"/>
    <mergeCell ref="D4:I4"/>
    <mergeCell ref="E5:H5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1" t="s">
        <v>92</v>
      </c>
      <c r="C1" s="131"/>
      <c r="D1" s="131"/>
      <c r="E1" s="131"/>
      <c r="F1" s="131"/>
      <c r="G1" s="131"/>
      <c r="H1" s="131"/>
      <c r="I1" s="131"/>
      <c r="J1" s="131"/>
      <c r="K1" s="131"/>
    </row>
    <row r="2" spans="1:54" ht="18.75" x14ac:dyDescent="0.3">
      <c r="B2" s="145" t="s">
        <v>93</v>
      </c>
      <c r="C2" s="145"/>
      <c r="D2" s="145"/>
      <c r="E2" s="145"/>
      <c r="F2" s="145"/>
      <c r="G2" s="145"/>
      <c r="H2" s="145"/>
      <c r="I2" s="145"/>
      <c r="J2" s="145"/>
      <c r="K2" s="145"/>
      <c r="AG2" s="122"/>
      <c r="AH2" s="122"/>
      <c r="AJ2" s="122"/>
      <c r="AK2" s="122"/>
      <c r="AM2" s="122"/>
      <c r="AN2" s="122"/>
      <c r="AP2" s="122"/>
      <c r="AQ2" s="122"/>
      <c r="AR2" s="18"/>
      <c r="AS2" s="122"/>
      <c r="AT2" s="122"/>
    </row>
    <row r="3" spans="1:54" ht="18.75" x14ac:dyDescent="0.3">
      <c r="B3" s="145" t="s">
        <v>94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1"/>
      <c r="C4" s="72"/>
      <c r="D4" s="147"/>
      <c r="E4" s="147"/>
      <c r="F4" s="147"/>
      <c r="G4" s="147"/>
      <c r="H4" s="147"/>
      <c r="I4" s="147"/>
      <c r="J4" s="71"/>
      <c r="K4" s="71"/>
    </row>
    <row r="5" spans="1:54" ht="18.75" x14ac:dyDescent="0.3">
      <c r="E5" s="148"/>
      <c r="F5" s="148"/>
      <c r="G5" s="148"/>
      <c r="H5" s="148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95</v>
      </c>
      <c r="B6" s="20" t="str">
        <f>IF(Worksheet!D3="","",Worksheet!D3)</f>
        <v/>
      </c>
      <c r="C6" s="4"/>
      <c r="D6" s="1"/>
      <c r="F6" s="146" t="s">
        <v>96</v>
      </c>
      <c r="G6" s="146"/>
      <c r="J6" t="s">
        <v>97</v>
      </c>
      <c r="BB6" s="4"/>
    </row>
    <row r="7" spans="1:54" ht="15.75" x14ac:dyDescent="0.2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100</v>
      </c>
      <c r="B11" s="20" t="str">
        <f>IF(Worksheet!D5="","",Worksheet!D5)</f>
        <v/>
      </c>
      <c r="H11" s="1" t="s">
        <v>19</v>
      </c>
      <c r="J11" s="144" t="str">
        <f>IF(Worksheet!N5="","",Worksheet!N5)</f>
        <v/>
      </c>
      <c r="K11" s="144"/>
    </row>
    <row r="12" spans="1:54" ht="15.75" x14ac:dyDescent="0.2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 x14ac:dyDescent="0.2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 x14ac:dyDescent="0.2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 x14ac:dyDescent="0.2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x14ac:dyDescent="0.25">
      <c r="A16" s="122" t="s">
        <v>105</v>
      </c>
      <c r="B16" s="122"/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</row>
    <row r="17" spans="1:17" ht="15.75" x14ac:dyDescent="0.25">
      <c r="A17" s="1" t="s">
        <v>106</v>
      </c>
      <c r="C17" s="19" t="str">
        <f>Worksheet!J11</f>
        <v>ASTM E18-24</v>
      </c>
    </row>
    <row r="18" spans="1:17" ht="15.75" x14ac:dyDescent="0.2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 x14ac:dyDescent="0.25">
      <c r="A19" s="122" t="s">
        <v>105</v>
      </c>
      <c r="B19" s="122"/>
      <c r="C19" s="122"/>
      <c r="D19" s="122"/>
      <c r="E19" s="122"/>
      <c r="F19" s="122"/>
      <c r="G19" s="122"/>
      <c r="H19" s="122"/>
      <c r="I19" s="122"/>
      <c r="J19" s="122"/>
      <c r="K19" s="122"/>
      <c r="L19" s="122"/>
      <c r="M19" s="122"/>
    </row>
    <row r="20" spans="1:17" x14ac:dyDescent="0.25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 x14ac:dyDescent="0.2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 x14ac:dyDescent="0.2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 x14ac:dyDescent="0.2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 x14ac:dyDescent="0.2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 x14ac:dyDescent="0.2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 x14ac:dyDescent="0.2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 x14ac:dyDescent="0.2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 x14ac:dyDescent="0.2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 x14ac:dyDescent="0.2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 x14ac:dyDescent="0.2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 x14ac:dyDescent="0.2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 x14ac:dyDescent="0.2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 x14ac:dyDescent="0.2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 x14ac:dyDescent="0.2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22" t="s">
        <v>105</v>
      </c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</row>
    <row r="50" spans="1:27" ht="15.75" x14ac:dyDescent="0.2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s="122" t="s">
        <v>105</v>
      </c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</row>
    <row r="56" spans="1:27" ht="15" customHeight="1" x14ac:dyDescent="0.25">
      <c r="A56" s="77" t="s">
        <v>114</v>
      </c>
      <c r="B56" s="156" t="s">
        <v>115</v>
      </c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 x14ac:dyDescent="0.25">
      <c r="A57" s="1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 x14ac:dyDescent="0.25">
      <c r="A58" s="1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 x14ac:dyDescent="0.25">
      <c r="A59" s="1" t="s">
        <v>9</v>
      </c>
      <c r="B59" s="144" t="str">
        <f>IF(Worksheet!L3="","",Worksheet!L3)</f>
        <v>Used</v>
      </c>
      <c r="C59" s="144"/>
    </row>
    <row r="60" spans="1:27" ht="15.75" x14ac:dyDescent="0.25">
      <c r="A60" s="1" t="s">
        <v>116</v>
      </c>
      <c r="B60" s="144" t="str">
        <f>Worksheet!O47</f>
        <v/>
      </c>
      <c r="C60" s="144"/>
    </row>
    <row r="61" spans="1:27" ht="12" customHeight="1" x14ac:dyDescent="0.25">
      <c r="A61" s="154" t="str">
        <f>IF(Worksheet!D11="YES",'CERT AL'!A89,"")</f>
        <v/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4"/>
      <c r="M61" s="154"/>
    </row>
    <row r="62" spans="1:27" ht="12" customHeight="1" x14ac:dyDescent="0.25">
      <c r="A62" s="154"/>
      <c r="B62" s="154"/>
      <c r="C62" s="154"/>
      <c r="D62" s="154"/>
      <c r="E62" s="154"/>
      <c r="F62" s="154"/>
      <c r="G62" s="154"/>
      <c r="H62" s="154"/>
      <c r="I62" s="154"/>
      <c r="J62" s="154"/>
      <c r="K62" s="154"/>
      <c r="L62" s="154"/>
      <c r="M62" s="154"/>
    </row>
    <row r="63" spans="1:27" x14ac:dyDescent="0.25">
      <c r="A63" s="122" t="s">
        <v>105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</row>
    <row r="67" spans="1:16" x14ac:dyDescent="0.25">
      <c r="A67" s="65" t="s">
        <v>117</v>
      </c>
    </row>
    <row r="68" spans="1:16" x14ac:dyDescent="0.25">
      <c r="A68" s="153" t="s">
        <v>118</v>
      </c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</row>
    <row r="69" spans="1:16" x14ac:dyDescent="0.25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</row>
    <row r="70" spans="1:16" x14ac:dyDescent="0.25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</row>
    <row r="71" spans="1:16" x14ac:dyDescent="0.25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</row>
    <row r="72" spans="1:16" x14ac:dyDescent="0.25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</row>
    <row r="73" spans="1:16" x14ac:dyDescent="0.25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</row>
    <row r="74" spans="1:16" x14ac:dyDescent="0.25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</row>
    <row r="75" spans="1:16" x14ac:dyDescent="0.25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</row>
    <row r="78" spans="1:16" x14ac:dyDescent="0.25">
      <c r="A78" s="65" t="s">
        <v>119</v>
      </c>
    </row>
    <row r="79" spans="1:16" ht="15" customHeight="1" x14ac:dyDescent="0.25">
      <c r="A79" s="153" t="s">
        <v>120</v>
      </c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24"/>
    </row>
    <row r="80" spans="1:16" x14ac:dyDescent="0.25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24"/>
    </row>
    <row r="81" spans="1:16" x14ac:dyDescent="0.25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24"/>
    </row>
    <row r="82" spans="1:16" x14ac:dyDescent="0.25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24"/>
    </row>
    <row r="83" spans="1:16" x14ac:dyDescent="0.25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24"/>
    </row>
    <row r="84" spans="1:16" x14ac:dyDescent="0.25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24"/>
    </row>
    <row r="85" spans="1:16" x14ac:dyDescent="0.25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24"/>
    </row>
    <row r="86" spans="1:16" x14ac:dyDescent="0.25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24"/>
    </row>
    <row r="88" spans="1:16" x14ac:dyDescent="0.25">
      <c r="A88" s="65" t="s">
        <v>130</v>
      </c>
    </row>
    <row r="89" spans="1:16" x14ac:dyDescent="0.25">
      <c r="A89" s="153" t="s">
        <v>131</v>
      </c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</row>
    <row r="90" spans="1:16" x14ac:dyDescent="0.25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  <mergeCell ref="A89:O90"/>
    <mergeCell ref="A61:M62"/>
    <mergeCell ref="A79:O86"/>
    <mergeCell ref="A68:O75"/>
    <mergeCell ref="B56:M58"/>
    <mergeCell ref="O56:AA58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 x14ac:dyDescent="0.2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1151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 x14ac:dyDescent="0.2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 x14ac:dyDescent="0.25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 x14ac:dyDescent="0.25">
      <c r="B5" t="s">
        <v>152</v>
      </c>
      <c r="H5" t="s">
        <v>124</v>
      </c>
      <c r="I5" t="s">
        <v>150</v>
      </c>
      <c r="J5" t="s">
        <v>125</v>
      </c>
    </row>
    <row r="6" spans="2:35" x14ac:dyDescent="0.25">
      <c r="H6" t="s">
        <v>126</v>
      </c>
      <c r="I6" t="s">
        <v>150</v>
      </c>
      <c r="J6" t="s">
        <v>127</v>
      </c>
    </row>
    <row r="7" spans="2:35" x14ac:dyDescent="0.25">
      <c r="H7" t="s">
        <v>128</v>
      </c>
      <c r="I7" t="s">
        <v>153</v>
      </c>
      <c r="J7" t="s">
        <v>129</v>
      </c>
    </row>
    <row r="8" spans="2:35" x14ac:dyDescent="0.25">
      <c r="H8" t="s">
        <v>154</v>
      </c>
      <c r="I8" t="s">
        <v>150</v>
      </c>
      <c r="J8" t="s">
        <v>132</v>
      </c>
    </row>
    <row r="10" spans="2:35" x14ac:dyDescent="0.25">
      <c r="B10" s="109" t="s">
        <v>155</v>
      </c>
    </row>
    <row r="12" spans="2:35" x14ac:dyDescent="0.2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1150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 x14ac:dyDescent="0.25">
      <c r="B13" t="str">
        <v>HRBW</v>
      </c>
      <c r="H13" t="s">
        <v>136</v>
      </c>
      <c r="I13" t="s">
        <v>158</v>
      </c>
      <c r="J13" t="s">
        <v>135</v>
      </c>
    </row>
    <row r="14" spans="2:35" x14ac:dyDescent="0.25">
      <c r="B14" t="str">
        <v>HRC</v>
      </c>
      <c r="H14" t="s">
        <v>137</v>
      </c>
      <c r="I14" t="s">
        <v>153</v>
      </c>
      <c r="J14" t="s">
        <v>138</v>
      </c>
    </row>
    <row r="15" spans="2:35" x14ac:dyDescent="0.25">
      <c r="B15" t="str">
        <v>HREW</v>
      </c>
      <c r="H15" t="s">
        <v>139</v>
      </c>
      <c r="I15" t="s">
        <v>158</v>
      </c>
      <c r="J15" t="s">
        <v>140</v>
      </c>
    </row>
    <row r="16" spans="2:35" x14ac:dyDescent="0.25">
      <c r="B16" t="str">
        <v>HRFW</v>
      </c>
      <c r="I16" t="s">
        <v>159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160</v>
      </c>
      <c r="I18" t="s">
        <v>1152</v>
      </c>
    </row>
    <row r="19" spans="2:14" ht="15.75" thickBot="1" x14ac:dyDescent="0.3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 x14ac:dyDescent="0.25">
      <c r="E62">
        <v>0</v>
      </c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R574T</v>
      </c>
      <c r="G128">
        <v>15382</v>
      </c>
      <c r="I128" t="str">
        <v>NIAR WERX MRO</v>
      </c>
    </row>
    <row r="129" spans="6:9" x14ac:dyDescent="0.25">
      <c r="F129" t="str">
        <v>RB2000</v>
      </c>
      <c r="G129">
        <v>15424</v>
      </c>
      <c r="I129" t="str">
        <v>NWI KANSAS CITY LLC</v>
      </c>
    </row>
    <row r="130" spans="6:9" x14ac:dyDescent="0.25">
      <c r="F130" t="str">
        <v>RH-150</v>
      </c>
      <c r="G130">
        <v>16452</v>
      </c>
      <c r="I130" t="str">
        <v>NWI WICHITA LLC</v>
      </c>
    </row>
    <row r="131" spans="6:9" x14ac:dyDescent="0.25">
      <c r="F131" t="str">
        <v>RH2150</v>
      </c>
      <c r="G131">
        <v>16502</v>
      </c>
      <c r="I131" t="str">
        <v>OMNI AEROSPACE - WICHITA DIVISION</v>
      </c>
    </row>
    <row r="132" spans="6:9" x14ac:dyDescent="0.25">
      <c r="F132" t="str">
        <v>RH-45</v>
      </c>
      <c r="G132">
        <v>16870</v>
      </c>
      <c r="I132" t="str">
        <v>ORIZON AEROSTRUCTURES PROCESSING</v>
      </c>
    </row>
    <row r="133" spans="6:9" x14ac:dyDescent="0.25">
      <c r="F133" t="str">
        <v>RPT1</v>
      </c>
      <c r="G133">
        <v>17527</v>
      </c>
      <c r="I133" t="str">
        <v>OXWELL, INC.</v>
      </c>
    </row>
    <row r="134" spans="6:9" x14ac:dyDescent="0.25">
      <c r="F134" t="str">
        <v>RPT2</v>
      </c>
      <c r="G134">
        <v>17549</v>
      </c>
      <c r="I134" t="str">
        <v>PERFEKTA, INC.</v>
      </c>
    </row>
    <row r="135" spans="6:9" x14ac:dyDescent="0.25">
      <c r="F135" t="str">
        <v>RSD Mag</v>
      </c>
      <c r="G135">
        <v>17557</v>
      </c>
      <c r="I135" t="str">
        <v>PRECISION PRODUCTS</v>
      </c>
    </row>
    <row r="136" spans="6:9" x14ac:dyDescent="0.25">
      <c r="F136" t="str">
        <v>TH550</v>
      </c>
      <c r="G136">
        <v>20257</v>
      </c>
      <c r="I136" t="str">
        <v>PRECISION TOOL IMPROVEMENTS CO.</v>
      </c>
    </row>
    <row r="137" spans="6:9" x14ac:dyDescent="0.25">
      <c r="F137" t="str">
        <v>Tru-Blue II</v>
      </c>
      <c r="G137">
        <v>20638</v>
      </c>
      <c r="I137" t="str">
        <v>PREMIER PROCESSING</v>
      </c>
    </row>
    <row r="138" spans="6:9" x14ac:dyDescent="0.25">
      <c r="F138" t="str">
        <v>Versitron</v>
      </c>
      <c r="G138">
        <v>22098</v>
      </c>
      <c r="I138" t="str">
        <v>PRODUCT MANUFACTURING CORPORATION</v>
      </c>
    </row>
    <row r="139" spans="6:9" x14ac:dyDescent="0.25">
      <c r="F139" t="str">
        <v>WH2002T</v>
      </c>
      <c r="G139">
        <v>22603</v>
      </c>
      <c r="I139" t="str">
        <v>PRODUCT MANUFACTURING CORPORATION - PARK CITY</v>
      </c>
    </row>
    <row r="140" spans="6:9" x14ac:dyDescent="0.25">
      <c r="F140" t="str">
        <v>Wilson Rockwell 2002T Automated</v>
      </c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574T-10-242149</v>
      </c>
    </row>
    <row r="266" spans="7:7" x14ac:dyDescent="0.25">
      <c r="G266" t="str">
        <v>65074 (10031817)</v>
      </c>
    </row>
    <row r="267" spans="7:7" x14ac:dyDescent="0.25">
      <c r="G267" t="str">
        <v>6633/41-7684</v>
      </c>
    </row>
    <row r="268" spans="7:7" x14ac:dyDescent="0.25">
      <c r="G268" t="str">
        <v>6844/6668</v>
      </c>
    </row>
    <row r="269" spans="7:7" x14ac:dyDescent="0.25">
      <c r="G269" t="str">
        <v>7678/7690</v>
      </c>
    </row>
    <row r="270" spans="7:7" x14ac:dyDescent="0.25">
      <c r="G270" t="str">
        <v>81349 IV</v>
      </c>
    </row>
    <row r="271" spans="7:7" x14ac:dyDescent="0.25">
      <c r="G271" t="str">
        <v>81D185</v>
      </c>
    </row>
    <row r="272" spans="7:7" x14ac:dyDescent="0.25">
      <c r="G272" t="str">
        <v>9391/9392</v>
      </c>
    </row>
    <row r="273" spans="7:7" x14ac:dyDescent="0.25">
      <c r="G273" t="str">
        <v>97352503  LSM-5-053</v>
      </c>
    </row>
    <row r="274" spans="7:7" x14ac:dyDescent="0.25">
      <c r="G274" t="str">
        <v>A130701090</v>
      </c>
    </row>
    <row r="275" spans="7:7" x14ac:dyDescent="0.25">
      <c r="G275" t="str">
        <v>BBC1835</v>
      </c>
    </row>
    <row r="276" spans="7:7" x14ac:dyDescent="0.25">
      <c r="G276" t="str">
        <v>C2642</v>
      </c>
    </row>
    <row r="277" spans="7:7" x14ac:dyDescent="0.25">
      <c r="G277" t="str">
        <v>C2643</v>
      </c>
    </row>
    <row r="278" spans="7:7" x14ac:dyDescent="0.25">
      <c r="G278" t="str">
        <v>C2946</v>
      </c>
    </row>
    <row r="279" spans="7:7" x14ac:dyDescent="0.25">
      <c r="G279" t="str">
        <v>C2995</v>
      </c>
    </row>
    <row r="280" spans="7:7" x14ac:dyDescent="0.25">
      <c r="G280" t="str">
        <v>C3083</v>
      </c>
    </row>
    <row r="281" spans="7:7" x14ac:dyDescent="0.25">
      <c r="G281" t="str">
        <v>C770</v>
      </c>
    </row>
    <row r="282" spans="7:7" x14ac:dyDescent="0.25">
      <c r="G282" t="str">
        <v>CR 16390</v>
      </c>
    </row>
    <row r="283" spans="7:7" x14ac:dyDescent="0.25">
      <c r="G283" t="str">
        <v>CR 9939</v>
      </c>
    </row>
    <row r="284" spans="7:7" x14ac:dyDescent="0.25">
      <c r="G284" t="str">
        <v>CR0066</v>
      </c>
    </row>
    <row r="285" spans="7:7" x14ac:dyDescent="0.25">
      <c r="G285" t="str">
        <v>CR0182</v>
      </c>
    </row>
    <row r="286" spans="7:7" x14ac:dyDescent="0.25">
      <c r="G286" t="str">
        <v>CR0184</v>
      </c>
    </row>
    <row r="287" spans="7:7" x14ac:dyDescent="0.25">
      <c r="G287" t="str">
        <v>CR0205</v>
      </c>
    </row>
    <row r="288" spans="7:7" x14ac:dyDescent="0.25">
      <c r="G288" t="str">
        <v>CR04137</v>
      </c>
    </row>
    <row r="289" spans="7:7" x14ac:dyDescent="0.25">
      <c r="G289" t="str">
        <v>CR-08204</v>
      </c>
    </row>
    <row r="290" spans="7:7" x14ac:dyDescent="0.25">
      <c r="G290" t="str">
        <v>CR13312</v>
      </c>
    </row>
    <row r="291" spans="7:7" x14ac:dyDescent="0.25">
      <c r="G291" t="str">
        <v>CR17401</v>
      </c>
    </row>
    <row r="292" spans="7:7" x14ac:dyDescent="0.25">
      <c r="G292" t="str">
        <v>CR18439</v>
      </c>
    </row>
    <row r="293" spans="7:7" x14ac:dyDescent="0.25">
      <c r="G293" t="str">
        <v>CR21530 W-CPI-7003</v>
      </c>
    </row>
    <row r="294" spans="7:7" x14ac:dyDescent="0.25">
      <c r="G294" t="str">
        <v>CR21545 W-CPI-1600</v>
      </c>
    </row>
    <row r="295" spans="7:7" x14ac:dyDescent="0.25">
      <c r="G295" t="str">
        <v>CR24614</v>
      </c>
    </row>
    <row r="296" spans="7:7" x14ac:dyDescent="0.25">
      <c r="G296" t="str">
        <v>DC7894</v>
      </c>
    </row>
    <row r="297" spans="7:7" x14ac:dyDescent="0.25">
      <c r="G297" t="str">
        <v>DN103</v>
      </c>
    </row>
    <row r="298" spans="7:7" x14ac:dyDescent="0.25">
      <c r="G298" t="str">
        <v>DN597</v>
      </c>
    </row>
    <row r="299" spans="7:7" x14ac:dyDescent="0.25">
      <c r="G299" t="str">
        <v>FW-M-0430</v>
      </c>
    </row>
    <row r="300" spans="7:7" x14ac:dyDescent="0.25">
      <c r="G300" t="str">
        <v>FW-M-0539</v>
      </c>
    </row>
    <row r="301" spans="7:7" x14ac:dyDescent="0.25">
      <c r="G301" t="str">
        <v>HT-0264</v>
      </c>
    </row>
    <row r="302" spans="7:7" x14ac:dyDescent="0.25">
      <c r="G302" t="str">
        <v>HTC-001</v>
      </c>
    </row>
    <row r="303" spans="7:7" x14ac:dyDescent="0.25">
      <c r="G303" t="str">
        <v>J15-4-40</v>
      </c>
    </row>
    <row r="304" spans="7:7" x14ac:dyDescent="0.25">
      <c r="G304" t="str">
        <v>KMC-61</v>
      </c>
    </row>
    <row r="305" spans="7:7" x14ac:dyDescent="0.25">
      <c r="G305" t="str">
        <v>L-10042A</v>
      </c>
    </row>
    <row r="306" spans="7:7" x14ac:dyDescent="0.25">
      <c r="G306" t="str">
        <v>PH41010270037</v>
      </c>
    </row>
    <row r="307" spans="7:7" x14ac:dyDescent="0.25">
      <c r="G307" t="str">
        <v>PMI-0438</v>
      </c>
    </row>
    <row r="308" spans="7:7" x14ac:dyDescent="0.25">
      <c r="G308" t="str">
        <v>R1317</v>
      </c>
    </row>
    <row r="309" spans="7:7" x14ac:dyDescent="0.25">
      <c r="G309" t="str">
        <v>R2000P1541</v>
      </c>
    </row>
    <row r="310" spans="7:7" x14ac:dyDescent="0.25">
      <c r="G310" t="str">
        <v>R2000P9932</v>
      </c>
    </row>
    <row r="311" spans="7:7" x14ac:dyDescent="0.25">
      <c r="G311" t="str">
        <v>R2K0001</v>
      </c>
    </row>
    <row r="312" spans="7:7" x14ac:dyDescent="0.25">
      <c r="G312" t="str">
        <v>R2K-0099</v>
      </c>
    </row>
    <row r="313" spans="7:7" x14ac:dyDescent="0.25">
      <c r="G313" t="str">
        <v>R2K-0152</v>
      </c>
    </row>
    <row r="314" spans="7:7" x14ac:dyDescent="0.25">
      <c r="G314" t="str">
        <v>R500AQ3466</v>
      </c>
    </row>
    <row r="315" spans="7:7" x14ac:dyDescent="0.25">
      <c r="G315" t="str">
        <v>R500DQ8062</v>
      </c>
    </row>
    <row r="316" spans="7:7" x14ac:dyDescent="0.25">
      <c r="G316" t="str">
        <v>R574-00-0580</v>
      </c>
    </row>
    <row r="317" spans="7:7" x14ac:dyDescent="0.25">
      <c r="G317" t="str">
        <v>R574-00-1246</v>
      </c>
    </row>
    <row r="318" spans="7:7" x14ac:dyDescent="0.25">
      <c r="G318" t="str">
        <v>R574-00-1650</v>
      </c>
    </row>
    <row r="319" spans="7:7" x14ac:dyDescent="0.25">
      <c r="G319" t="str">
        <v>S909701</v>
      </c>
    </row>
    <row r="320" spans="7:7" x14ac:dyDescent="0.25">
      <c r="G320" t="str">
        <v>SEK011</v>
      </c>
    </row>
    <row r="321" spans="7:7" x14ac:dyDescent="0.25">
      <c r="G321" t="str">
        <v>SEK050</v>
      </c>
    </row>
    <row r="322" spans="7:7" x14ac:dyDescent="0.25">
      <c r="G322" t="str">
        <v>SEK060</v>
      </c>
    </row>
    <row r="323" spans="7:7" x14ac:dyDescent="0.25">
      <c r="G323" t="str">
        <v>SEK1515</v>
      </c>
    </row>
    <row r="324" spans="7:7" x14ac:dyDescent="0.25">
      <c r="G324" t="str">
        <v>SRA700</v>
      </c>
    </row>
    <row r="325" spans="7:7" x14ac:dyDescent="0.25">
      <c r="G325" t="str">
        <v>TBD2</v>
      </c>
    </row>
    <row r="326" spans="7:7" x14ac:dyDescent="0.25">
      <c r="G326" t="str">
        <v>TBD3</v>
      </c>
    </row>
    <row r="327" spans="7:7" x14ac:dyDescent="0.25">
      <c r="G327" t="str">
        <v>W2K-0059</v>
      </c>
    </row>
    <row r="328" spans="7:7" x14ac:dyDescent="0.25">
      <c r="G328" t="str">
        <v>W2K-0190</v>
      </c>
    </row>
    <row r="329" spans="7:7" x14ac:dyDescent="0.25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 x14ac:dyDescent="0.25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 x14ac:dyDescent="0.3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 x14ac:dyDescent="0.25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 x14ac:dyDescent="0.25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 x14ac:dyDescent="0.25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 x14ac:dyDescent="0.25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 x14ac:dyDescent="0.25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 x14ac:dyDescent="0.25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 x14ac:dyDescent="0.25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 x14ac:dyDescent="0.25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 x14ac:dyDescent="0.25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 x14ac:dyDescent="0.25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 x14ac:dyDescent="0.25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 x14ac:dyDescent="0.25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 x14ac:dyDescent="0.25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 x14ac:dyDescent="0.25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 x14ac:dyDescent="0.25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 x14ac:dyDescent="0.25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 x14ac:dyDescent="0.25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 x14ac:dyDescent="0.25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 x14ac:dyDescent="0.25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 x14ac:dyDescent="0.25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 x14ac:dyDescent="0.2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 x14ac:dyDescent="0.2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 x14ac:dyDescent="0.2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 x14ac:dyDescent="0.25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 x14ac:dyDescent="0.25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 x14ac:dyDescent="0.25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 x14ac:dyDescent="0.25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 x14ac:dyDescent="0.25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895</v>
      </c>
      <c r="C66" t="s">
        <v>889</v>
      </c>
      <c r="D66" s="38" t="s">
        <v>1149</v>
      </c>
      <c r="E66" s="95" t="s">
        <v>1148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 x14ac:dyDescent="0.2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 x14ac:dyDescent="0.2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 x14ac:dyDescent="0.2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 x14ac:dyDescent="0.2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 x14ac:dyDescent="0.2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 x14ac:dyDescent="0.2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 x14ac:dyDescent="0.2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 x14ac:dyDescent="0.2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 x14ac:dyDescent="0.2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 x14ac:dyDescent="0.2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 x14ac:dyDescent="0.25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 x14ac:dyDescent="0.25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 x14ac:dyDescent="0.25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 x14ac:dyDescent="0.25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57461</v>
      </c>
      <c r="B108" t="s">
        <v>895</v>
      </c>
      <c r="C108" t="s">
        <v>1145</v>
      </c>
      <c r="D108" s="38" t="s">
        <v>1146</v>
      </c>
      <c r="E108" s="95" t="s">
        <v>1147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 x14ac:dyDescent="0.25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 x14ac:dyDescent="0.25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 x14ac:dyDescent="0.25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 x14ac:dyDescent="0.25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 x14ac:dyDescent="0.25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 x14ac:dyDescent="0.25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 x14ac:dyDescent="0.25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 x14ac:dyDescent="0.25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 x14ac:dyDescent="0.25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 x14ac:dyDescent="0.25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 x14ac:dyDescent="0.25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 x14ac:dyDescent="0.25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 x14ac:dyDescent="0.25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 x14ac:dyDescent="0.25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 x14ac:dyDescent="0.25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 x14ac:dyDescent="0.25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 x14ac:dyDescent="0.25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 x14ac:dyDescent="0.25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 x14ac:dyDescent="0.25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 x14ac:dyDescent="0.2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 x14ac:dyDescent="0.2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20"/>
  <sheetViews>
    <sheetView tabSelected="1" topLeftCell="A16" workbookViewId="0">
      <selection activeCell="B25" sqref="B25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1122</v>
      </c>
      <c r="B1" t="s">
        <v>1123</v>
      </c>
      <c r="C1" t="s">
        <v>1124</v>
      </c>
      <c r="D1" t="s">
        <v>1125</v>
      </c>
    </row>
    <row r="2" spans="1:4" x14ac:dyDescent="0.25">
      <c r="A2" s="30">
        <v>42956</v>
      </c>
      <c r="B2" t="s">
        <v>1126</v>
      </c>
      <c r="C2" t="s">
        <v>1127</v>
      </c>
    </row>
    <row r="3" spans="1:4" x14ac:dyDescent="0.25">
      <c r="A3" s="30">
        <v>42965</v>
      </c>
      <c r="B3" t="s">
        <v>1126</v>
      </c>
      <c r="C3" t="s">
        <v>1127</v>
      </c>
    </row>
    <row r="4" spans="1:4" x14ac:dyDescent="0.25">
      <c r="A4" s="30">
        <v>42989</v>
      </c>
      <c r="B4" t="s">
        <v>1126</v>
      </c>
      <c r="C4" t="s">
        <v>1127</v>
      </c>
    </row>
    <row r="5" spans="1:4" x14ac:dyDescent="0.25">
      <c r="A5" s="30">
        <v>42993</v>
      </c>
      <c r="B5" t="s">
        <v>1126</v>
      </c>
      <c r="C5" t="s">
        <v>1127</v>
      </c>
    </row>
    <row r="6" spans="1:4" x14ac:dyDescent="0.25">
      <c r="A6" s="30">
        <v>42996</v>
      </c>
      <c r="B6" t="s">
        <v>1126</v>
      </c>
      <c r="C6" t="s">
        <v>1127</v>
      </c>
    </row>
    <row r="7" spans="1:4" x14ac:dyDescent="0.25">
      <c r="A7" s="30">
        <v>42999</v>
      </c>
      <c r="B7" t="s">
        <v>1126</v>
      </c>
      <c r="C7" t="s">
        <v>1127</v>
      </c>
    </row>
    <row r="8" spans="1:4" x14ac:dyDescent="0.25">
      <c r="A8" s="30">
        <v>43007</v>
      </c>
      <c r="B8" t="s">
        <v>1126</v>
      </c>
      <c r="C8" t="s">
        <v>1127</v>
      </c>
    </row>
    <row r="9" spans="1:4" x14ac:dyDescent="0.25">
      <c r="A9" s="30">
        <v>43644</v>
      </c>
      <c r="B9" t="s">
        <v>1126</v>
      </c>
      <c r="C9" t="s">
        <v>1127</v>
      </c>
    </row>
    <row r="10" spans="1:4" x14ac:dyDescent="0.25">
      <c r="A10" s="30">
        <v>44208</v>
      </c>
      <c r="B10" t="s">
        <v>1126</v>
      </c>
      <c r="C10" t="s">
        <v>1127</v>
      </c>
      <c r="D10" t="s">
        <v>1128</v>
      </c>
    </row>
    <row r="11" spans="1:4" x14ac:dyDescent="0.25">
      <c r="A11" s="30">
        <v>45509</v>
      </c>
      <c r="B11" t="s">
        <v>1129</v>
      </c>
      <c r="C11" t="s">
        <v>1130</v>
      </c>
      <c r="D11" t="s">
        <v>1131</v>
      </c>
    </row>
    <row r="12" spans="1:4" x14ac:dyDescent="0.25">
      <c r="A12" s="30">
        <v>45519</v>
      </c>
      <c r="B12" t="s">
        <v>1132</v>
      </c>
      <c r="C12" t="s">
        <v>1130</v>
      </c>
      <c r="D12" t="s">
        <v>1133</v>
      </c>
    </row>
    <row r="13" spans="1:4" x14ac:dyDescent="0.25">
      <c r="A13" s="30">
        <v>45531</v>
      </c>
      <c r="B13" t="s">
        <v>1134</v>
      </c>
      <c r="C13" t="s">
        <v>1130</v>
      </c>
      <c r="D13" t="s">
        <v>1135</v>
      </c>
    </row>
    <row r="14" spans="1:4" x14ac:dyDescent="0.25">
      <c r="A14" s="30">
        <v>45540</v>
      </c>
      <c r="B14" t="s">
        <v>1136</v>
      </c>
      <c r="C14" t="s">
        <v>1130</v>
      </c>
      <c r="D14" t="s">
        <v>1137</v>
      </c>
    </row>
    <row r="15" spans="1:4" x14ac:dyDescent="0.25">
      <c r="A15" s="30">
        <v>45545</v>
      </c>
      <c r="B15" t="s">
        <v>1138</v>
      </c>
      <c r="C15" t="s">
        <v>1130</v>
      </c>
    </row>
    <row r="16" spans="1:4" x14ac:dyDescent="0.25">
      <c r="A16" s="30">
        <v>45574</v>
      </c>
      <c r="B16" t="s">
        <v>1139</v>
      </c>
      <c r="C16" t="s">
        <v>1130</v>
      </c>
      <c r="D16" t="s">
        <v>1140</v>
      </c>
    </row>
    <row r="17" spans="1:4" x14ac:dyDescent="0.25">
      <c r="A17" s="30">
        <v>45623</v>
      </c>
      <c r="B17" t="s">
        <v>1154</v>
      </c>
      <c r="C17" t="s">
        <v>1130</v>
      </c>
    </row>
    <row r="18" spans="1:4" x14ac:dyDescent="0.25">
      <c r="A18" s="30">
        <v>45629</v>
      </c>
      <c r="B18" t="s">
        <v>1155</v>
      </c>
      <c r="C18" t="s">
        <v>1130</v>
      </c>
      <c r="D18" t="s">
        <v>1141</v>
      </c>
    </row>
    <row r="19" spans="1:4" x14ac:dyDescent="0.25">
      <c r="A19" s="30">
        <v>45635</v>
      </c>
      <c r="B19" t="s">
        <v>1142</v>
      </c>
      <c r="C19" t="s">
        <v>1130</v>
      </c>
      <c r="D19" t="s">
        <v>1143</v>
      </c>
    </row>
    <row r="20" spans="1:4" x14ac:dyDescent="0.25">
      <c r="A20" s="30">
        <v>45645</v>
      </c>
      <c r="B20" t="s">
        <v>1153</v>
      </c>
      <c r="C20" t="s">
        <v>1130</v>
      </c>
      <c r="D20" t="s">
        <v>1144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2025-01-30T06:24:50Z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