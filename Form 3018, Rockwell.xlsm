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9FAC14B1-D4FD-46AD-B3E6-2577FC0516D0}" xr6:coauthVersionLast="47" xr6:coauthVersionMax="47" xr10:uidLastSave="{00000000-0000-0000-0000-000000000000}"/>
  <bookViews>
    <workbookView xWindow="4515" yWindow="4530" windowWidth="21600" windowHeight="11295" activeTab="9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_xleta.N" hidden="1" xlm="1">#NAME?</definedName>
    <definedName name="_xleta.NA" hidden="1" xlm="1">#NAME?</definedName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M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Q43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M44" i="1" s="1"/>
  <c r="L59" i="29"/>
  <c r="Q44" i="1"/>
  <c r="A22" i="1"/>
  <c r="AM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T39" i="1" s="1"/>
  <c r="A40" i="1"/>
  <c r="AM40" i="1" s="1"/>
  <c r="L55" i="29"/>
  <c r="Q40" i="1"/>
  <c r="T40" i="1" s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T32" i="1" s="1"/>
  <c r="Q35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Q36" i="1"/>
  <c r="T36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Q42" i="1"/>
  <c r="T42" i="1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T34" i="1" s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35" i="1" l="1"/>
  <c r="T30" i="1"/>
  <c r="T31" i="1"/>
  <c r="AE20" i="1"/>
  <c r="I5" i="29"/>
  <c r="AE19" i="1"/>
  <c r="J4" i="29" s="1"/>
  <c r="I4" i="29"/>
  <c r="T44" i="1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T43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W34" i="1"/>
  <c r="U34" i="1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V43" i="1" s="1"/>
  <c r="W38" i="1"/>
  <c r="U38" i="1" s="1"/>
  <c r="X38" i="1"/>
  <c r="V38" i="1" s="1"/>
  <c r="J54" i="29"/>
  <c r="W35" i="1"/>
  <c r="U35" i="1" s="1"/>
  <c r="X35" i="1"/>
  <c r="V35" i="1" s="1"/>
  <c r="W27" i="1"/>
  <c r="U27" i="1" s="1"/>
  <c r="L42" i="29" s="1"/>
  <c r="X27" i="1"/>
  <c r="V27" i="1" s="1"/>
  <c r="J51" i="29"/>
  <c r="J57" i="29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V40" i="1" s="1"/>
  <c r="J55" i="29"/>
  <c r="W28" i="1"/>
  <c r="U28" i="1" s="1"/>
  <c r="L43" i="29" s="1"/>
  <c r="X28" i="1"/>
  <c r="V28" i="1" s="1"/>
  <c r="W42" i="1"/>
  <c r="U42" i="1" s="1"/>
  <c r="X42" i="1"/>
  <c r="V42" i="1" s="1"/>
  <c r="R42" i="1"/>
  <c r="J53" i="29"/>
  <c r="W30" i="1"/>
  <c r="U30" i="1" s="1"/>
  <c r="X30" i="1"/>
  <c r="V30" i="1" s="1"/>
  <c r="J58" i="29"/>
  <c r="J49" i="29"/>
  <c r="J50" i="29"/>
  <c r="W44" i="1"/>
  <c r="U44" i="1" s="1"/>
  <c r="X44" i="1"/>
  <c r="V44" i="1" s="1"/>
  <c r="J45" i="29"/>
  <c r="J47" i="29"/>
  <c r="W39" i="1"/>
  <c r="U39" i="1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I20" i="1" l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<sst xmlns="http://schemas.openxmlformats.org/spreadsheetml/2006/main" count="2539" uniqueCount="1147">
  <si>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</si>
  <si>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</si>
  <si>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</si>
  <si>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</si>
  <si>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</si>
  <si>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</si>
  <si>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</si>
  <si>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</si>
  <si>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</si>
  <si>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</si>
  <si>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</si>
  <si>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</si>
  <si>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</si>
  <si>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</si>
  <si>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</si>
  <si>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</si>
  <si>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</si>
  <si>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</si>
  <si>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</si>
  <si>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</si>
  <si>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</si>
  <si>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</si>
  <si>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</si>
  <si>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</si>
  <si>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</si>
  <si>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</si>
  <si>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</si>
  <si>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</si>
  <si>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</si>
  <si>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</si>
  <si>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</si>
  <si>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</si>
  <si>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</si>
  <si>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</si>
  <si>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</si>
  <si>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</si>
  <si>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</si>
  <si>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</si>
  <si>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</si>
  <si>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</si>
  <si>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</si>
  <si>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</si>
  <si>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</si>
  <si>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</si>
  <si>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</si>
  <si>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</si>
  <si>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</si>
  <si>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</si>
  <si>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</si>
  <si>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</si>
  <si>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</si>
  <si>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</si>
  <si>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</si>
  <si>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</si>
  <si>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</si>
  <si>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</si>
  <si>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</si>
  <si>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</si>
  <si>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</si>
  <si>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</si>
  <si>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</si>
  <si>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</si>
  <si>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</si>
  <si>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</si>
  <si>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</si>
  <si>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</si>
  <si>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</si>
  <si>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</si>
  <si>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</si>
  <si>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</si>
  <si>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</si>
  <si>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</si>
  <si>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</si>
  <si>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</si>
  <si>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</si>
  <si>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</si>
  <si>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</si>
  <si>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</si>
  <si>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</si>
  <si>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</si>
  <si>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</si>
  <si>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</si>
  <si>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</si>
  <si>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</si>
  <si>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</si>
  <si>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</si>
  <si>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</si>
  <si>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</si>
  <si>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</si>
  <si>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</si>
  <si>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</si>
  <si>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</si>
  <si>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</si>
  <si>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</si>
  <si>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</si>
  <si>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</si>
  <si>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</si>
  <si>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</si>
  <si>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</si>
  <si>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</si>
  <si>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</si>
  <si>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</si>
  <si>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</si>
  <si>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</si>
  <si>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</si>
  <si>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</si>
  <si>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</si>
  <si>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</si>
  <si>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</si>
  <si>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</si>
  <si>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</si>
  <si>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</si>
  <si>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</si>
  <si>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</si>
  <si>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</si>
  <si>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</si>
  <si>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</si>
  <si>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</si>
  <si>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</si>
  <si>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</si>
  <si>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</si>
  <si>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</si>
  <si>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</si>
  <si>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</si>
  <si>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</si>
  <si>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</si>
  <si>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</si>
  <si>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</si>
  <si>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</si>
  <si>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</si>
  <si>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</si>
  <si>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</si>
  <si>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</si>
  <si>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</si>
  <si>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</si>
  <si>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</si>
  <si>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</si>
  <si>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</si>
  <si>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</si>
  <si>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</si>
  <si>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</si>
  <si>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</si>
  <si>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</si>
  <si>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</si>
  <si>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</si>
  <si>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</si>
  <si>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</si>
  <si>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</si>
  <si>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</si>
  <si>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</si>
  <si>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</si>
  <si>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</si>
  <si>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</si>
  <si>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</si>
  <si>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</si>
  <si>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</si>
  <si>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</si>
  <si>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</si>
  <si>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</si>
  <si>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</si>
  <si>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</si>
  <si>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</si>
  <si>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</si>
  <si>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</si>
  <si>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</si>
  <si>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</si>
  <si>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</si>
  <si>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</si>
  <si>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</si>
  <si>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</si>
  <si>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</si>
  <si>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</si>
  <si>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</si>
  <si>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</si>
  <si>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</si>
  <si>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</si>
  <si>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</si>
  <si>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</si>
  <si>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</si>
  <si>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</si>
  <si>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</si>
  <si>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</si>
  <si>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</si>
  <si>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</si>
  <si>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</si>
  <si>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</si>
  <si>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</si>
  <si>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</si>
  <si>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</si>
  <si>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</si>
  <si>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</si>
  <si>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</si>
  <si>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</si>
  <si>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</si>
  <si>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</si>
  <si>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</si>
  <si>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</si>
  <si>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</si>
  <si>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</si>
  <si>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</si>
  <si>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</si>
  <si>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</si>
  <si>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</si>
  <si>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</si>
  <si>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</si>
  <si>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</si>
  <si>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</si>
  <si>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</si>
  <si>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</si>
  <si>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</si>
  <si>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</si>
  <si>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</si>
  <si>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</si>
  <si>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</si>
  <si>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</si>
  <si>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</si>
  <si>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</si>
  <si>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</si>
  <si>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</si>
  <si>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</si>
  <si>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</si>
  <si>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</si>
  <si>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</si>
  <si>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</si>
  <si>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</si>
  <si>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</si>
  <si>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</si>
  <si>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</si>
  <si>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</si>
  <si>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</si>
  <si>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</si>
  <si>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</si>
  <si>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</si>
  <si>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</si>
  <si>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</si>
  <si>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</si>
  <si>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</si>
  <si>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</si>
  <si>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</si>
  <si>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</si>
  <si>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</si>
  <si>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</si>
  <si>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</si>
  <si>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</si>
  <si>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</si>
  <si>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</si>
  <si>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</si>
  <si>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</si>
  <si>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</si>
  <si>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</si>
  <si>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</si>
  <si>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</si>
  <si>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</si>
  <si>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</si>
  <si>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</si>
  <si>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</si>
  <si>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</si>
  <si>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</si>
  <si>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</si>
  <si>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</si>
  <si>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</si>
  <si>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</si>
  <si>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</si>
  <si>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</si>
  <si>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</si>
  <si>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</si>
  <si>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</si>
  <si>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</si>
  <si>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</si>
  <si>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</si>
  <si>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</si>
  <si>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</si>
  <si>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</si>
  <si>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</si>
  <si>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</si>
  <si>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</si>
  <si>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</si>
  <si>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</si>
  <si>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</si>
  <si>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</si>
  <si>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</si>
  <si>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</si>
  <si>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</si>
  <si>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</si>
  <si>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</si>
  <si>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</si>
  <si>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</si>
  <si>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</si>
  <si>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</si>
  <si>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</si>
  <si>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</si>
  <si>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</si>
  <si>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</si>
  <si>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</si>
  <si>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</si>
  <si>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</si>
  <si>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</si>
  <si>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</si>
  <si>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</si>
  <si>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</si>
  <si>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</si>
  <si>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</si>
  <si>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</si>
  <si>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</si>
  <si>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</si>
  <si>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</si>
  <si>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</si>
  <si>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</si>
  <si>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</si>
  <si>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</si>
  <si>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</si>
  <si>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</si>
  <si>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</si>
  <si>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</si>
  <si>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</si>
  <si>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</si>
  <si>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</si>
  <si>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</si>
  <si>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</si>
  <si>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</si>
  <si>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</si>
  <si>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</si>
  <si>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</si>
  <si>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</si>
  <si>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</si>
  <si>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</si>
  <si>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</si>
  <si>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</si>
  <si>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</si>
  <si>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</si>
  <si>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</si>
  <si>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</si>
  <si>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</si>
  <si>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</si>
  <si>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</si>
  <si>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</si>
  <si>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</si>
  <si>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</si>
  <si>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</si>
  <si>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</si>
  <si>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</si>
  <si>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</si>
  <si>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</si>
  <si>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</si>
  <si>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</si>
  <si>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</si>
  <si>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</si>
  <si>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</si>
  <si>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</si>
  <si>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</si>
  <si>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</si>
  <si>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</si>
  <si>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</si>
  <si>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</si>
  <si>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</si>
  <si>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</si>
  <si>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</si>
  <si>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</si>
  <si>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</si>
  <si>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</si>
  <si>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</si>
  <si>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</si>
  <si>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</si>
  <si>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</si>
  <si>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</si>
  <si>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</si>
  <si>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</si>
  <si>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</si>
  <si>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</si>
  <si>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</si>
  <si>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</si>
  <si>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</si>
  <si>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</si>
  <si>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</si>
  <si>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</si>
  <si>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</si>
  <si>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</si>
  <si>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</si>
  <si>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</si>
  <si>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</si>
  <si>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</si>
  <si>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</si>
  <si>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</si>
  <si>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</si>
  <si>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</si>
  <si>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</si>
  <si>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</si>
  <si>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</si>
  <si>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</si>
  <si>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</si>
  <si>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</si>
  <si>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</si>
  <si>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</si>
  <si>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</si>
  <si>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</si>
  <si>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</si>
  <si>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</si>
  <si>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</si>
  <si>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</si>
  <si>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</si>
  <si>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</si>
  <si>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</si>
  <si>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</si>
  <si>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</si>
  <si>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</si>
  <si>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</si>
  <si>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</si>
  <si>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</si>
  <si>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</si>
  <si>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</si>
  <si>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</si>
  <si>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</si>
  <si>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</si>
  <si>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</si>
  <si>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</si>
  <si>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</si>
  <si>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</si>
  <si>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</si>
  <si>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</si>
  <si>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</si>
  <si>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</si>
  <si>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</si>
  <si>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</si>
  <si>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</si>
  <si>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</si>
  <si>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</si>
  <si>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</si>
  <si>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</si>
  <si>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</si>
  <si>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</si>
  <si>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</si>
  <si>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</si>
  <si>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</si>
  <si>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</si>
  <si>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</si>
  <si>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</si>
  <si>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</si>
  <si>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</si>
  <si>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</si>
  <si>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</si>
  <si>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</si>
  <si>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</si>
  <si>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</si>
  <si>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</si>
  <si>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</si>
  <si>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</si>
  <si>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</si>
  <si>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</si>
  <si>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</si>
  <si>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</si>
  <si>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</si>
  <si>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</si>
  <si>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</si>
  <si>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</si>
  <si>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</si>
  <si>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</si>
  <si>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</si>
  <si>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</si>
  <si>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</si>
  <si>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</si>
  <si>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</si>
  <si>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</si>
  <si>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</si>
  <si>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</si>
  <si>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</si>
  <si>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</si>
  <si>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</si>
  <si>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</si>
  <si>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</si>
  <si>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</si>
  <si>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</si>
  <si>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</si>
  <si>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</si>
  <si>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</si>
  <si>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</si>
  <si>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</si>
  <si>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</si>
  <si>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</si>
  <si>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</si>
  <si>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</si>
  <si>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</si>
  <si>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</si>
  <si>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</si>
  <si>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</si>
  <si>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</si>
  <si>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</si>
  <si>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</si>
  <si>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</si>
  <si>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</si>
  <si>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</si>
  <si>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</si>
  <si>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</si>
  <si>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</si>
  <si>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</si>
  <si>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</si>
  <si>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</si>
  <si>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</si>
  <si>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</si>
  <si>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</si>
  <si>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</si>
  <si>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</si>
  <si>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</si>
  <si>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</si>
  <si>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</si>
  <si>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</si>
  <si>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</si>
  <si>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</si>
  <si>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</si>
  <si>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</si>
  <si>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</si>
  <si>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</si>
  <si>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</si>
  <si>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</si>
  <si>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</si>
  <si>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</si>
  <si>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</si>
  <si>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</si>
  <si>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</si>
  <si>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</si>
  <si>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</si>
  <si>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</si>
  <si>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</si>
  <si>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</si>
  <si>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</si>
  <si>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</si>
  <si>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</si>
  <si>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</si>
  <si>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</si>
  <si>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</si>
  <si>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</si>
  <si>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</si>
  <si>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</si>
  <si>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</si>
  <si>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</si>
  <si>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</si>
  <si>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</si>
  <si>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</si>
  <si>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</si>
  <si>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</si>
  <si>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</si>
  <si>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</si>
  <si>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</si>
  <si>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</si>
  <si>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</si>
  <si>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</si>
  <si>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</si>
  <si>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</si>
  <si>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</si>
  <si>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</si>
  <si>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</si>
  <si>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</si>
  <si>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</si>
  <si>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</si>
  <si>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</si>
  <si>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</si>
  <si>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</si>
  <si>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</si>
  <si>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</si>
  <si>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</si>
  <si>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</si>
  <si>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</si>
  <si>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</si>
  <si>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</si>
  <si>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</si>
  <si>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</si>
  <si>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</si>
  <si>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</si>
  <si>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</si>
  <si>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</si>
  <si>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</si>
  <si>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</si>
  <si>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</si>
  <si>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</si>
  <si>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</si>
  <si>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</si>
  <si>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</si>
  <si>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</si>
  <si>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</si>
  <si>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</si>
  <si>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</si>
  <si>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</si>
  <si>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</si>
  <si>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</si>
  <si>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</si>
  <si>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</si>
  <si>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</si>
  <si>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</si>
  <si>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</si>
  <si>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</si>
  <si>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</si>
  <si>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</si>
  <si>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</si>
  <si>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</si>
  <si>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</si>
  <si>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</si>
  <si>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</si>
  <si>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</si>
  <si>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</si>
  <si>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</si>
  <si>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</si>
  <si>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</si>
  <si>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</si>
  <si>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</si>
  <si>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</si>
  <si>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</si>
  <si>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</si>
  <si>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</si>
  <si>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</si>
  <si>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</si>
  <si>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</si>
  <si>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</si>
  <si>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</si>
  <si>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</si>
  <si>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</si>
  <si>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</si>
  <si>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</si>
  <si>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</si>
  <si>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</si>
  <si>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</si>
  <si>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</si>
  <si>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</si>
  <si>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</si>
  <si>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</si>
  <si>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</si>
  <si>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</si>
  <si>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</si>
  <si>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</si>
  <si>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</si>
  <si>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</si>
  <si>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</si>
  <si>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</si>
  <si>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</si>
  <si>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</si>
  <si>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</si>
  <si>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</si>
  <si>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</si>
  <si>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</si>
  <si>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</si>
  <si>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</si>
  <si>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</si>
  <si>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</si>
  <si>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</si>
  <si>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</si>
  <si>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</si>
  <si>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</si>
  <si>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</si>
  <si>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</si>
  <si>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</si>
  <si>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</si>
  <si>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</si>
  <si>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</si>
  <si>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</si>
  <si>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</si>
  <si>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</si>
  <si>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</si>
  <si>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</si>
  <si>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</si>
  <si>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</si>
  <si>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</si>
  <si>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</si>
  <si>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</si>
  <si>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</si>
  <si>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</si>
  <si>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</si>
  <si>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</si>
  <si>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</si>
  <si>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</si>
  <si>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</si>
  <si>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</si>
  <si>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</si>
  <si>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</si>
  <si>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</si>
  <si>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</si>
  <si>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</si>
  <si>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</si>
  <si>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</si>
  <si>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</si>
  <si>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</si>
  <si>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</si>
  <si>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</si>
  <si>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</si>
  <si>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</si>
  <si>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</si>
  <si>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</si>
  <si>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</si>
  <si>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</si>
  <si>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</si>
  <si>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</si>
  <si>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</si>
  <si>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</si>
  <si>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</si>
  <si>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</si>
  <si>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</si>
  <si>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</si>
  <si>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</si>
  <si>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</si>
  <si>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</si>
  <si>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</si>
  <si>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</si>
  <si>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</si>
  <si>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</si>
  <si>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</si>
  <si>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</si>
  <si>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</si>
  <si>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</si>
  <si>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</si>
  <si>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</si>
  <si>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</si>
  <si>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</si>
  <si>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</si>
  <si>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</si>
  <si>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</si>
  <si>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</si>
  <si>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</si>
  <si>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</si>
  <si>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</si>
  <si>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</si>
  <si>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</si>
  <si>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</si>
  <si>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</si>
  <si>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</si>
  <si>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</si>
  <si>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</si>
  <si>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</si>
  <si>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</si>
  <si>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</si>
  <si>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</si>
  <si>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</si>
  <si>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</si>
  <si>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</si>
  <si>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</si>
  <si>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</si>
  <si>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</si>
  <si>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</si>
  <si>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</si>
  <si>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</si>
  <si>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</si>
  <si>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</si>
  <si>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</si>
  <si>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</si>
  <si>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</si>
  <si>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</si>
  <si>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</si>
  <si>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</si>
  <si>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</si>
  <si>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</si>
  <si>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</si>
  <si>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</si>
  <si>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</si>
  <si>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</si>
  <si>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</si>
  <si>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</si>
  <si>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</si>
  <si>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</si>
  <si>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</si>
  <si>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</si>
  <si>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</si>
  <si>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</si>
  <si>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</si>
  <si>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</si>
  <si>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</si>
  <si>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</si>
  <si>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</si>
  <si>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</si>
  <si>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</si>
  <si>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</si>
  <si>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</si>
  <si>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</si>
  <si>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</si>
  <si>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</si>
  <si>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</si>
  <si>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</si>
  <si>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</si>
  <si>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</si>
  <si>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</si>
  <si>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</si>
  <si>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</si>
  <si>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</si>
  <si>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</si>
  <si>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</si>
  <si>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</si>
  <si>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</si>
  <si>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</si>
  <si>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</si>
  <si>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</si>
  <si>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</si>
  <si>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</si>
  <si>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</si>
  <si>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</si>
  <si>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</si>
  <si>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</si>
  <si>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</si>
  <si>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</si>
  <si>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</si>
  <si>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</si>
  <si>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</si>
  <si>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</si>
  <si>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</si>
  <si>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</si>
  <si>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</si>
  <si>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</si>
  <si>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</si>
  <si>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</si>
  <si>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</si>
  <si>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</si>
  <si>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</si>
  <si>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</si>
  <si>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</si>
  <si>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</si>
  <si>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</si>
  <si>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</si>
  <si>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</si>
  <si>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</si>
  <si>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</si>
  <si>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</si>
  <si>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</si>
  <si>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</si>
  <si>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</si>
  <si>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</si>
  <si>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</si>
  <si>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</si>
  <si>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</si>
  <si>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</si>
  <si>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</si>
  <si>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</si>
  <si>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</si>
  <si>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</si>
  <si>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</si>
  <si>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</si>
  <si>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</si>
  <si>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</si>
  <si>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</si>
  <si>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</si>
  <si>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</si>
  <si>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</si>
  <si>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</si>
  <si>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</si>
  <si>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</si>
  <si>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</si>
  <si>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</si>
  <si>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</si>
  <si>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</si>
  <si>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</si>
  <si>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</si>
  <si>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</si>
  <si>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</si>
  <si>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</si>
  <si>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</si>
  <si>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</si>
  <si>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</si>
  <si>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</si>
  <si>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</si>
  <si>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</si>
  <si>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</si>
  <si>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</si>
  <si>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</si>
  <si>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</si>
  <si>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</si>
  <si>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</si>
  <si>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</si>
  <si>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</si>
  <si>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</si>
  <si>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</si>
  <si>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</si>
  <si>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</si>
  <si>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</si>
  <si>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</si>
  <si>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</si>
  <si>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</si>
  <si>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</si>
  <si>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</si>
  <si>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</si>
  <si>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</si>
  <si>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</si>
  <si>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</si>
  <si>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</si>
  <si>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</si>
  <si>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</si>
  <si>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</si>
  <si>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</si>
  <si>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</si>
  <si>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</si>
  <si>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</si>
  <si>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</si>
  <si>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</si>
  <si>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</si>
  <si>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</si>
  <si>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</si>
  <si>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</si>
  <si>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</si>
  <si>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</si>
  <si>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</si>
  <si>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</si>
  <si>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</si>
  <si>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</si>
  <si>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</si>
  <si>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</si>
  <si>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</si>
  <si>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</si>
  <si>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</si>
  <si>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</si>
  <si>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</si>
  <si>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</si>
  <si>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</si>
  <si>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</si>
  <si>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</si>
  <si>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</si>
  <si>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</si>
  <si>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</si>
  <si>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</si>
  <si>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</si>
  <si>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</si>
  <si>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</si>
  <si>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</si>
  <si>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</si>
  <si>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</si>
  <si>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</si>
  <si>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</si>
  <si>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</si>
  <si>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</si>
  <si>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</si>
  <si>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</si>
  <si>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</si>
  <si>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</si>
  <si>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</si>
  <si>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</si>
  <si>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</si>
  <si>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</si>
  <si>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</si>
  <si>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</si>
  <si>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</si>
  <si>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</si>
  <si>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</si>
  <si>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</si>
  <si>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</si>
  <si>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</si>
  <si>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</si>
  <si>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</si>
  <si>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</si>
  <si>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</si>
  <si>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</si>
  <si>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</si>
  <si>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</si>
  <si>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</si>
  <si>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</si>
  <si>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</si>
  <si>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</si>
  <si>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</si>
  <si>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</si>
  <si>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</si>
  <si>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</si>
  <si>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</si>
  <si>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</si>
  <si>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</si>
  <si>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</si>
  <si>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</si>
  <si>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</si>
  <si>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</si>
  <si>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</si>
  <si>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</si>
  <si>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</si>
  <si>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</si>
  <si>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</si>
  <si>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</si>
  <si>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</si>
  <si>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</si>
  <si>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</si>
  <si>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</si>
  <si>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</si>
  <si>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</si>
  <si>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</si>
  <si>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</si>
  <si>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</si>
  <si>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</si>
  <si>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</si>
  <si>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</si>
  <si>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</si>
  <si>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</si>
  <si>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</si>
  <si>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</si>
  <si>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</si>
  <si>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</si>
  <si>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</si>
  <si>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</si>
  <si>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</si>
  <si>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</si>
  <si>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</si>
  <si>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</si>
  <si>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</si>
  <si>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</si>
  <si>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</si>
  <si>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</si>
  <si>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</si>
  <si>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</si>
  <si>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</si>
  <si>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</si>
  <si>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</si>
  <si>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</si>
  <si>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</si>
  <si>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</si>
  <si>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</si>
  <si>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</si>
  <si>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</si>
  <si>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</si>
  <si>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</si>
  <si>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</si>
  <si>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</si>
  <si>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</si>
  <si>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</si>
  <si>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</si>
  <si>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</si>
  <si>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</si>
  <si>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</si>
  <si>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</si>
  <si>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</si>
  <si>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</si>
  <si>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</si>
  <si>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</si>
  <si>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</si>
  <si>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</si>
  <si>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</si>
  <si>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</si>
  <si>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</si>
  <si>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</si>
  <si>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</si>
  <si>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</si>
  <si>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</si>
  <si>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</si>
  <si>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</si>
  <si>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</si>
  <si>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</si>
  <si>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</si>
  <si>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</si>
  <si>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</si>
  <si>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</si>
  <si>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</si>
  <si>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</si>
  <si>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</si>
  <si>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</si>
  <si>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</si>
  <si>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</si>
  <si>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</si>
  <si>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</si>
  <si>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</si>
  <si>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</si>
  <si>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</si>
  <si>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</si>
  <si>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</si>
  <si>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</si>
  <si>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</si>
  <si>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</si>
  <si>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</si>
  <si>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</si>
  <si>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</si>
  <si>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</si>
  <si>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</si>
  <si>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</si>
  <si>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</si>
  <si>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</si>
  <si>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</si>
  <si>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</si>
  <si>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</si>
  <si>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</si>
  <si>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</si>
  <si>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</si>
  <si>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</si>
  <si>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</si>
  <si>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</si>
  <si>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</si>
  <si>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</si>
  <si>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</si>
  <si>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</si>
  <si>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</si>
  <si>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</si>
  <si>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</si>
  <si>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</si>
  <si>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</si>
  <si>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</si>
  <si>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</si>
  <si>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</si>
  <si>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</si>
  <si>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</si>
  <si>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</si>
  <si>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</si>
  <si>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</si>
  <si>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</si>
  <si>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</si>
  <si>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</si>
  <si>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</si>
  <si>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</si>
  <si>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</si>
  <si>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</si>
  <si>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</si>
  <si>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</si>
  <si>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</si>
  <si>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</si>
  <si>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</si>
  <si>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</si>
  <si>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</si>
  <si>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</si>
  <si>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</si>
  <si>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</si>
  <si>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</si>
  <si>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</si>
  <si>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</si>
  <si>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</si>
  <si>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</si>
  <si>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</si>
  <si>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</si>
  <si>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</si>
  <si>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</si>
  <si>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</si>
  <si>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</si>
  <si>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</si>
  <si>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</si>
  <si>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</si>
  <si>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</si>
  <si>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</si>
  <si>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</si>
  <si>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</si>
  <si>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</si>
  <si>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</si>
  <si>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</si>
  <si>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</si>
  <si>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</si>
  <si>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S</t>
  </si>
  <si>
    <t>R</t>
  </si>
  <si>
    <t>Q</t>
  </si>
  <si>
    <t>P</t>
  </si>
  <si>
    <t>O</t>
  </si>
  <si>
    <t>N</t>
  </si>
  <si>
    <t>M</t>
  </si>
  <si>
    <t>Revision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</si>
  <si>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</si>
  <si>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</si>
  <si>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</si>
  <si>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</si>
  <si>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</si>
  <si>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</si>
  <si>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</si>
  <si>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</si>
  <si>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</si>
  <si>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</si>
  <si>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</si>
  <si>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</si>
  <si>
    <t>Expanded regex (Worksheet!A1) to allow "revisions" in order number (Worksheet!D3)</t>
  </si>
  <si>
    <t>Added uncertainties for HRMW.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</si>
</sst>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jpeg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80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90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3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32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31"/>
    <tableColumn id="3" xr3:uid="{3C2AA4EE-2EA3-4E39-96BE-88D7CD62515A}" name="MID" dataDxfId="30"/>
    <tableColumn id="4" xr3:uid="{040AEA25-6926-41E6-8F6C-D2ACD028C50A}" name="HIGH" dataDxfId="2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8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26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2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24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22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21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20"/>
    <tableColumn id="5" xr3:uid="{51C18AEB-AFA1-40C6-99F7-31918CDAD643}" name="Serial No." dataDxfId="19"/>
    <tableColumn id="16" xr3:uid="{FFB7175C-ED75-4B9F-BEC5-83968A309C8A}" name="companyid2" dataDxfId="18">
      <calculatedColumnFormula>IFERROR(Table6[[#This Row],[companyid]]=DropDowns!$N$20,TRUE)</calculatedColumnFormula>
    </tableColumn>
    <tableColumn id="13" xr3:uid="{CC10DF6B-814B-4265-B224-9576F82CE6C8}" name="categoryname2" dataDxfId="17">
      <calculatedColumnFormula>OR(Worksheet!$D$5="",Worksheet!$D$5=Table6[[#This Row],[categoryname]])</calculatedColumnFormula>
    </tableColumn>
    <tableColumn id="12" xr3:uid="{98E27DFC-7E03-45B7-94AF-FB45BF292C56}" name="Manufacturer2" dataDxfId="16">
      <calculatedColumnFormula>OR(Worksheet!$D$7="",Worksheet!$D$7=Table6[[#This Row],[Manufacturer]])</calculatedColumnFormula>
    </tableColumn>
    <tableColumn id="14" xr3:uid="{CA054403-3098-4B4E-8A8D-C8CAFEC2B7C3}" name="Model2" dataDxfId="15">
      <calculatedColumnFormula>OR(Worksheet!$G$7="",Worksheet!$G$7=Table6[[#This Row],[Model No.]])</calculatedColumnFormula>
    </tableColumn>
    <tableColumn id="15" xr3:uid="{518BC2A9-019F-42EB-A45C-C4CF4B038E5F}" name="SN2" dataDxfId="14">
      <calculatedColumnFormula>OR(Worksheet!$D$8="",Worksheet!$D$8=Table6[[#This Row],[Serial No.]])</calculatedColumnFormula>
    </tableColumn>
    <tableColumn id="6" xr3:uid="{5C77DBEA-26A2-4AC0-8265-0418C3F4F4C5}" name="companyid FILTER" dataDxfId="13">
      <calculatedColumnFormula>AND(Table6[[#This Row],[categoryname2]:[SN2]])</calculatedColumnFormula>
    </tableColumn>
    <tableColumn id="7" xr3:uid="{03409555-2DFD-41BD-AA31-CEEE3C506752}" name="categoryname FILTER" dataDxfId="12">
      <calculatedColumnFormula>AND(Table6[[#This Row],[companyid2]],Table6[[#This Row],[Manufacturer2]:[SN2]])</calculatedColumnFormula>
    </tableColumn>
    <tableColumn id="8" xr3:uid="{D61C1540-467D-4DAB-A0EE-6046A4ABA245}" name="Manufacturer FILTER" dataDxfId="11">
      <calculatedColumnFormula>AND(Table6[[#This Row],[companyid2]:[categoryname2]],Table6[[#This Row],[Model2]:[SN2]])</calculatedColumnFormula>
    </tableColumn>
    <tableColumn id="9" xr3:uid="{22D13A03-D734-4738-ADD3-2DDC6F38CEBF}" name="Model FILTER" dataDxfId="10">
      <calculatedColumnFormula>AND(Table6[[#This Row],[companyid2]:[Manufacturer2]],Table6[[#This Row],[SN2]])</calculatedColumnFormula>
    </tableColumn>
    <tableColumn id="10" xr3:uid="{22EA9B94-FD09-42B7-BBB1-F8CAC3A70E43}" name="SN FILTER" dataDxfId="9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view="pageBreakPreview" zoomScaleNormal="100" zoomScaleSheetLayoutView="100" workbookViewId="0">
      <selection activeCell="Q23" sqref="Q23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8" t="b" cm="1">
        <f t="array" ref="A1">RegExMatch(D3,"^(56561-)?\d{6}(\.\d{2})?(-\d{2})?(R\d{1,2})?$")</f>
        <v>0</v>
      </c>
      <c r="B1" s="138" t="s">
        <v>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4" t="s">
        <v>1</v>
      </c>
      <c r="Q1" s="134"/>
      <c r="R1" s="134"/>
      <c r="S1" s="134"/>
      <c r="W1" t="s">
        <v>2</v>
      </c>
    </row>
    <row r="2" spans="1:32" ht="26.25" x14ac:dyDescent="0.4">
      <c r="A2" s="81"/>
      <c r="B2" s="139" t="s">
        <v>3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80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4"/>
      <c r="E3" s="83"/>
      <c r="F3" s="99" t="s">
        <v>445</v>
      </c>
      <c r="G3" s="97"/>
      <c r="K3" s="4" t="s">
        <v>8</v>
      </c>
      <c r="L3" s="57" t="s">
        <v>9</v>
      </c>
      <c r="N3" s="140"/>
      <c r="O3" s="140"/>
      <c r="P3" s="64" t="s">
        <v>10</v>
      </c>
      <c r="U3" s="4" t="s">
        <v>11</v>
      </c>
      <c r="V3" s="58"/>
      <c r="W3" s="111"/>
      <c r="X3" s="111"/>
      <c r="Z3" s="111"/>
      <c r="AA3" s="49"/>
      <c r="AB3" s="49"/>
      <c r="AC3" s="49"/>
      <c r="AD3" s="49"/>
    </row>
    <row r="4" spans="1:32" ht="15.75" x14ac:dyDescent="0.25">
      <c r="C4" s="4" t="s">
        <v>12</v>
      </c>
      <c r="D4" s="100"/>
      <c r="E4" s="83"/>
      <c r="F4" s="98" t="s">
        <v>13</v>
      </c>
      <c r="G4" s="101"/>
      <c r="K4" s="102" t="str">
        <f>IFERROR(VLOOKUP($D$4,Table1[],2,FALSE),"")</f>
        <v/>
      </c>
      <c r="L4" s="19"/>
      <c r="N4" s="141"/>
      <c r="O4" s="141"/>
      <c r="P4" s="65" t="s">
        <v>14</v>
      </c>
      <c r="U4" s="4" t="s">
        <v>15</v>
      </c>
      <c r="V4" s="58"/>
      <c r="W4" s="111"/>
      <c r="X4" s="111"/>
      <c r="Z4" s="111"/>
      <c r="AA4" s="49" t="b">
        <v>1</v>
      </c>
      <c r="AB4" s="49"/>
      <c r="AC4" s="49"/>
      <c r="AD4" s="49"/>
      <c r="AE4" s="122" t="b">
        <v>0</v>
      </c>
    </row>
    <row r="5" spans="1:32" ht="15.75" x14ac:dyDescent="0.25">
      <c r="C5" s="4" t="s">
        <v>16</v>
      </c>
      <c r="D5" s="95"/>
      <c r="E5" s="83"/>
      <c r="F5" s="98" t="s">
        <v>17</v>
      </c>
      <c r="G5" s="101"/>
      <c r="K5" s="102" t="str">
        <f>IFERROR(VLOOKUP($D$4,Table1[],3,FALSE),"")</f>
        <v/>
      </c>
      <c r="M5" s="4" t="s">
        <v>18</v>
      </c>
      <c r="N5" s="57"/>
      <c r="P5" s="65" t="s">
        <v>19</v>
      </c>
      <c r="U5" s="4" t="s">
        <v>20</v>
      </c>
      <c r="V5" s="58"/>
      <c r="W5" s="111"/>
      <c r="X5" s="111"/>
      <c r="Z5" s="111"/>
      <c r="AA5" s="49"/>
      <c r="AB5" s="49"/>
      <c r="AC5" s="49"/>
      <c r="AD5" s="49"/>
    </row>
    <row r="6" spans="1:32" ht="15.75" x14ac:dyDescent="0.25">
      <c r="C6" s="4" t="s">
        <v>21</v>
      </c>
      <c r="D6" s="96"/>
      <c r="E6" s="83"/>
      <c r="F6" s="98" t="s">
        <v>444</v>
      </c>
      <c r="G6" s="101"/>
      <c r="I6" t="s">
        <v>200</v>
      </c>
      <c r="K6" s="102" t="str">
        <f>IFERROR(VLOOKUP($D$4,Table1[],4,FALSE),"")</f>
        <v/>
      </c>
      <c r="M6" s="4" t="s">
        <v>22</v>
      </c>
      <c r="N6" s="59"/>
      <c r="P6" s="65" t="s">
        <v>23</v>
      </c>
      <c r="U6" s="4" t="s">
        <v>24</v>
      </c>
      <c r="V6" s="58"/>
      <c r="W6" s="111"/>
      <c r="X6" s="111"/>
      <c r="Z6" s="111"/>
      <c r="AA6" s="49"/>
      <c r="AB6" s="49"/>
      <c r="AC6" s="49"/>
      <c r="AD6" s="49"/>
    </row>
    <row r="7" spans="1:32" ht="15.75" x14ac:dyDescent="0.25">
      <c r="C7" s="4" t="s">
        <v>25</v>
      </c>
      <c r="D7" s="86"/>
      <c r="F7" s="4" t="s">
        <v>26</v>
      </c>
      <c r="G7" s="58"/>
      <c r="I7" s="87" t="str">
        <f>D7 &amp; " " &amp; G7</f>
        <v xml:space="preserve"> </v>
      </c>
      <c r="M7" s="4" t="s">
        <v>27</v>
      </c>
      <c r="N7" s="59"/>
      <c r="P7" s="65" t="s">
        <v>28</v>
      </c>
      <c r="U7" s="4" t="s">
        <v>29</v>
      </c>
      <c r="V7" s="58"/>
      <c r="W7" s="111"/>
      <c r="X7" s="111"/>
      <c r="Z7" s="111"/>
      <c r="AA7" s="49"/>
      <c r="AB7" s="49"/>
      <c r="AC7" s="49"/>
      <c r="AD7" s="49"/>
    </row>
    <row r="8" spans="1:32" ht="15.75" x14ac:dyDescent="0.25">
      <c r="C8" s="4" t="s">
        <v>30</v>
      </c>
      <c r="D8" s="62"/>
      <c r="M8" s="4" t="s">
        <v>31</v>
      </c>
      <c r="N8" s="60"/>
      <c r="P8" s="65" t="s">
        <v>32</v>
      </c>
      <c r="U8" s="4" t="s">
        <v>33</v>
      </c>
      <c r="V8" s="58"/>
      <c r="W8" s="111"/>
      <c r="X8" s="111"/>
      <c r="Z8" s="111"/>
      <c r="AA8" s="49"/>
      <c r="AB8" s="49"/>
      <c r="AC8" s="49"/>
      <c r="AD8" s="49"/>
    </row>
    <row r="9" spans="1:32" ht="15.75" x14ac:dyDescent="0.25">
      <c r="C9" s="4" t="s">
        <v>34</v>
      </c>
      <c r="D9" s="57"/>
      <c r="H9" t="s">
        <v>35</v>
      </c>
      <c r="J9" s="57" t="s">
        <v>42</v>
      </c>
      <c r="M9" s="4" t="s">
        <v>37</v>
      </c>
      <c r="N9" s="61"/>
      <c r="P9" s="65" t="s">
        <v>38</v>
      </c>
      <c r="U9" s="4"/>
    </row>
    <row r="10" spans="1:32" x14ac:dyDescent="0.25">
      <c r="B10" s="129" t="s">
        <v>39</v>
      </c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8"/>
      <c r="Q10" s="18"/>
      <c r="R10" s="18"/>
      <c r="U10" s="70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58" t="s">
        <v>42</v>
      </c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8"/>
      <c r="W11" s="111"/>
      <c r="X11" s="111"/>
      <c r="Z11" s="111"/>
      <c r="AA11" s="49"/>
      <c r="AB11" s="49"/>
      <c r="AC11" s="49"/>
      <c r="AD11" s="49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8"/>
      <c r="W12" s="111"/>
      <c r="X12" s="111"/>
      <c r="Z12" s="111"/>
      <c r="AA12" s="49"/>
      <c r="AB12" s="49"/>
      <c r="AC12" s="49"/>
      <c r="AD12" s="49"/>
    </row>
    <row r="13" spans="1:32" x14ac:dyDescent="0.25">
      <c r="B13" s="129" t="s">
        <v>39</v>
      </c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8"/>
      <c r="Q13" s="18"/>
      <c r="R13" s="18"/>
      <c r="U13" s="4" t="s">
        <v>24</v>
      </c>
      <c r="V13" s="58"/>
      <c r="W13" s="111"/>
      <c r="X13" s="111"/>
      <c r="Z13" s="111"/>
      <c r="AA13" s="49"/>
      <c r="AB13" s="49"/>
      <c r="AC13" s="49"/>
      <c r="AD13" s="49"/>
    </row>
    <row r="14" spans="1:32" ht="15.75" x14ac:dyDescent="0.25">
      <c r="B14" t="s">
        <v>48</v>
      </c>
      <c r="F14" s="56"/>
      <c r="G14" s="56"/>
      <c r="H14" s="56"/>
      <c r="I14" s="56"/>
      <c r="J14" s="56"/>
      <c r="K14" s="56"/>
      <c r="L14" s="56"/>
      <c r="M14" s="20"/>
      <c r="N14" s="20"/>
      <c r="O14" s="20"/>
      <c r="P14" s="5"/>
      <c r="Q14" s="5"/>
      <c r="R14" s="5"/>
      <c r="U14" s="4" t="s">
        <v>49</v>
      </c>
      <c r="V14" s="58"/>
      <c r="W14" s="111"/>
      <c r="X14" s="111"/>
      <c r="Z14" s="111"/>
      <c r="AA14" s="49"/>
      <c r="AB14" s="49"/>
      <c r="AC14" s="49"/>
      <c r="AD14" s="49"/>
    </row>
    <row r="15" spans="1:32" ht="15.75" x14ac:dyDescent="0.25">
      <c r="B15" t="s">
        <v>50</v>
      </c>
      <c r="F15" s="62"/>
      <c r="G15" s="62"/>
      <c r="H15" s="62"/>
      <c r="I15" s="62"/>
      <c r="J15" s="62"/>
      <c r="K15" s="62"/>
      <c r="L15" s="62"/>
      <c r="M15" s="74"/>
      <c r="N15" s="74"/>
      <c r="O15" s="74"/>
      <c r="P15" s="18"/>
      <c r="Q15" s="18"/>
      <c r="R15" s="18"/>
      <c r="U15" s="4" t="s">
        <v>33</v>
      </c>
      <c r="V15" s="58"/>
      <c r="W15" s="111"/>
      <c r="X15" s="111"/>
      <c r="Z15" s="111"/>
      <c r="AA15" s="49"/>
      <c r="AB15" s="49"/>
      <c r="AC15" s="49"/>
      <c r="AD15" s="49"/>
    </row>
    <row r="16" spans="1:32" x14ac:dyDescent="0.25">
      <c r="B16" s="131" t="s">
        <v>51</v>
      </c>
      <c r="C16" s="131"/>
      <c r="D16" s="131" t="s">
        <v>52</v>
      </c>
      <c r="E16" s="131"/>
      <c r="F16" s="48" t="s">
        <v>53</v>
      </c>
      <c r="G16" s="48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 x14ac:dyDescent="0.25">
      <c r="B17" s="13" t="s">
        <v>64</v>
      </c>
      <c r="C17" s="13" t="s">
        <v>65</v>
      </c>
      <c r="F17" s="66" t="s">
        <v>66</v>
      </c>
      <c r="J17" s="66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27"/>
      <c r="T17" s="127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9" t="s">
        <v>1143</v>
      </c>
      <c r="AJ17" s="15" t="s">
        <v>1144</v>
      </c>
      <c r="AK17" s="15" t="s">
        <v>79</v>
      </c>
      <c r="AL17" s="15" t="s">
        <v>62</v>
      </c>
      <c r="AM17" s="15" t="s">
        <v>1114</v>
      </c>
    </row>
    <row r="18" spans="1:39" ht="16.5" customHeight="1" x14ac:dyDescent="0.3">
      <c r="A18" s="4" t="str">
        <f>IFERROR(VLOOKUP(B18,Thresholds[],2,FALSE),"")</f>
        <v/>
      </c>
      <c r="B18" s="123"/>
      <c r="C18" s="63"/>
      <c r="D18" s="132"/>
      <c r="E18" s="133"/>
      <c r="F18" s="68"/>
      <c r="G18" s="68"/>
      <c r="H18" s="84"/>
      <c r="I18" s="85" t="str">
        <f>IFERROR(IF(OR(AE18&lt;-AL18,AE18&gt;AL18),"AF ERROR",IF(AC18&gt;AK18,"AF REPEAT","")),"")</f>
        <v/>
      </c>
      <c r="J18" s="69"/>
      <c r="K18" s="69"/>
      <c r="L18" s="69"/>
      <c r="M18" s="69"/>
      <c r="N18" s="69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1" t="str">
        <f t="shared" ref="S18:S20" si="1">IFERROR(IF(O18&gt;AK18,"OOT REPEATABILITY",""),"")</f>
        <v/>
      </c>
      <c r="T18" s="71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50" t="str">
        <f>IF(F18&gt;0,MAX(F18:G18),"")</f>
        <v/>
      </c>
      <c r="AB18" s="28" t="str">
        <f>IF(F18&gt;0,MIN(F18:G18),"")</f>
        <v/>
      </c>
      <c r="AC18" s="50" t="str">
        <f>IF(F18&gt;0,AA18-AB18,"")</f>
        <v/>
      </c>
      <c r="AD18" s="50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23"/>
      <c r="C19" s="63"/>
      <c r="D19" s="132"/>
      <c r="E19" s="133"/>
      <c r="F19" s="68"/>
      <c r="G19" s="68"/>
      <c r="H19" s="84" t="str">
        <f>IF(AND(C19-C18&lt;5,C19&gt;0),"Too Close","")</f>
        <v/>
      </c>
      <c r="I19" s="85" t="str">
        <f>IFERROR(IF(OR(AE19&lt;-AL19,AE19&gt;AL19),"AF ERROR",IF(AC19&gt;AK19,"AF REPEAT","")),"")</f>
        <v/>
      </c>
      <c r="J19" s="69"/>
      <c r="K19" s="69"/>
      <c r="L19" s="69"/>
      <c r="M19" s="69"/>
      <c r="N19" s="69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1" t="str">
        <f t="shared" si="1"/>
        <v/>
      </c>
      <c r="T19" s="71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50" t="str">
        <f t="shared" ref="AA19:AA44" si="6">IF(F19&gt;0,MAX(F19:G19),"")</f>
        <v/>
      </c>
      <c r="AB19" s="28" t="str">
        <f t="shared" ref="AB19:AB44" si="7">IF(F19&gt;0,MIN(F19:G19),"")</f>
        <v/>
      </c>
      <c r="AC19" s="50" t="str">
        <f t="shared" ref="AC19:AC44" si="8">IF(F19&gt;0,AA19-AB19,"")</f>
        <v/>
      </c>
      <c r="AD19" s="50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23"/>
      <c r="C20" s="63"/>
      <c r="D20" s="132"/>
      <c r="E20" s="133"/>
      <c r="F20" s="68"/>
      <c r="G20" s="68"/>
      <c r="H20" s="84" t="str">
        <f>IF(AND(C20-C19&lt;5,C20&gt;0),"Too Close","")</f>
        <v/>
      </c>
      <c r="I20" s="85" t="str">
        <f>IFERROR(IF(OR(AE20&lt;-AL20,AE20&gt;AL20),"AF ERROR",IF(AC20&gt;AK20,"AF REPEAT","")),"")</f>
        <v/>
      </c>
      <c r="J20" s="69"/>
      <c r="K20" s="69"/>
      <c r="L20" s="69"/>
      <c r="M20" s="69"/>
      <c r="N20" s="69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1" t="str">
        <f t="shared" si="1"/>
        <v/>
      </c>
      <c r="T20" s="71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50" t="str">
        <f t="shared" si="6"/>
        <v/>
      </c>
      <c r="AB20" s="28" t="str">
        <f t="shared" si="7"/>
        <v/>
      </c>
      <c r="AC20" s="50" t="str">
        <f t="shared" si="8"/>
        <v/>
      </c>
      <c r="AD20" s="50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9"/>
      <c r="B21" s="124"/>
      <c r="C21" s="110"/>
      <c r="D21" s="128"/>
      <c r="E21" s="128"/>
      <c r="F21" s="11"/>
      <c r="G21" s="11"/>
      <c r="H21" s="67"/>
      <c r="I21" s="85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50"/>
      <c r="AB21" s="28"/>
      <c r="AC21" s="50"/>
      <c r="AD21" s="50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23"/>
      <c r="C22" s="63"/>
      <c r="D22" s="130"/>
      <c r="E22" s="130"/>
      <c r="F22" s="68"/>
      <c r="G22" s="68"/>
      <c r="H22" s="84"/>
      <c r="I22" s="85" t="str">
        <f>IFERROR(IF(OR(AE22&lt;-AL22,AE22&gt;AL22),"AF ERROR",IF(AC22&gt;AK22,"AF REPEAT","")),"")</f>
        <v/>
      </c>
      <c r="J22" s="69"/>
      <c r="K22" s="69"/>
      <c r="L22" s="69"/>
      <c r="M22" s="69"/>
      <c r="N22" s="69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1" t="str">
        <f t="shared" ref="S22:S24" si="14">IFERROR(IF(O22&gt;AK22,"OOT REPEATABILITY",""),"")</f>
        <v/>
      </c>
      <c r="T22" s="71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50" t="str">
        <f t="shared" si="6"/>
        <v/>
      </c>
      <c r="AB22" s="28" t="str">
        <f t="shared" si="7"/>
        <v/>
      </c>
      <c r="AC22" s="50" t="str">
        <f t="shared" si="8"/>
        <v/>
      </c>
      <c r="AD22" s="50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23"/>
      <c r="C23" s="63"/>
      <c r="D23" s="130"/>
      <c r="E23" s="130"/>
      <c r="F23" s="68"/>
      <c r="G23" s="68"/>
      <c r="H23" s="84" t="str">
        <f>IF(AND(C23-C22&lt;5,C23&gt;0),"Too Close","")</f>
        <v/>
      </c>
      <c r="I23" s="85" t="str">
        <f>IFERROR(IF(OR(AE23&lt;-AL23,AE23&gt;AL23),"AF ERROR",IF(AC23&gt;AK23,"AF REPEAT","")),"")</f>
        <v/>
      </c>
      <c r="J23" s="69"/>
      <c r="K23" s="69"/>
      <c r="L23" s="69"/>
      <c r="M23" s="69"/>
      <c r="N23" s="69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1" t="str">
        <f t="shared" si="14"/>
        <v/>
      </c>
      <c r="T23" s="71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50" t="str">
        <f t="shared" si="6"/>
        <v/>
      </c>
      <c r="AB23" s="28" t="str">
        <f t="shared" si="7"/>
        <v/>
      </c>
      <c r="AC23" s="50" t="str">
        <f t="shared" si="8"/>
        <v/>
      </c>
      <c r="AD23" s="50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23"/>
      <c r="C24" s="63"/>
      <c r="D24" s="130"/>
      <c r="E24" s="130"/>
      <c r="F24" s="68"/>
      <c r="G24" s="68"/>
      <c r="H24" s="84" t="str">
        <f>IF(AND(C24-C23&lt;5,C24&gt;0),"Too Close","")</f>
        <v/>
      </c>
      <c r="I24" s="85" t="str">
        <f>IFERROR(IF(OR(AE24&lt;-AL24,AE24&gt;AL24),"AF ERROR",IF(AC24&gt;AK24,"AF REPEAT","")),"")</f>
        <v/>
      </c>
      <c r="J24" s="69"/>
      <c r="K24" s="69"/>
      <c r="L24" s="69"/>
      <c r="M24" s="69"/>
      <c r="N24" s="69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1" t="str">
        <f t="shared" si="14"/>
        <v/>
      </c>
      <c r="T24" s="71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50" t="str">
        <f t="shared" si="6"/>
        <v/>
      </c>
      <c r="AB24" s="28" t="str">
        <f t="shared" si="7"/>
        <v/>
      </c>
      <c r="AC24" s="50" t="str">
        <f t="shared" si="8"/>
        <v/>
      </c>
      <c r="AD24" s="50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5"/>
      <c r="C25" s="110"/>
      <c r="D25" s="128"/>
      <c r="E25" s="128"/>
      <c r="F25" s="3"/>
      <c r="G25" s="3"/>
      <c r="H25" s="66"/>
      <c r="I25" s="85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50" t="str">
        <f t="shared" si="6"/>
        <v/>
      </c>
      <c r="AB25" s="28" t="str">
        <f t="shared" si="7"/>
        <v/>
      </c>
      <c r="AC25" s="50" t="str">
        <f t="shared" si="8"/>
        <v/>
      </c>
      <c r="AD25" s="50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23"/>
      <c r="C26" s="63"/>
      <c r="D26" s="130"/>
      <c r="E26" s="130"/>
      <c r="F26" s="68"/>
      <c r="G26" s="68"/>
      <c r="H26" s="84"/>
      <c r="I26" s="85" t="str">
        <f>IFERROR(IF(OR(AE26&lt;-AL26,AE26&gt;AL26),"AF ERROR",IF(AC26&gt;AK26,"AF REPEAT","")),"")</f>
        <v/>
      </c>
      <c r="J26" s="69"/>
      <c r="K26" s="69"/>
      <c r="L26" s="69"/>
      <c r="M26" s="69"/>
      <c r="N26" s="69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1" t="str">
        <f t="shared" ref="S26:S28" si="25">IFERROR(IF(O26&gt;AK26,"OOT REPEATABILITY",""),"")</f>
        <v/>
      </c>
      <c r="T26" s="71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50" t="str">
        <f t="shared" si="6"/>
        <v/>
      </c>
      <c r="AB26" s="28" t="str">
        <f t="shared" si="7"/>
        <v/>
      </c>
      <c r="AC26" s="50" t="str">
        <f t="shared" si="8"/>
        <v/>
      </c>
      <c r="AD26" s="50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23"/>
      <c r="C27" s="63"/>
      <c r="D27" s="130"/>
      <c r="E27" s="130"/>
      <c r="F27" s="68"/>
      <c r="G27" s="68"/>
      <c r="H27" s="84" t="str">
        <f>IF(AND(C27-C26&lt;5,C27&gt;0),"Too Close","")</f>
        <v/>
      </c>
      <c r="I27" s="85" t="str">
        <f>IFERROR(IF(OR(AE27&lt;-AL27,AE27&gt;AL27),"AF ERROR",IF(AC27&gt;AK27,"AF REPEAT","")),"")</f>
        <v/>
      </c>
      <c r="J27" s="69"/>
      <c r="K27" s="69"/>
      <c r="L27" s="69"/>
      <c r="M27" s="69"/>
      <c r="N27" s="69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1" t="str">
        <f t="shared" si="25"/>
        <v/>
      </c>
      <c r="T27" s="71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50" t="str">
        <f t="shared" si="6"/>
        <v/>
      </c>
      <c r="AB27" s="28" t="str">
        <f t="shared" si="7"/>
        <v/>
      </c>
      <c r="AC27" s="50" t="str">
        <f t="shared" si="8"/>
        <v/>
      </c>
      <c r="AD27" s="50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23"/>
      <c r="C28" s="63"/>
      <c r="D28" s="130"/>
      <c r="E28" s="130"/>
      <c r="F28" s="68"/>
      <c r="G28" s="68"/>
      <c r="H28" s="84" t="str">
        <f>IF(AND(C28-C27&lt;5,C28&gt;0),"Too Close","")</f>
        <v/>
      </c>
      <c r="I28" s="85" t="str">
        <f>IFERROR(IF(OR(AE28&lt;-AL28,AE28&gt;AL28),"AF ERROR",IF(AC28&gt;AK28,"AF REPEAT","")),"")</f>
        <v/>
      </c>
      <c r="J28" s="69"/>
      <c r="K28" s="69"/>
      <c r="L28" s="69"/>
      <c r="M28" s="69"/>
      <c r="N28" s="69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1" t="str">
        <f t="shared" si="25"/>
        <v/>
      </c>
      <c r="T28" s="71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50" t="str">
        <f t="shared" si="6"/>
        <v/>
      </c>
      <c r="AB28" s="28" t="str">
        <f t="shared" si="7"/>
        <v/>
      </c>
      <c r="AC28" s="50" t="str">
        <f t="shared" si="8"/>
        <v/>
      </c>
      <c r="AD28" s="50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5"/>
      <c r="C29" s="110"/>
      <c r="D29" s="128"/>
      <c r="E29" s="128"/>
      <c r="F29" s="3"/>
      <c r="G29" s="3"/>
      <c r="H29" s="66"/>
      <c r="I29" s="85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50" t="str">
        <f t="shared" si="6"/>
        <v/>
      </c>
      <c r="AB29" s="28" t="str">
        <f t="shared" si="7"/>
        <v/>
      </c>
      <c r="AC29" s="50" t="str">
        <f t="shared" si="8"/>
        <v/>
      </c>
      <c r="AD29" s="50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23" t="str">
        <f>IF(I$14="","",I$14)</f>
        <v/>
      </c>
      <c r="C30" s="63"/>
      <c r="D30" s="130"/>
      <c r="E30" s="130"/>
      <c r="F30" s="68"/>
      <c r="G30" s="68"/>
      <c r="H30" s="84"/>
      <c r="I30" s="85" t="str">
        <f>IFERROR(IF(OR(AE30&lt;-AL30,AE30&gt;AL30),"AF ERROR",IF(AC30&gt;AK30,"AF REPEAT","")),"")</f>
        <v/>
      </c>
      <c r="J30" s="69"/>
      <c r="K30" s="69"/>
      <c r="L30" s="69"/>
      <c r="M30" s="69"/>
      <c r="N30" s="69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1" t="str">
        <f>IFERROR(IF(O30&gt;AK30,"OOT REPEATABILITY",""),"")</f>
        <v/>
      </c>
      <c r="T30" s="71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50" t="str">
        <f t="shared" si="6"/>
        <v/>
      </c>
      <c r="AB30" s="28" t="str">
        <f t="shared" si="7"/>
        <v/>
      </c>
      <c r="AC30" s="50" t="str">
        <f t="shared" si="8"/>
        <v/>
      </c>
      <c r="AD30" s="50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23" t="str">
        <f>IF(I$14="","",I$14)</f>
        <v/>
      </c>
      <c r="C31" s="63"/>
      <c r="D31" s="130"/>
      <c r="E31" s="130"/>
      <c r="F31" s="68"/>
      <c r="G31" s="68"/>
      <c r="H31" s="84" t="str">
        <f>IF(AND(C31-C30&lt;5,C31&gt;0),"Too Close","")</f>
        <v/>
      </c>
      <c r="I31" s="85" t="str">
        <f>IFERROR(IF(OR(AE31&lt;-AL31,AE31&gt;AL31),"AF ERROR",IF(AC31&gt;AK31,"AF REPEAT","")),"")</f>
        <v/>
      </c>
      <c r="J31" s="69"/>
      <c r="K31" s="69"/>
      <c r="L31" s="69"/>
      <c r="M31" s="69"/>
      <c r="N31" s="69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1" t="str">
        <f t="shared" ref="S31:S32" si="45">IFERROR(IF(O31&gt;AK31,"OOT REPEATABILITY",""),"")</f>
        <v/>
      </c>
      <c r="T31" s="71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50" t="str">
        <f t="shared" si="6"/>
        <v/>
      </c>
      <c r="AB31" s="28" t="str">
        <f t="shared" si="7"/>
        <v/>
      </c>
      <c r="AC31" s="50" t="str">
        <f t="shared" si="8"/>
        <v/>
      </c>
      <c r="AD31" s="50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23" t="str">
        <f>IF(I$14="","",I$14)</f>
        <v/>
      </c>
      <c r="C32" s="63"/>
      <c r="D32" s="130"/>
      <c r="E32" s="130"/>
      <c r="F32" s="68"/>
      <c r="G32" s="68"/>
      <c r="H32" s="84" t="str">
        <f>IF(AND(C32-C31&lt;5,C32&gt;0),"Too Close","")</f>
        <v/>
      </c>
      <c r="I32" s="85" t="str">
        <f>IFERROR(IF(OR(AE32&lt;-AL32,AE32&gt;AL32),"AF ERROR",IF(AC32&gt;AK32,"AF REPEAT","")),"")</f>
        <v/>
      </c>
      <c r="J32" s="69"/>
      <c r="K32" s="69"/>
      <c r="L32" s="69"/>
      <c r="M32" s="69"/>
      <c r="N32" s="69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1" t="str">
        <f t="shared" si="45"/>
        <v/>
      </c>
      <c r="T32" s="71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50" t="str">
        <f t="shared" si="6"/>
        <v/>
      </c>
      <c r="AB32" s="28" t="str">
        <f t="shared" si="7"/>
        <v/>
      </c>
      <c r="AC32" s="50" t="str">
        <f t="shared" si="8"/>
        <v/>
      </c>
      <c r="AD32" s="50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5"/>
      <c r="C33" s="110"/>
      <c r="D33" s="128"/>
      <c r="E33" s="128"/>
      <c r="F33" s="3"/>
      <c r="G33" s="3"/>
      <c r="H33" s="66"/>
      <c r="I33" s="85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50" t="str">
        <f t="shared" si="6"/>
        <v/>
      </c>
      <c r="AB33" s="28" t="str">
        <f t="shared" si="7"/>
        <v/>
      </c>
      <c r="AC33" s="50" t="str">
        <f t="shared" si="8"/>
        <v/>
      </c>
      <c r="AD33" s="50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23" t="str">
        <f>IF(J$14="","",J$14)</f>
        <v/>
      </c>
      <c r="C34" s="63"/>
      <c r="D34" s="130"/>
      <c r="E34" s="130"/>
      <c r="F34" s="68"/>
      <c r="G34" s="68"/>
      <c r="H34" s="84"/>
      <c r="I34" s="85" t="str">
        <f>IFERROR(IF(OR(AE34&lt;-AL34,AE34&gt;AL34),"AF ERROR",IF(AC34&gt;AK34,"AF REPEAT","")),"")</f>
        <v/>
      </c>
      <c r="J34" s="69"/>
      <c r="K34" s="69"/>
      <c r="L34" s="69"/>
      <c r="M34" s="69"/>
      <c r="N34" s="69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1" t="str">
        <f t="shared" ref="S34:S36" si="47">IFERROR(IF(O34&gt;AK34,"OOT REPEATABILITY",""),"")</f>
        <v/>
      </c>
      <c r="T34" s="71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50" t="str">
        <f t="shared" si="6"/>
        <v/>
      </c>
      <c r="AB34" s="28" t="str">
        <f t="shared" si="7"/>
        <v/>
      </c>
      <c r="AC34" s="50" t="str">
        <f t="shared" si="8"/>
        <v/>
      </c>
      <c r="AD34" s="50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23" t="str">
        <f>IF(J$14="","",J$14)</f>
        <v/>
      </c>
      <c r="C35" s="63"/>
      <c r="D35" s="130"/>
      <c r="E35" s="130"/>
      <c r="F35" s="68"/>
      <c r="G35" s="68"/>
      <c r="H35" s="84" t="str">
        <f>IF(AND(C35-C34&lt;5,C35&gt;0),"Too Close","")</f>
        <v/>
      </c>
      <c r="I35" s="85" t="str">
        <f>IFERROR(IF(OR(AE35&lt;-AL35,AE35&gt;AL35),"AF ERROR",IF(AC35&gt;AK35,"AF REPEAT","")),"")</f>
        <v/>
      </c>
      <c r="J35" s="69"/>
      <c r="K35" s="69"/>
      <c r="L35" s="69"/>
      <c r="M35" s="69"/>
      <c r="N35" s="69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1" t="str">
        <f t="shared" si="47"/>
        <v/>
      </c>
      <c r="T35" s="71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50" t="str">
        <f t="shared" si="6"/>
        <v/>
      </c>
      <c r="AB35" s="28" t="str">
        <f t="shared" si="7"/>
        <v/>
      </c>
      <c r="AC35" s="50" t="str">
        <f t="shared" si="8"/>
        <v/>
      </c>
      <c r="AD35" s="50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23" t="str">
        <f>IF(J$14="","",J$14)</f>
        <v/>
      </c>
      <c r="C36" s="63"/>
      <c r="D36" s="130"/>
      <c r="E36" s="130"/>
      <c r="F36" s="68"/>
      <c r="G36" s="68"/>
      <c r="H36" s="84" t="str">
        <f>IF(AND(C36-C35&lt;5,C36&gt;0),"Too Close","")</f>
        <v/>
      </c>
      <c r="I36" s="85" t="str">
        <f>IFERROR(IF(OR(AE36&lt;-AL36,AE36&gt;AL36),"AF ERROR",IF(AC36&gt;AK36,"AF REPEAT","")),"")</f>
        <v/>
      </c>
      <c r="J36" s="69"/>
      <c r="K36" s="69"/>
      <c r="L36" s="69"/>
      <c r="M36" s="69"/>
      <c r="N36" s="69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1" t="str">
        <f t="shared" si="47"/>
        <v/>
      </c>
      <c r="T36" s="71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50" t="str">
        <f t="shared" si="6"/>
        <v/>
      </c>
      <c r="AB36" s="28" t="str">
        <f t="shared" si="7"/>
        <v/>
      </c>
      <c r="AC36" s="50" t="str">
        <f t="shared" si="8"/>
        <v/>
      </c>
      <c r="AD36" s="50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5"/>
      <c r="C37" s="110"/>
      <c r="D37" s="128"/>
      <c r="E37" s="128"/>
      <c r="F37" s="3"/>
      <c r="G37" s="3"/>
      <c r="H37" s="66"/>
      <c r="I37" s="85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50" t="str">
        <f t="shared" si="6"/>
        <v/>
      </c>
      <c r="AB37" s="28" t="str">
        <f t="shared" si="7"/>
        <v/>
      </c>
      <c r="AC37" s="50" t="str">
        <f t="shared" si="8"/>
        <v/>
      </c>
      <c r="AD37" s="50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23" t="str">
        <f>IF(K$14="","",K$14)</f>
        <v/>
      </c>
      <c r="C38" s="63"/>
      <c r="D38" s="130"/>
      <c r="E38" s="130"/>
      <c r="F38" s="68"/>
      <c r="G38" s="68"/>
      <c r="H38" s="84"/>
      <c r="I38" s="85" t="str">
        <f>IFERROR(IF(OR(AE38&lt;-AL38,AE38&gt;AL38),"AF ERROR",IF(AC38&gt;AK38,"AF REPEAT","")),"")</f>
        <v/>
      </c>
      <c r="J38" s="69"/>
      <c r="K38" s="69"/>
      <c r="L38" s="69"/>
      <c r="M38" s="69"/>
      <c r="N38" s="69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1" t="str">
        <f t="shared" ref="S38:S40" si="58">IFERROR(IF(O38&gt;AK38,"OOT REPEATABILITY",""),"")</f>
        <v/>
      </c>
      <c r="T38" s="71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50" t="str">
        <f t="shared" si="6"/>
        <v/>
      </c>
      <c r="AB38" s="28" t="str">
        <f t="shared" si="7"/>
        <v/>
      </c>
      <c r="AC38" s="50" t="str">
        <f t="shared" si="8"/>
        <v/>
      </c>
      <c r="AD38" s="50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23" t="str">
        <f>IF(K$14="","",K$14)</f>
        <v/>
      </c>
      <c r="C39" s="63"/>
      <c r="D39" s="130"/>
      <c r="E39" s="130"/>
      <c r="F39" s="68"/>
      <c r="G39" s="68"/>
      <c r="H39" s="84" t="str">
        <f>IF(AND(C39-C38&lt;5,C39&gt;0),"Too Close","")</f>
        <v/>
      </c>
      <c r="I39" s="85" t="str">
        <f>IFERROR(IF(OR(AE39&lt;-AL39,AE39&gt;AL39),"AF ERROR",IF(AC39&gt;AK39,"AF REPEAT","")),"")</f>
        <v/>
      </c>
      <c r="J39" s="69"/>
      <c r="K39" s="69"/>
      <c r="L39" s="69"/>
      <c r="M39" s="69"/>
      <c r="N39" s="69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1" t="str">
        <f t="shared" si="58"/>
        <v/>
      </c>
      <c r="T39" s="71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50" t="str">
        <f t="shared" si="6"/>
        <v/>
      </c>
      <c r="AB39" s="28" t="str">
        <f t="shared" si="7"/>
        <v/>
      </c>
      <c r="AC39" s="50" t="str">
        <f t="shared" si="8"/>
        <v/>
      </c>
      <c r="AD39" s="50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23" t="str">
        <f>IF(K$14="","",K$14)</f>
        <v/>
      </c>
      <c r="C40" s="63"/>
      <c r="D40" s="130"/>
      <c r="E40" s="130"/>
      <c r="F40" s="68"/>
      <c r="G40" s="68"/>
      <c r="H40" s="84" t="str">
        <f>IF(AND(C40-C39&lt;5,C40&gt;0),"Too Close","")</f>
        <v/>
      </c>
      <c r="I40" s="85" t="str">
        <f>IFERROR(IF(OR(AE40&lt;-AL40,AE40&gt;AL40),"AF ERROR",IF(AC40&gt;AK40,"AF REPEAT","")),"")</f>
        <v/>
      </c>
      <c r="J40" s="69"/>
      <c r="K40" s="69"/>
      <c r="L40" s="69"/>
      <c r="M40" s="69"/>
      <c r="N40" s="69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1" t="str">
        <f t="shared" si="58"/>
        <v/>
      </c>
      <c r="T40" s="71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50" t="str">
        <f t="shared" si="6"/>
        <v/>
      </c>
      <c r="AB40" s="28" t="str">
        <f t="shared" si="7"/>
        <v/>
      </c>
      <c r="AC40" s="50" t="str">
        <f t="shared" si="8"/>
        <v/>
      </c>
      <c r="AD40" s="50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5"/>
      <c r="C41" s="110"/>
      <c r="D41" s="128"/>
      <c r="E41" s="128"/>
      <c r="F41" s="3"/>
      <c r="G41" s="3"/>
      <c r="H41" s="66"/>
      <c r="I41" s="85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50" t="str">
        <f t="shared" si="6"/>
        <v/>
      </c>
      <c r="AB41" s="28" t="str">
        <f t="shared" si="7"/>
        <v/>
      </c>
      <c r="AC41" s="50" t="str">
        <f t="shared" si="8"/>
        <v/>
      </c>
      <c r="AD41" s="50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23" t="str">
        <f>IF(L$14="","",L$14)</f>
        <v/>
      </c>
      <c r="C42" s="63"/>
      <c r="D42" s="130"/>
      <c r="E42" s="130"/>
      <c r="F42" s="68"/>
      <c r="G42" s="68"/>
      <c r="H42" s="84"/>
      <c r="I42" s="85" t="str">
        <f>IFERROR(IF(OR(AE42&lt;-AL42,AE42&gt;AL42),"AF ERROR",IF(AC42&gt;AK42,"AF REPEAT","")),"")</f>
        <v/>
      </c>
      <c r="J42" s="69"/>
      <c r="K42" s="69"/>
      <c r="L42" s="69"/>
      <c r="M42" s="69"/>
      <c r="N42" s="69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1" t="str">
        <f t="shared" ref="S42:S44" si="69">IFERROR(IF(O42&gt;AK42,"OOT REPEATABILITY",""),"")</f>
        <v/>
      </c>
      <c r="T42" s="71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50" t="str">
        <f t="shared" si="6"/>
        <v/>
      </c>
      <c r="AB42" s="28" t="str">
        <f t="shared" si="7"/>
        <v/>
      </c>
      <c r="AC42" s="50" t="str">
        <f t="shared" si="8"/>
        <v/>
      </c>
      <c r="AD42" s="50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23" t="str">
        <f>IF(L$14="","",L$14)</f>
        <v/>
      </c>
      <c r="C43" s="63"/>
      <c r="D43" s="130"/>
      <c r="E43" s="130"/>
      <c r="F43" s="68"/>
      <c r="G43" s="68"/>
      <c r="H43" s="84" t="str">
        <f>IF(AND(C43-C42&lt;5,C43&gt;0),"Too Close","")</f>
        <v/>
      </c>
      <c r="I43" s="85" t="str">
        <f>IFERROR(IF(OR(AE43&lt;-AL43,AE43&gt;AL43),"AF ERROR",IF(AC43&gt;AK43,"AF REPEAT","")),"")</f>
        <v/>
      </c>
      <c r="J43" s="69"/>
      <c r="K43" s="69"/>
      <c r="L43" s="69"/>
      <c r="M43" s="69"/>
      <c r="N43" s="69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1" t="str">
        <f t="shared" si="69"/>
        <v/>
      </c>
      <c r="T43" s="71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50" t="str">
        <f t="shared" si="6"/>
        <v/>
      </c>
      <c r="AB43" s="28" t="str">
        <f t="shared" si="7"/>
        <v/>
      </c>
      <c r="AC43" s="50" t="str">
        <f t="shared" si="8"/>
        <v/>
      </c>
      <c r="AD43" s="50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23" t="str">
        <f>IF(L$14="","",L$14)</f>
        <v/>
      </c>
      <c r="C44" s="63"/>
      <c r="D44" s="130"/>
      <c r="E44" s="130"/>
      <c r="F44" s="68"/>
      <c r="G44" s="68"/>
      <c r="H44" s="84" t="str">
        <f>IF(AND(C44-C43&lt;5,C44&gt;0),"Too Close","")</f>
        <v/>
      </c>
      <c r="I44" s="85" t="str">
        <f>IFERROR(IF(OR(AE44&lt;-AL44,AE44&gt;AL44),"AF ERROR",IF(AC44&gt;AK44,"AF REPEAT","")),"")</f>
        <v/>
      </c>
      <c r="J44" s="69"/>
      <c r="K44" s="69"/>
      <c r="L44" s="69"/>
      <c r="M44" s="69"/>
      <c r="N44" s="69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1" t="str">
        <f t="shared" si="69"/>
        <v/>
      </c>
      <c r="T44" s="71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50" t="str">
        <f t="shared" si="6"/>
        <v/>
      </c>
      <c r="AB44" s="28" t="str">
        <f t="shared" si="7"/>
        <v/>
      </c>
      <c r="AC44" s="50" t="str">
        <f t="shared" si="8"/>
        <v/>
      </c>
      <c r="AD44" s="50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9"/>
      <c r="C45" s="110"/>
      <c r="D45" s="52"/>
      <c r="E45" s="52"/>
      <c r="F45" s="53"/>
      <c r="G45" s="53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50"/>
      <c r="AB45" s="51"/>
      <c r="AC45" s="50"/>
      <c r="AD45" s="50"/>
      <c r="AE45" s="22"/>
      <c r="AF45" s="3"/>
      <c r="AG45" s="22"/>
      <c r="AM45" s="109"/>
    </row>
    <row r="46" spans="1:39" ht="16.5" customHeight="1" x14ac:dyDescent="0.25">
      <c r="A46" t="s">
        <v>80</v>
      </c>
      <c r="B46" s="142"/>
      <c r="C46" s="143"/>
      <c r="D46" s="143"/>
      <c r="E46" s="143"/>
      <c r="F46" s="143"/>
      <c r="G46" s="143"/>
      <c r="H46" s="143"/>
      <c r="I46" s="143"/>
      <c r="J46" s="143"/>
      <c r="K46" s="143"/>
      <c r="L46" s="144"/>
      <c r="M46" s="9"/>
      <c r="N46" t="s">
        <v>82</v>
      </c>
      <c r="O46" s="75"/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84</v>
      </c>
      <c r="B47" s="135"/>
      <c r="C47" s="136"/>
      <c r="D47" s="136"/>
      <c r="E47" s="136"/>
      <c r="F47" s="136"/>
      <c r="G47" s="136"/>
      <c r="H47" s="136"/>
      <c r="I47" s="136"/>
      <c r="J47" s="136"/>
      <c r="K47" s="136"/>
      <c r="L47" s="137"/>
      <c r="N47" t="s">
        <v>86</v>
      </c>
      <c r="O47" s="75"/>
    </row>
    <row r="48" spans="1:39" x14ac:dyDescent="0.25">
      <c r="B48" s="82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9" t="s">
        <v>100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54" ht="18.75" x14ac:dyDescent="0.3">
      <c r="B2" s="145" t="s">
        <v>101</v>
      </c>
      <c r="C2" s="145"/>
      <c r="D2" s="145"/>
      <c r="E2" s="145"/>
      <c r="F2" s="145"/>
      <c r="G2" s="145"/>
      <c r="H2" s="145"/>
      <c r="I2" s="145"/>
      <c r="J2" s="145"/>
      <c r="K2" s="145"/>
      <c r="AG2" s="129"/>
      <c r="AH2" s="129"/>
      <c r="AJ2" s="129"/>
      <c r="AK2" s="129"/>
      <c r="AM2" s="129"/>
      <c r="AN2" s="129"/>
      <c r="AP2" s="129"/>
      <c r="AQ2" s="129"/>
      <c r="AR2" s="18"/>
      <c r="AS2" s="129"/>
      <c r="AT2" s="129"/>
    </row>
    <row r="3" spans="1:54" ht="18.75" x14ac:dyDescent="0.3">
      <c r="B3" s="145" t="s">
        <v>102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2"/>
      <c r="C4" s="73"/>
      <c r="D4" s="148" t="s">
        <v>103</v>
      </c>
      <c r="E4" s="148"/>
      <c r="F4" s="148"/>
      <c r="G4" s="148"/>
      <c r="H4" s="148"/>
      <c r="I4" s="148"/>
      <c r="J4" s="72"/>
      <c r="K4" s="72"/>
    </row>
    <row r="5" spans="1:54" ht="18.75" x14ac:dyDescent="0.3">
      <c r="E5" s="149"/>
      <c r="F5" s="149"/>
      <c r="G5" s="149"/>
      <c r="H5" s="149"/>
      <c r="Y5" s="54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104</v>
      </c>
      <c r="B6" s="20" t="str">
        <f>IF(Worksheet!D3="","",Worksheet!D3)</f>
        <v/>
      </c>
      <c r="C6" s="4"/>
      <c r="D6" s="1"/>
      <c r="F6" s="150" t="s">
        <v>105</v>
      </c>
      <c r="G6" s="150"/>
      <c r="J6" t="s">
        <v>106</v>
      </c>
      <c r="BB6" s="4"/>
    </row>
    <row r="7" spans="1:54" ht="15.75" x14ac:dyDescent="0.2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54" ht="15.75" x14ac:dyDescent="0.25">
      <c r="A12" s="1" t="s">
        <v>110</v>
      </c>
      <c r="B12" s="20" t="str">
        <f>IF(Worksheet!D6="","",Worksheet!D6)</f>
        <v/>
      </c>
      <c r="H12" s="1" t="s">
        <v>22</v>
      </c>
      <c r="J12" s="147" t="str">
        <f>IF(Worksheet!N6="","",Worksheet!N6)</f>
        <v/>
      </c>
      <c r="K12" s="147"/>
    </row>
    <row r="13" spans="1:54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7" t="str">
        <f>IF(Worksheet!N7="","",Worksheet!N7)</f>
        <v/>
      </c>
      <c r="K13" s="147"/>
    </row>
    <row r="14" spans="1:54" ht="15.75" x14ac:dyDescent="0.2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6" t="str">
        <f>IF(Worksheet!N8="","",Worksheet!N8)</f>
        <v/>
      </c>
      <c r="K14" s="156"/>
    </row>
    <row r="15" spans="1:54" ht="15.75" x14ac:dyDescent="0.2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57" t="str">
        <f>IF(Worksheet!N9="","",Worksheet!N9)</f>
        <v/>
      </c>
      <c r="K15" s="157"/>
    </row>
    <row r="16" spans="1:54" ht="15" customHeight="1" x14ac:dyDescent="0.25">
      <c r="A16" t="s">
        <v>114</v>
      </c>
    </row>
    <row r="17" spans="1:17" ht="15.75" x14ac:dyDescent="0.25">
      <c r="A17" s="1" t="s">
        <v>115</v>
      </c>
      <c r="C17" s="19" t="str">
        <f>Worksheet!J11</f>
        <v>ASTM E18-24</v>
      </c>
    </row>
    <row r="18" spans="1:17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 x14ac:dyDescent="0.25">
      <c r="A19" t="s">
        <v>114</v>
      </c>
    </row>
    <row r="20" spans="1:17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 x14ac:dyDescent="0.25">
      <c r="A21" s="112" t="str" cm="1">
        <f t="array" ref="A21">_xlfn._xlws.FILTER('Filter Cert Data'!A33:L35,'Filter Cert Data'!A33:A35&lt;&gt;"","")</f>
        <v/>
      </c>
      <c r="B21" s="76"/>
      <c r="C21" s="45"/>
      <c r="D21" s="45"/>
      <c r="E21" s="45"/>
      <c r="F21" s="45"/>
      <c r="G21" s="45"/>
      <c r="H21" s="76"/>
      <c r="I21" s="45"/>
      <c r="J21" s="45"/>
      <c r="K21" s="76"/>
      <c r="L21" s="39"/>
      <c r="N21" s="38"/>
      <c r="P21" s="19"/>
      <c r="Q21" s="19"/>
    </row>
    <row r="22" spans="1:17" ht="15.75" x14ac:dyDescent="0.25">
      <c r="A22" s="113"/>
      <c r="B22" s="26"/>
      <c r="C22" s="46"/>
      <c r="D22" s="46"/>
      <c r="E22" s="46"/>
      <c r="F22" s="46"/>
      <c r="G22" s="46"/>
      <c r="H22" s="26"/>
      <c r="I22" s="46"/>
      <c r="J22" s="46"/>
      <c r="K22" s="26"/>
      <c r="L22" s="40"/>
      <c r="P22" s="19"/>
      <c r="Q22" s="19"/>
    </row>
    <row r="23" spans="1:17" ht="15.75" x14ac:dyDescent="0.25">
      <c r="A23" s="114"/>
      <c r="B23" s="77"/>
      <c r="C23" s="47"/>
      <c r="D23" s="47"/>
      <c r="E23" s="47"/>
      <c r="F23" s="47"/>
      <c r="G23" s="47"/>
      <c r="H23" s="77"/>
      <c r="I23" s="47"/>
      <c r="J23" s="47"/>
      <c r="K23" s="77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8"/>
      <c r="J24" s="78"/>
      <c r="K24" s="19"/>
    </row>
    <row r="25" spans="1:17" ht="15.75" x14ac:dyDescent="0.25">
      <c r="A25" s="112" t="str" cm="1">
        <f t="array" ref="A25">_xlfn._xlws.FILTER('Filter Cert Data'!A37:L39,'Filter Cert Data'!A37:A39&lt;&gt;"","")</f>
        <v/>
      </c>
      <c r="B25" s="76"/>
      <c r="C25" s="45"/>
      <c r="D25" s="45"/>
      <c r="E25" s="45"/>
      <c r="F25" s="45"/>
      <c r="G25" s="45"/>
      <c r="H25" s="76"/>
      <c r="I25" s="45"/>
      <c r="J25" s="45"/>
      <c r="K25" s="76"/>
      <c r="L25" s="39"/>
      <c r="P25" s="19"/>
    </row>
    <row r="26" spans="1:17" ht="15.75" x14ac:dyDescent="0.25">
      <c r="A26" s="113"/>
      <c r="B26" s="26"/>
      <c r="C26" s="46"/>
      <c r="D26" s="46"/>
      <c r="E26" s="46"/>
      <c r="F26" s="46"/>
      <c r="G26" s="46"/>
      <c r="H26" s="26"/>
      <c r="I26" s="46"/>
      <c r="J26" s="46"/>
      <c r="K26" s="26"/>
      <c r="L26" s="40"/>
      <c r="P26" s="19"/>
    </row>
    <row r="27" spans="1:17" ht="15.75" x14ac:dyDescent="0.25">
      <c r="A27" s="114"/>
      <c r="B27" s="77"/>
      <c r="C27" s="47"/>
      <c r="D27" s="47"/>
      <c r="E27" s="47"/>
      <c r="F27" s="47"/>
      <c r="G27" s="47"/>
      <c r="H27" s="77"/>
      <c r="I27" s="47"/>
      <c r="J27" s="47"/>
      <c r="K27" s="77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8"/>
      <c r="J28" s="78"/>
      <c r="K28" s="19"/>
    </row>
    <row r="29" spans="1:17" ht="15.75" x14ac:dyDescent="0.25">
      <c r="A29" s="112" t="str" cm="1">
        <f t="array" ref="A29">_xlfn._xlws.FILTER('Filter Cert Data'!A41:L43,'Filter Cert Data'!A41:A43&lt;&gt;"","")</f>
        <v/>
      </c>
      <c r="B29" s="76"/>
      <c r="C29" s="45"/>
      <c r="D29" s="45"/>
      <c r="E29" s="45"/>
      <c r="F29" s="45"/>
      <c r="G29" s="45"/>
      <c r="H29" s="76"/>
      <c r="I29" s="45"/>
      <c r="J29" s="45"/>
      <c r="K29" s="76"/>
      <c r="L29" s="39"/>
      <c r="P29" s="19"/>
    </row>
    <row r="30" spans="1:17" ht="15.75" x14ac:dyDescent="0.25">
      <c r="A30" s="113"/>
      <c r="B30" s="26"/>
      <c r="C30" s="46"/>
      <c r="D30" s="46"/>
      <c r="E30" s="46"/>
      <c r="F30" s="46"/>
      <c r="G30" s="46"/>
      <c r="H30" s="26"/>
      <c r="I30" s="46"/>
      <c r="J30" s="46"/>
      <c r="K30" s="26"/>
      <c r="L30" s="40"/>
      <c r="P30" s="19"/>
    </row>
    <row r="31" spans="1:17" ht="15.75" x14ac:dyDescent="0.25">
      <c r="A31" s="114"/>
      <c r="B31" s="77"/>
      <c r="C31" s="47"/>
      <c r="D31" s="47"/>
      <c r="E31" s="47"/>
      <c r="F31" s="47"/>
      <c r="G31" s="47"/>
      <c r="H31" s="77"/>
      <c r="I31" s="47"/>
      <c r="J31" s="47"/>
      <c r="K31" s="77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8"/>
      <c r="J32" s="78"/>
      <c r="K32" s="19"/>
    </row>
    <row r="33" spans="1:16" ht="15.75" x14ac:dyDescent="0.25">
      <c r="A33" s="112" t="str" cm="1">
        <f t="array" ref="A33">_xlfn._xlws.FILTER('Filter Cert Data'!A45:L47,'Filter Cert Data'!A45:A47&lt;&gt;"","")</f>
        <v/>
      </c>
      <c r="B33" s="76"/>
      <c r="C33" s="45"/>
      <c r="D33" s="45"/>
      <c r="E33" s="45"/>
      <c r="F33" s="45"/>
      <c r="G33" s="45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46"/>
      <c r="D34" s="46"/>
      <c r="E34" s="46"/>
      <c r="F34" s="46"/>
      <c r="G34" s="4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47"/>
      <c r="D35" s="47"/>
      <c r="E35" s="47"/>
      <c r="F35" s="47"/>
      <c r="G35" s="47"/>
      <c r="H35" s="77"/>
      <c r="I35" s="47"/>
      <c r="J35" s="47"/>
      <c r="K35" s="77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6" ht="15.75" x14ac:dyDescent="0.25">
      <c r="A37" s="112" t="str" cm="1">
        <f t="array" ref="A37">_xlfn._xlws.FILTER('Filter Cert Data'!A49:L51,'Filter Cert Data'!A49:A51&lt;&gt;"","")</f>
        <v/>
      </c>
      <c r="B37" s="76"/>
      <c r="C37" s="45"/>
      <c r="D37" s="45"/>
      <c r="E37" s="45"/>
      <c r="F37" s="45"/>
      <c r="G37" s="45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46"/>
      <c r="D38" s="46"/>
      <c r="E38" s="46"/>
      <c r="F38" s="46"/>
      <c r="G38" s="4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47"/>
      <c r="D39" s="47"/>
      <c r="E39" s="47"/>
      <c r="F39" s="47"/>
      <c r="G39" s="47"/>
      <c r="H39" s="77"/>
      <c r="I39" s="47"/>
      <c r="J39" s="47"/>
      <c r="K39" s="77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6" ht="15.75" x14ac:dyDescent="0.25">
      <c r="A41" s="112" t="str" cm="1">
        <f t="array" ref="A41">_xlfn._xlws.FILTER('Filter Cert Data'!A53:L55,'Filter Cert Data'!A53:A55&lt;&gt;"","")</f>
        <v/>
      </c>
      <c r="B41" s="76"/>
      <c r="C41" s="45"/>
      <c r="D41" s="45"/>
      <c r="E41" s="45"/>
      <c r="F41" s="45"/>
      <c r="G41" s="45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46"/>
      <c r="D42" s="46"/>
      <c r="E42" s="46"/>
      <c r="F42" s="46"/>
      <c r="G42" s="4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47"/>
      <c r="D43" s="47"/>
      <c r="E43" s="47"/>
      <c r="F43" s="47"/>
      <c r="G43" s="47"/>
      <c r="H43" s="77"/>
      <c r="I43" s="47"/>
      <c r="J43" s="47"/>
      <c r="K43" s="77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6" ht="15.75" x14ac:dyDescent="0.25">
      <c r="A45" s="112" t="str" cm="1">
        <f t="array" ref="A45">_xlfn._xlws.FILTER('Filter Cert Data'!A57:L59,'Filter Cert Data'!A57:A59&lt;&gt;"","")</f>
        <v/>
      </c>
      <c r="B45" s="76"/>
      <c r="C45" s="45"/>
      <c r="D45" s="45"/>
      <c r="E45" s="45"/>
      <c r="F45" s="45"/>
      <c r="G45" s="45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46"/>
      <c r="D46" s="46"/>
      <c r="E46" s="46"/>
      <c r="F46" s="46"/>
      <c r="G46" s="4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47"/>
      <c r="D47" s="47"/>
      <c r="E47" s="47"/>
      <c r="F47" s="47"/>
      <c r="G47" s="47"/>
      <c r="H47" s="77"/>
      <c r="I47" s="47"/>
      <c r="J47" s="47"/>
      <c r="K47" s="77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122</v>
      </c>
      <c r="D51" s="43" t="str">
        <f>IF(Worksheet!F15="","",Worksheet!F15)</f>
        <v/>
      </c>
      <c r="E51" s="43" t="str">
        <f>IF(Worksheet!G15="","",Worksheet!G15)</f>
        <v/>
      </c>
      <c r="F51" s="43" t="str">
        <f>IF(Worksheet!H15="","",Worksheet!H15)</f>
        <v/>
      </c>
      <c r="G51" s="43" t="str">
        <f>IF(Worksheet!I15="","",Worksheet!I15)</f>
        <v/>
      </c>
      <c r="H51" s="43" t="str">
        <f>IF(Worksheet!J15="","",Worksheet!J15)</f>
        <v/>
      </c>
      <c r="I51" s="43" t="str">
        <f>IF(Worksheet!K15="","",Worksheet!K15)</f>
        <v/>
      </c>
      <c r="J51" s="43" t="str">
        <f>IF(Worksheet!L15="","",Worksheet!L15)</f>
        <v/>
      </c>
      <c r="K51" s="43" t="str">
        <f>IF(Worksheet!N15="","",Worksheet!N15)</f>
        <v/>
      </c>
      <c r="L51" s="43" t="str">
        <f>IF(Worksheet!O15="","",Worksheet!O15)</f>
        <v/>
      </c>
      <c r="M51" s="44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114</v>
      </c>
    </row>
    <row r="56" spans="1:27" ht="15" customHeight="1" x14ac:dyDescent="0.25">
      <c r="A56" s="79" t="s">
        <v>123</v>
      </c>
      <c r="B56" s="153" t="s">
        <v>124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4" t="s">
        <v>124</v>
      </c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</row>
    <row r="57" spans="1:27" ht="15" customHeight="1" x14ac:dyDescent="0.25">
      <c r="A57" s="1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</row>
    <row r="58" spans="1:27" ht="20.100000000000001" customHeight="1" x14ac:dyDescent="0.25">
      <c r="A58" s="1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125</v>
      </c>
      <c r="B60" s="146" t="str">
        <f>IF(Worksheet!O47="","",Worksheet!O47)</f>
        <v/>
      </c>
      <c r="C60" s="146"/>
    </row>
    <row r="61" spans="1:27" ht="12" customHeight="1" x14ac:dyDescent="0.25">
      <c r="A61" s="152" t="str">
        <f>IF(Worksheet!D11="YES",'CERT AL'!A120,"")</f>
        <v/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ht="12" customHeight="1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114</v>
      </c>
    </row>
    <row r="67" spans="1:16" x14ac:dyDescent="0.25">
      <c r="A67" t="s">
        <v>126</v>
      </c>
    </row>
    <row r="68" spans="1:16" x14ac:dyDescent="0.25">
      <c r="A68" s="151" t="s">
        <v>127</v>
      </c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6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6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6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6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6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6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6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8" spans="1:16" x14ac:dyDescent="0.25">
      <c r="A78" t="s">
        <v>128</v>
      </c>
    </row>
    <row r="79" spans="1:16" ht="15" customHeight="1" x14ac:dyDescent="0.25">
      <c r="A79" s="151" t="s">
        <v>129</v>
      </c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24"/>
    </row>
    <row r="80" spans="1:16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24"/>
    </row>
    <row r="81" spans="1:16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24"/>
    </row>
    <row r="82" spans="1:16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24"/>
    </row>
    <row r="83" spans="1:16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24"/>
    </row>
    <row r="84" spans="1:16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24"/>
    </row>
    <row r="85" spans="1:16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24"/>
    </row>
    <row r="86" spans="1:16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51" t="s">
        <v>124</v>
      </c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25"/>
    </row>
    <row r="91" spans="1:16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</row>
    <row r="96" spans="1:16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</row>
    <row r="99" spans="1:15" x14ac:dyDescent="0.25">
      <c r="A99" t="s">
        <v>130</v>
      </c>
    </row>
    <row r="100" spans="1:15" x14ac:dyDescent="0.25">
      <c r="A100" s="151" t="s">
        <v>131</v>
      </c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</row>
    <row r="101" spans="1:15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</row>
    <row r="104" spans="1:15" x14ac:dyDescent="0.25">
      <c r="A104" t="s">
        <v>132</v>
      </c>
    </row>
    <row r="105" spans="1:15" x14ac:dyDescent="0.25">
      <c r="A105" s="151" t="s">
        <v>133</v>
      </c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</row>
    <row r="106" spans="1:15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</row>
    <row r="109" spans="1:15" x14ac:dyDescent="0.25">
      <c r="A109" t="s">
        <v>134</v>
      </c>
    </row>
    <row r="110" spans="1:15" x14ac:dyDescent="0.25">
      <c r="A110" s="151" t="s">
        <v>135</v>
      </c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</row>
    <row r="111" spans="1:15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</row>
    <row r="114" spans="1:15" x14ac:dyDescent="0.25">
      <c r="A114" t="s">
        <v>136</v>
      </c>
    </row>
    <row r="115" spans="1:15" x14ac:dyDescent="0.25">
      <c r="A115" s="151" t="s">
        <v>137</v>
      </c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</row>
    <row r="116" spans="1:15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</row>
    <row r="119" spans="1:15" x14ac:dyDescent="0.25">
      <c r="A119" t="s">
        <v>138</v>
      </c>
    </row>
    <row r="120" spans="1:15" x14ac:dyDescent="0.25">
      <c r="A120" s="151" t="s">
        <v>139</v>
      </c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</row>
    <row r="121" spans="1:15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</row>
    <row r="123" spans="1:15" x14ac:dyDescent="0.25">
      <c r="A123" t="s">
        <v>140</v>
      </c>
    </row>
    <row r="124" spans="1:15" x14ac:dyDescent="0.25">
      <c r="A124" s="151" t="s">
        <v>141</v>
      </c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</row>
    <row r="125" spans="1:15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A124:O125"/>
    <mergeCell ref="AG2:AH2"/>
    <mergeCell ref="AJ2:AK2"/>
    <mergeCell ref="AM2:AN2"/>
    <mergeCell ref="AP2:AQ2"/>
    <mergeCell ref="J13:K13"/>
    <mergeCell ref="J14:K14"/>
    <mergeCell ref="J15:K15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9" t="s">
        <v>100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11" ht="18.75" x14ac:dyDescent="0.3">
      <c r="B2" s="145" t="s">
        <v>101</v>
      </c>
      <c r="C2" s="145"/>
      <c r="D2" s="145"/>
      <c r="E2" s="145"/>
      <c r="F2" s="145"/>
      <c r="G2" s="145"/>
      <c r="H2" s="145"/>
      <c r="I2" s="145"/>
      <c r="J2" s="145"/>
      <c r="K2" s="145"/>
    </row>
    <row r="3" spans="1:11" ht="18.75" x14ac:dyDescent="0.3">
      <c r="B3" s="145" t="s">
        <v>102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11" ht="21" x14ac:dyDescent="0.35">
      <c r="B4" s="72"/>
      <c r="C4" s="134" t="s">
        <v>142</v>
      </c>
      <c r="D4" s="134"/>
      <c r="E4" s="134"/>
      <c r="F4" s="134"/>
      <c r="G4" s="134"/>
      <c r="H4" s="134"/>
      <c r="I4" s="134"/>
      <c r="J4" s="72"/>
      <c r="K4" s="72"/>
    </row>
    <row r="5" spans="1:11" ht="18.75" x14ac:dyDescent="0.3">
      <c r="B5" s="72"/>
      <c r="C5" s="158"/>
      <c r="D5" s="158"/>
      <c r="E5" s="158"/>
      <c r="F5" s="158"/>
      <c r="G5" s="158"/>
      <c r="H5" s="158"/>
      <c r="I5" s="158"/>
      <c r="J5" s="158"/>
      <c r="K5" s="72"/>
    </row>
    <row r="6" spans="1:11" ht="15.75" x14ac:dyDescent="0.25">
      <c r="A6" s="1" t="s">
        <v>104</v>
      </c>
      <c r="B6" s="20" t="str">
        <f>IF(Worksheet!D3="","",Worksheet!D3)</f>
        <v/>
      </c>
      <c r="C6" s="4"/>
      <c r="D6" s="1"/>
      <c r="F6" s="129" t="s">
        <v>143</v>
      </c>
      <c r="G6" s="129"/>
      <c r="J6" t="s">
        <v>106</v>
      </c>
    </row>
    <row r="7" spans="1:11" ht="15.75" x14ac:dyDescent="0.25">
      <c r="A7" s="1" t="s">
        <v>107</v>
      </c>
      <c r="B7" s="20" t="str">
        <f>IF(Worksheet!D4="","",Worksheet!D4)</f>
        <v/>
      </c>
      <c r="J7" t="s">
        <v>108</v>
      </c>
    </row>
    <row r="8" spans="1:11" ht="18.75" x14ac:dyDescent="0.3">
      <c r="A8" s="1"/>
      <c r="B8" s="20" t="str">
        <f>IF(Worksheet!G4="","",Worksheet!G4)</f>
        <v/>
      </c>
      <c r="C8" s="42"/>
      <c r="D8" s="42"/>
      <c r="E8" s="42"/>
      <c r="F8" s="42"/>
      <c r="G8" s="42"/>
      <c r="H8" s="42"/>
    </row>
    <row r="9" spans="1:11" ht="15.75" x14ac:dyDescent="0.25">
      <c r="A9" s="1"/>
      <c r="B9" s="20" t="str">
        <f>IF(Worksheet!G5="","",Worksheet!G5)</f>
        <v/>
      </c>
      <c r="C9" s="66"/>
      <c r="D9" s="66"/>
      <c r="E9" s="66"/>
      <c r="F9" s="66"/>
      <c r="G9" s="66"/>
      <c r="H9" s="66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6" t="str">
        <f>IF(Worksheet!N5="","",Worksheet!N5)</f>
        <v/>
      </c>
      <c r="K11" s="146"/>
    </row>
    <row r="12" spans="1:11" ht="15.75" x14ac:dyDescent="0.25">
      <c r="A12" s="1" t="s">
        <v>110</v>
      </c>
      <c r="B12" s="19" t="str">
        <f>IF(Worksheet!D6="","",Worksheet!D6)</f>
        <v/>
      </c>
      <c r="H12" s="1" t="s">
        <v>22</v>
      </c>
      <c r="J12" s="147" t="str">
        <f>IF(Worksheet!N6="","",Worksheet!N6)</f>
        <v/>
      </c>
      <c r="K12" s="147"/>
    </row>
    <row r="13" spans="1:11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7" t="str">
        <f>IF(Worksheet!N7="","",Worksheet!N7)</f>
        <v/>
      </c>
      <c r="K13" s="147"/>
    </row>
    <row r="14" spans="1:11" ht="15.75" x14ac:dyDescent="0.25">
      <c r="A14" s="1" t="s">
        <v>112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6" t="str">
        <f>IF(Worksheet!N8="","",Worksheet!N8)</f>
        <v/>
      </c>
      <c r="K14" s="156"/>
    </row>
    <row r="15" spans="1:11" ht="15.75" x14ac:dyDescent="0.25">
      <c r="A15" s="1" t="s">
        <v>113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57" t="str">
        <f>IF(Worksheet!N9="","",Worksheet!N9)</f>
        <v/>
      </c>
      <c r="K15" s="157"/>
    </row>
    <row r="16" spans="1:11" x14ac:dyDescent="0.25">
      <c r="A16" t="s">
        <v>114</v>
      </c>
    </row>
    <row r="17" spans="1:16" ht="15.75" x14ac:dyDescent="0.25">
      <c r="A17" s="1" t="s">
        <v>115</v>
      </c>
      <c r="C17" s="19" t="str">
        <f>Worksheet!J11</f>
        <v>ASTM E18-24</v>
      </c>
    </row>
    <row r="18" spans="1:16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6" x14ac:dyDescent="0.25">
      <c r="A19" t="s">
        <v>114</v>
      </c>
    </row>
    <row r="20" spans="1:16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6" ht="15.75" x14ac:dyDescent="0.25">
      <c r="A21" s="112" t="str" cm="1">
        <f t="array" ref="A21">IF(_xlfn._xlws.FILTER('Filter Cert Data'!A3:L5,'Filter Cert Data'!A3:A5&lt;&gt;"","")="", "", _xlfn._xlws.FILTER('Filter Cert Data'!A3:L5,'Filter Cert Data'!A3:A5&lt;&gt;""))</f>
        <v/>
      </c>
      <c r="B21" s="76"/>
      <c r="C21" s="76"/>
      <c r="D21" s="76"/>
      <c r="E21" s="76"/>
      <c r="F21" s="76"/>
      <c r="G21" s="76"/>
      <c r="H21" s="76"/>
      <c r="I21" s="45"/>
      <c r="J21" s="45"/>
      <c r="K21" s="76"/>
      <c r="L21" s="39"/>
      <c r="P21" s="19"/>
    </row>
    <row r="22" spans="1:16" ht="15.75" x14ac:dyDescent="0.25">
      <c r="A22" s="113"/>
      <c r="B22" s="26"/>
      <c r="C22" s="26"/>
      <c r="D22" s="26"/>
      <c r="E22" s="26"/>
      <c r="F22" s="26"/>
      <c r="G22" s="26"/>
      <c r="H22" s="26"/>
      <c r="I22" s="46"/>
      <c r="J22" s="46"/>
      <c r="K22" s="26"/>
      <c r="L22" s="40"/>
      <c r="P22" s="19"/>
    </row>
    <row r="23" spans="1:16" ht="15.75" x14ac:dyDescent="0.25">
      <c r="A23" s="114"/>
      <c r="B23" s="77"/>
      <c r="C23" s="77"/>
      <c r="D23" s="77"/>
      <c r="E23" s="77"/>
      <c r="F23" s="77"/>
      <c r="G23" s="77"/>
      <c r="H23" s="77"/>
      <c r="I23" s="47"/>
      <c r="J23" s="47"/>
      <c r="K23" s="77"/>
      <c r="L23" s="41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2" t="str" cm="1">
        <f t="array" ref="A25">IF(_xlfn._xlws.FILTER('Filter Cert Data'!A7:L9,'Filter Cert Data'!A7:A9&lt;&gt;"","")="", "", _xlfn._xlws.FILTER('Filter Cert Data'!A7:L9,'Filter Cert Data'!A7:A9&lt;&gt;""))</f>
        <v/>
      </c>
      <c r="B25" s="76"/>
      <c r="C25" s="76"/>
      <c r="D25" s="76"/>
      <c r="E25" s="76"/>
      <c r="F25" s="76"/>
      <c r="G25" s="76"/>
      <c r="H25" s="76"/>
      <c r="I25" s="45"/>
      <c r="J25" s="45"/>
      <c r="K25" s="76"/>
      <c r="L25" s="39"/>
      <c r="P25" s="19"/>
    </row>
    <row r="26" spans="1:16" ht="15.75" x14ac:dyDescent="0.25">
      <c r="A26" s="113"/>
      <c r="B26" s="26"/>
      <c r="C26" s="26"/>
      <c r="D26" s="26"/>
      <c r="E26" s="26"/>
      <c r="F26" s="26"/>
      <c r="G26" s="26"/>
      <c r="H26" s="26"/>
      <c r="I26" s="46"/>
      <c r="J26" s="46"/>
      <c r="K26" s="26"/>
      <c r="L26" s="40"/>
      <c r="P26" s="19"/>
    </row>
    <row r="27" spans="1:16" ht="15.75" x14ac:dyDescent="0.25">
      <c r="A27" s="114"/>
      <c r="B27" s="77"/>
      <c r="C27" s="77"/>
      <c r="D27" s="77"/>
      <c r="E27" s="77"/>
      <c r="F27" s="77"/>
      <c r="G27" s="77"/>
      <c r="H27" s="77"/>
      <c r="I27" s="47"/>
      <c r="J27" s="47"/>
      <c r="K27" s="77"/>
      <c r="L27" s="41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2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6"/>
      <c r="C29" s="76"/>
      <c r="D29" s="76"/>
      <c r="E29" s="76"/>
      <c r="F29" s="76"/>
      <c r="G29" s="76"/>
      <c r="H29" s="76"/>
      <c r="I29" s="45"/>
      <c r="J29" s="45"/>
      <c r="K29" s="76"/>
      <c r="L29" s="39"/>
      <c r="P29" s="19"/>
    </row>
    <row r="30" spans="1:16" ht="15.75" x14ac:dyDescent="0.25">
      <c r="A30" s="113"/>
      <c r="B30" s="26"/>
      <c r="C30" s="26"/>
      <c r="D30" s="26"/>
      <c r="E30" s="26"/>
      <c r="F30" s="26"/>
      <c r="G30" s="26"/>
      <c r="H30" s="26"/>
      <c r="I30" s="46"/>
      <c r="J30" s="46"/>
      <c r="K30" s="26"/>
      <c r="L30" s="40"/>
      <c r="P30" s="19"/>
    </row>
    <row r="31" spans="1:16" ht="15.75" x14ac:dyDescent="0.25">
      <c r="A31" s="114"/>
      <c r="B31" s="77"/>
      <c r="C31" s="77"/>
      <c r="D31" s="77"/>
      <c r="E31" s="77"/>
      <c r="F31" s="77"/>
      <c r="G31" s="77"/>
      <c r="H31" s="77"/>
      <c r="I31" s="47"/>
      <c r="J31" s="47"/>
      <c r="K31" s="77"/>
      <c r="L31" s="41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2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6"/>
      <c r="C33" s="76"/>
      <c r="D33" s="76"/>
      <c r="E33" s="76"/>
      <c r="F33" s="76"/>
      <c r="G33" s="76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26"/>
      <c r="D34" s="26"/>
      <c r="E34" s="26"/>
      <c r="F34" s="26"/>
      <c r="G34" s="2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77"/>
      <c r="D35" s="77"/>
      <c r="E35" s="77"/>
      <c r="F35" s="77"/>
      <c r="G35" s="77"/>
      <c r="H35" s="77"/>
      <c r="I35" s="47"/>
      <c r="J35" s="47"/>
      <c r="K35" s="77"/>
      <c r="L35" s="41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2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6"/>
      <c r="C37" s="76"/>
      <c r="D37" s="76"/>
      <c r="E37" s="76"/>
      <c r="F37" s="76"/>
      <c r="G37" s="76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26"/>
      <c r="D38" s="26"/>
      <c r="E38" s="26"/>
      <c r="F38" s="26"/>
      <c r="G38" s="2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77"/>
      <c r="D39" s="77"/>
      <c r="E39" s="77"/>
      <c r="F39" s="77"/>
      <c r="G39" s="77"/>
      <c r="H39" s="77"/>
      <c r="I39" s="47"/>
      <c r="J39" s="47"/>
      <c r="K39" s="77"/>
      <c r="L39" s="41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2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6"/>
      <c r="C41" s="76"/>
      <c r="D41" s="76"/>
      <c r="E41" s="76"/>
      <c r="F41" s="76"/>
      <c r="G41" s="76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26"/>
      <c r="D42" s="26"/>
      <c r="E42" s="26"/>
      <c r="F42" s="26"/>
      <c r="G42" s="2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77"/>
      <c r="D43" s="77"/>
      <c r="E43" s="77"/>
      <c r="F43" s="77"/>
      <c r="G43" s="77"/>
      <c r="H43" s="77"/>
      <c r="I43" s="47"/>
      <c r="J43" s="47"/>
      <c r="K43" s="77"/>
      <c r="L43" s="41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2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6"/>
      <c r="C45" s="76"/>
      <c r="D45" s="76"/>
      <c r="E45" s="76"/>
      <c r="F45" s="76"/>
      <c r="G45" s="76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26"/>
      <c r="D46" s="26"/>
      <c r="E46" s="26"/>
      <c r="F46" s="26"/>
      <c r="G46" s="2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77"/>
      <c r="D47" s="77"/>
      <c r="E47" s="77"/>
      <c r="F47" s="77"/>
      <c r="G47" s="77"/>
      <c r="H47" s="77"/>
      <c r="I47" s="47"/>
      <c r="J47" s="47"/>
      <c r="K47" s="77"/>
      <c r="L47" s="41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122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39</v>
      </c>
    </row>
    <row r="56" spans="1:27" ht="15" customHeight="1" x14ac:dyDescent="0.25">
      <c r="A56" s="25" t="s">
        <v>123</v>
      </c>
      <c r="B56" s="153" t="s">
        <v>144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1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</row>
    <row r="57" spans="1:27" x14ac:dyDescent="0.25"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1:27" x14ac:dyDescent="0.25"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1:27" ht="15.75" x14ac:dyDescent="0.25">
      <c r="A59" s="1" t="s">
        <v>8</v>
      </c>
      <c r="B59" s="146" t="str">
        <f>IF(Worksheet!L3="","",Worksheet!L3)</f>
        <v>Used</v>
      </c>
      <c r="C59" s="146"/>
    </row>
    <row r="60" spans="1:27" ht="15.75" x14ac:dyDescent="0.25">
      <c r="A60" s="1" t="s">
        <v>125</v>
      </c>
      <c r="B60" s="146" t="str">
        <f>IF(Worksheet!O46="","",Worksheet!O46)</f>
        <v/>
      </c>
      <c r="C60" s="146"/>
    </row>
    <row r="61" spans="1:27" x14ac:dyDescent="0.25">
      <c r="A61" s="152" t="str">
        <f>IF(Worksheet!D11="YES",'CERT AL'!A120,"")</f>
        <v/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114</v>
      </c>
    </row>
    <row r="68" spans="1:15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5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5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5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5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5" ht="15" customHeight="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5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5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6" spans="1:15" x14ac:dyDescent="0.25">
      <c r="A76" t="s">
        <v>81</v>
      </c>
    </row>
    <row r="77" spans="1:15" x14ac:dyDescent="0.25">
      <c r="A77" t="s">
        <v>144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5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A68:O75"/>
    <mergeCell ref="A61:M62"/>
    <mergeCell ref="A52:M54"/>
    <mergeCell ref="B56:M58"/>
    <mergeCell ref="B59:C59"/>
    <mergeCell ref="B60:C60"/>
    <mergeCell ref="J12:K12"/>
    <mergeCell ref="J13:K13"/>
    <mergeCell ref="J14:K14"/>
    <mergeCell ref="J15:K15"/>
    <mergeCell ref="O56:AA58"/>
    <mergeCell ref="J11:K11"/>
    <mergeCell ref="B1:K1"/>
    <mergeCell ref="B2:K2"/>
    <mergeCell ref="B3:K3"/>
    <mergeCell ref="F6:G6"/>
    <mergeCell ref="C4:I4"/>
    <mergeCell ref="C5:J5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0" t="s">
        <v>1112</v>
      </c>
    </row>
    <row r="2" spans="1:16" x14ac:dyDescent="0.25">
      <c r="A2" s="115" t="s">
        <v>118</v>
      </c>
      <c r="B2" s="115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 x14ac:dyDescent="0.25">
      <c r="A3" s="112" t="str">
        <f>IF(Worksheet!C18="", "", Worksheet!B18 &amp; IF(Worksheet!D$11="NO", " ", "/P ") &amp; P3)</f>
        <v/>
      </c>
      <c r="B3" s="76" t="str">
        <f>IF(Worksheet!D18="","",Worksheet!D18)</f>
        <v/>
      </c>
      <c r="C3" s="76" t="str">
        <f>IF(Worksheet!F18="","",Worksheet!F18)</f>
        <v/>
      </c>
      <c r="D3" s="76" t="str">
        <f>IF(Worksheet!G18="","",Worksheet!G18)</f>
        <v/>
      </c>
      <c r="E3" s="116"/>
      <c r="F3" s="116"/>
      <c r="G3" s="116"/>
      <c r="H3" s="76" t="str">
        <f>IF(Worksheet!F18="","",Worksheet!AC18)</f>
        <v/>
      </c>
      <c r="I3" s="45" t="str">
        <f>IF(Worksheet!F18="","",Worksheet!AD18)</f>
        <v/>
      </c>
      <c r="J3" s="45" t="str">
        <f>IF(Worksheet!F18="","",Worksheet!AE18)</f>
        <v/>
      </c>
      <c r="K3" s="76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3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4"/>
      <c r="F4" s="74"/>
      <c r="G4" s="74"/>
      <c r="H4" s="26" t="str">
        <f>IF(Worksheet!F19="","",Worksheet!AC19)</f>
        <v/>
      </c>
      <c r="I4" s="46" t="str">
        <f>IF(Worksheet!F19="","",Worksheet!AD19)</f>
        <v/>
      </c>
      <c r="J4" s="46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4" t="str">
        <f>IF(Worksheet!C20="", "", Worksheet!B20 &amp; IF(Worksheet!D$11="NO", " ", "/P ") &amp; P5)</f>
        <v/>
      </c>
      <c r="B5" s="77" t="str">
        <f>IF(Worksheet!D20="","",Worksheet!D20)</f>
        <v/>
      </c>
      <c r="C5" s="77" t="str">
        <f>IF(Worksheet!F20="","",Worksheet!F20)</f>
        <v/>
      </c>
      <c r="D5" s="77" t="str">
        <f>IF(Worksheet!G20="","",Worksheet!G20)</f>
        <v/>
      </c>
      <c r="E5" s="117"/>
      <c r="F5" s="117"/>
      <c r="G5" s="117"/>
      <c r="H5" s="77" t="str">
        <f>IF(Worksheet!F20="","",Worksheet!AC20)</f>
        <v/>
      </c>
      <c r="I5" s="47" t="str">
        <f>IF(Worksheet!F20="","",Worksheet!AD20)</f>
        <v/>
      </c>
      <c r="J5" s="47" t="str">
        <f>IF(Worksheet!F20="","",Worksheet!AE20)</f>
        <v/>
      </c>
      <c r="K5" s="77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8"/>
      <c r="F6" s="118"/>
      <c r="G6" s="118"/>
      <c r="H6" s="19"/>
      <c r="I6" s="19"/>
      <c r="J6" s="19"/>
      <c r="K6" s="19"/>
    </row>
    <row r="7" spans="1:16" ht="15.75" x14ac:dyDescent="0.25">
      <c r="A7" s="112" t="str">
        <f>IF(Worksheet!C22="", "", Worksheet!B22 &amp; IF(Worksheet!D$11="NO", " ", "/P ") &amp; P7)</f>
        <v/>
      </c>
      <c r="B7" s="76" t="str">
        <f>IF(Worksheet!D22="","",Worksheet!D22)</f>
        <v/>
      </c>
      <c r="C7" s="76" t="str">
        <f>IF(Worksheet!F22="","",Worksheet!F22)</f>
        <v/>
      </c>
      <c r="D7" s="76" t="str">
        <f>IF(Worksheet!G22="","",Worksheet!G22)</f>
        <v/>
      </c>
      <c r="E7" s="116"/>
      <c r="F7" s="116"/>
      <c r="G7" s="116"/>
      <c r="H7" s="76" t="str">
        <f>IF(Worksheet!F22="","",Worksheet!AC22)</f>
        <v/>
      </c>
      <c r="I7" s="45" t="str">
        <f>IF(Worksheet!F22="","",Worksheet!AD22)</f>
        <v/>
      </c>
      <c r="J7" s="45" t="str">
        <f>IF(Worksheet!F22="","",Worksheet!AE22)</f>
        <v/>
      </c>
      <c r="K7" s="76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3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4"/>
      <c r="F8" s="74"/>
      <c r="G8" s="74"/>
      <c r="H8" s="26" t="str">
        <f>IF(Worksheet!F23="","",Worksheet!AC23)</f>
        <v/>
      </c>
      <c r="I8" s="46" t="str">
        <f>IF(Worksheet!F23="","",Worksheet!AD23)</f>
        <v/>
      </c>
      <c r="J8" s="46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4" t="str">
        <f>IF(Worksheet!C24="", "", Worksheet!B24 &amp; IF(Worksheet!D$11="NO", " ", "/P ") &amp; P9)</f>
        <v/>
      </c>
      <c r="B9" s="77" t="str">
        <f>IF(Worksheet!D24="","",Worksheet!D24)</f>
        <v/>
      </c>
      <c r="C9" s="77" t="str">
        <f>IF(Worksheet!F24="","",Worksheet!F24)</f>
        <v/>
      </c>
      <c r="D9" s="77" t="str">
        <f>IF(Worksheet!G24="","",Worksheet!G24)</f>
        <v/>
      </c>
      <c r="E9" s="117"/>
      <c r="F9" s="117"/>
      <c r="G9" s="117"/>
      <c r="H9" s="77" t="str">
        <f>IF(Worksheet!F24="","",Worksheet!AC24)</f>
        <v/>
      </c>
      <c r="I9" s="47" t="str">
        <f>IF(Worksheet!F24="","",Worksheet!AD24)</f>
        <v/>
      </c>
      <c r="J9" s="47" t="str">
        <f>IF(Worksheet!F24="","",Worksheet!AE24)</f>
        <v/>
      </c>
      <c r="K9" s="77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8"/>
      <c r="F10" s="118"/>
      <c r="G10" s="118"/>
      <c r="H10" s="19"/>
      <c r="I10" s="19"/>
      <c r="J10" s="19"/>
      <c r="K10" s="19"/>
    </row>
    <row r="11" spans="1:16" ht="15.75" x14ac:dyDescent="0.25">
      <c r="A11" s="112" t="str">
        <f>IF(Worksheet!C26="", "", Worksheet!B26 &amp; IF(Worksheet!D$11="NO", " ", "/P ") &amp; P11)</f>
        <v/>
      </c>
      <c r="B11" s="76" t="str">
        <f>IF(Worksheet!D26="","",Worksheet!D26)</f>
        <v/>
      </c>
      <c r="C11" s="76" t="str">
        <f>IF(Worksheet!F26="","",Worksheet!F26)</f>
        <v/>
      </c>
      <c r="D11" s="76" t="str">
        <f>IF(Worksheet!G26="","",Worksheet!G26)</f>
        <v/>
      </c>
      <c r="E11" s="116"/>
      <c r="F11" s="116"/>
      <c r="G11" s="116"/>
      <c r="H11" s="76" t="str">
        <f>IF(Worksheet!F26="","",Worksheet!AC26)</f>
        <v/>
      </c>
      <c r="I11" s="45" t="str">
        <f>IF(Worksheet!F26="","",Worksheet!AD26)</f>
        <v/>
      </c>
      <c r="J11" s="45" t="str">
        <f>IF(Worksheet!F26="","",Worksheet!AE26)</f>
        <v/>
      </c>
      <c r="K11" s="76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3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4"/>
      <c r="F12" s="74"/>
      <c r="G12" s="74"/>
      <c r="H12" s="26" t="str">
        <f>IF(Worksheet!F27="","",Worksheet!AC27)</f>
        <v/>
      </c>
      <c r="I12" s="46" t="str">
        <f>IF(Worksheet!F27="","",Worksheet!AD27)</f>
        <v/>
      </c>
      <c r="J12" s="46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4" t="str">
        <f>IF(Worksheet!C28="", "", Worksheet!B28 &amp; IF(Worksheet!D$11="NO", " ", "/P ") &amp; P13)</f>
        <v/>
      </c>
      <c r="B13" s="77" t="str">
        <f>IF(Worksheet!D28="","",Worksheet!D28)</f>
        <v/>
      </c>
      <c r="C13" s="77" t="str">
        <f>IF(Worksheet!F28="","",Worksheet!F28)</f>
        <v/>
      </c>
      <c r="D13" s="77" t="str">
        <f>IF(Worksheet!G28="","",Worksheet!G28)</f>
        <v/>
      </c>
      <c r="E13" s="117"/>
      <c r="F13" s="117"/>
      <c r="G13" s="117"/>
      <c r="H13" s="77" t="str">
        <f>IF(Worksheet!F28="","",Worksheet!AC28)</f>
        <v/>
      </c>
      <c r="I13" s="47" t="str">
        <f>IF(Worksheet!F28="","",Worksheet!AD28)</f>
        <v/>
      </c>
      <c r="J13" s="47" t="str">
        <f>IF(Worksheet!F28="","",Worksheet!AE28)</f>
        <v/>
      </c>
      <c r="K13" s="77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8"/>
      <c r="F14" s="118"/>
      <c r="G14" s="118"/>
      <c r="H14" s="19"/>
      <c r="I14" s="19"/>
      <c r="J14" s="19"/>
      <c r="K14" s="19"/>
    </row>
    <row r="15" spans="1:16" ht="15.75" x14ac:dyDescent="0.25">
      <c r="A15" s="112" t="str">
        <f>IF(Worksheet!C30="", "", Worksheet!B30 &amp; IF(Worksheet!D$11="NO", " ", "/P ") &amp; P15)</f>
        <v/>
      </c>
      <c r="B15" s="76" t="str">
        <f>IF(Worksheet!D30="","",Worksheet!D30)</f>
        <v/>
      </c>
      <c r="C15" s="76" t="str">
        <f>IF(Worksheet!F30="","",Worksheet!F30)</f>
        <v/>
      </c>
      <c r="D15" s="76" t="str">
        <f>IF(Worksheet!G30="","",Worksheet!G30)</f>
        <v/>
      </c>
      <c r="E15" s="116"/>
      <c r="F15" s="116"/>
      <c r="G15" s="116"/>
      <c r="H15" s="76" t="str">
        <f>IF(Worksheet!F30="","",Worksheet!AC30)</f>
        <v/>
      </c>
      <c r="I15" s="45" t="str">
        <f>IF(Worksheet!F30="","",Worksheet!AD30)</f>
        <v/>
      </c>
      <c r="J15" s="45" t="str">
        <f>IF(Worksheet!F30="","",Worksheet!AE30)</f>
        <v/>
      </c>
      <c r="K15" s="76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3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4"/>
      <c r="F16" s="74"/>
      <c r="G16" s="74"/>
      <c r="H16" s="26" t="str">
        <f>IF(Worksheet!F31="","",Worksheet!AC31)</f>
        <v/>
      </c>
      <c r="I16" s="46" t="str">
        <f>IF(Worksheet!F31="","",Worksheet!AD31)</f>
        <v/>
      </c>
      <c r="J16" s="46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4" t="str">
        <f>IF(Worksheet!C32="", "", Worksheet!B32 &amp; IF(Worksheet!D$11="NO", " ", "/P ") &amp; P17)</f>
        <v/>
      </c>
      <c r="B17" s="77" t="str">
        <f>IF(Worksheet!D32="","",Worksheet!D32)</f>
        <v/>
      </c>
      <c r="C17" s="77" t="str">
        <f>IF(Worksheet!F32="","",Worksheet!F32)</f>
        <v/>
      </c>
      <c r="D17" s="77" t="str">
        <f>IF(Worksheet!G32="","",Worksheet!G32)</f>
        <v/>
      </c>
      <c r="E17" s="117"/>
      <c r="F17" s="117"/>
      <c r="G17" s="117"/>
      <c r="H17" s="77" t="str">
        <f>IF(Worksheet!F32="","",Worksheet!AC32)</f>
        <v/>
      </c>
      <c r="I17" s="47" t="str">
        <f>IF(Worksheet!F32="","",Worksheet!AD32)</f>
        <v/>
      </c>
      <c r="J17" s="47" t="str">
        <f>IF(Worksheet!F32="","",Worksheet!AE32)</f>
        <v/>
      </c>
      <c r="K17" s="77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8"/>
      <c r="F18" s="118"/>
      <c r="G18" s="118"/>
      <c r="H18" s="19"/>
      <c r="I18" s="19"/>
      <c r="J18" s="19"/>
      <c r="K18" s="19"/>
    </row>
    <row r="19" spans="1:16" ht="15.75" x14ac:dyDescent="0.25">
      <c r="A19" s="112" t="str">
        <f>IF(Worksheet!C34="", "", Worksheet!B34 &amp; IF(Worksheet!D$11="NO", " ", "/P ") &amp; P19)</f>
        <v/>
      </c>
      <c r="B19" s="76" t="str">
        <f>IF(Worksheet!D34="","",Worksheet!D34)</f>
        <v/>
      </c>
      <c r="C19" s="76" t="str">
        <f>IF(Worksheet!F34="","",Worksheet!F34)</f>
        <v/>
      </c>
      <c r="D19" s="76" t="str">
        <f>IF(Worksheet!G34="","",Worksheet!G34)</f>
        <v/>
      </c>
      <c r="E19" s="116"/>
      <c r="F19" s="116"/>
      <c r="G19" s="116"/>
      <c r="H19" s="76" t="str">
        <f>IF(Worksheet!F34="","",Worksheet!AC34)</f>
        <v/>
      </c>
      <c r="I19" s="45" t="str">
        <f>IF(Worksheet!F34="","",Worksheet!AD34)</f>
        <v/>
      </c>
      <c r="J19" s="45" t="str">
        <f>IF(Worksheet!F34="","",Worksheet!AE34)</f>
        <v/>
      </c>
      <c r="K19" s="76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3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4"/>
      <c r="F20" s="74"/>
      <c r="G20" s="74"/>
      <c r="H20" s="26" t="str">
        <f>IF(Worksheet!F35="","",Worksheet!AC35)</f>
        <v/>
      </c>
      <c r="I20" s="46" t="str">
        <f>IF(Worksheet!F35="","",Worksheet!AD35)</f>
        <v/>
      </c>
      <c r="J20" s="46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4" t="str">
        <f>IF(Worksheet!C36="", "", Worksheet!B36 &amp; IF(Worksheet!D$11="NO", " ", "/P ") &amp; P21)</f>
        <v/>
      </c>
      <c r="B21" s="77" t="str">
        <f>IF(Worksheet!D36="","",Worksheet!D36)</f>
        <v/>
      </c>
      <c r="C21" s="77" t="str">
        <f>IF(Worksheet!F36="","",Worksheet!F36)</f>
        <v/>
      </c>
      <c r="D21" s="77" t="str">
        <f>IF(Worksheet!G36="","",Worksheet!G36)</f>
        <v/>
      </c>
      <c r="E21" s="117"/>
      <c r="F21" s="117"/>
      <c r="G21" s="117"/>
      <c r="H21" s="77" t="str">
        <f>IF(Worksheet!F36="","",Worksheet!AC36)</f>
        <v/>
      </c>
      <c r="I21" s="47" t="str">
        <f>IF(Worksheet!F36="","",Worksheet!AD36)</f>
        <v/>
      </c>
      <c r="J21" s="47" t="str">
        <f>IF(Worksheet!F36="","",Worksheet!AE36)</f>
        <v/>
      </c>
      <c r="K21" s="77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8"/>
      <c r="F22" s="118"/>
      <c r="G22" s="118"/>
      <c r="H22" s="19"/>
      <c r="I22" s="19"/>
      <c r="J22" s="19"/>
      <c r="K22" s="19"/>
    </row>
    <row r="23" spans="1:16" ht="15.75" x14ac:dyDescent="0.25">
      <c r="A23" s="112" t="str">
        <f>IF(Worksheet!C38="", "", Worksheet!B38 &amp; IF(Worksheet!D$11="NO", " ", "/P ") &amp; P23)</f>
        <v/>
      </c>
      <c r="B23" s="76" t="str">
        <f>IF(Worksheet!D38="","",Worksheet!D38)</f>
        <v/>
      </c>
      <c r="C23" s="76" t="str">
        <f>IF(Worksheet!F38="","",Worksheet!F38)</f>
        <v/>
      </c>
      <c r="D23" s="76" t="str">
        <f>IF(Worksheet!G38="","",Worksheet!G38)</f>
        <v/>
      </c>
      <c r="E23" s="116"/>
      <c r="F23" s="116"/>
      <c r="G23" s="116"/>
      <c r="H23" s="76" t="str">
        <f>IF(Worksheet!F38="","",Worksheet!AC38)</f>
        <v/>
      </c>
      <c r="I23" s="45" t="str">
        <f>IF(Worksheet!F38="","",Worksheet!AD38)</f>
        <v/>
      </c>
      <c r="J23" s="45" t="str">
        <f>IF(Worksheet!F38="","",Worksheet!AE38)</f>
        <v/>
      </c>
      <c r="K23" s="76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3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4"/>
      <c r="F24" s="74"/>
      <c r="G24" s="74"/>
      <c r="H24" s="26" t="str">
        <f>IF(Worksheet!F39="","",Worksheet!AC39)</f>
        <v/>
      </c>
      <c r="I24" s="46" t="str">
        <f>IF(Worksheet!F39="","",Worksheet!AD39)</f>
        <v/>
      </c>
      <c r="J24" s="46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4" t="str">
        <f>IF(Worksheet!C40="", "", Worksheet!B40 &amp; IF(Worksheet!D$11="NO", " ", "/P ") &amp; P25)</f>
        <v/>
      </c>
      <c r="B25" s="77" t="str">
        <f>IF(Worksheet!D40="","",Worksheet!D40)</f>
        <v/>
      </c>
      <c r="C25" s="77" t="str">
        <f>IF(Worksheet!F40="","",Worksheet!F40)</f>
        <v/>
      </c>
      <c r="D25" s="77" t="str">
        <f>IF(Worksheet!G40="","",Worksheet!G40)</f>
        <v/>
      </c>
      <c r="E25" s="117"/>
      <c r="F25" s="117"/>
      <c r="G25" s="117"/>
      <c r="H25" s="77" t="str">
        <f>IF(Worksheet!F40="","",Worksheet!AC40)</f>
        <v/>
      </c>
      <c r="I25" s="47" t="str">
        <f>IF(Worksheet!F40="","",Worksheet!AD40)</f>
        <v/>
      </c>
      <c r="J25" s="47" t="str">
        <f>IF(Worksheet!F40="","",Worksheet!AE40)</f>
        <v/>
      </c>
      <c r="K25" s="77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8"/>
      <c r="F26" s="118"/>
      <c r="G26" s="118"/>
      <c r="H26" s="19"/>
      <c r="I26" s="19"/>
      <c r="J26" s="19"/>
      <c r="K26" s="19"/>
    </row>
    <row r="27" spans="1:16" ht="15.75" x14ac:dyDescent="0.25">
      <c r="A27" s="112" t="str">
        <f>IF(Worksheet!C42="", "", Worksheet!B42 &amp; IF(Worksheet!D$11="NO", " ", "/P ") &amp; P27)</f>
        <v/>
      </c>
      <c r="B27" s="76" t="str">
        <f>IF(Worksheet!D42="","",Worksheet!D42)</f>
        <v/>
      </c>
      <c r="C27" s="76" t="str">
        <f>IF(Worksheet!F42="","",Worksheet!F42)</f>
        <v/>
      </c>
      <c r="D27" s="76" t="str">
        <f>IF(Worksheet!G42="","",Worksheet!G42)</f>
        <v/>
      </c>
      <c r="E27" s="116"/>
      <c r="F27" s="116"/>
      <c r="G27" s="116"/>
      <c r="H27" s="76" t="str">
        <f>IF(Worksheet!F42="","",Worksheet!AC42)</f>
        <v/>
      </c>
      <c r="I27" s="45" t="str">
        <f>IF(Worksheet!F42="","",Worksheet!AD42)</f>
        <v/>
      </c>
      <c r="J27" s="45" t="str">
        <f>IF(Worksheet!F42="","",Worksheet!AE42)</f>
        <v/>
      </c>
      <c r="K27" s="76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3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4"/>
      <c r="F28" s="74"/>
      <c r="G28" s="74"/>
      <c r="H28" s="26" t="str">
        <f>IF(Worksheet!F43="","",Worksheet!AC43)</f>
        <v/>
      </c>
      <c r="I28" s="46" t="str">
        <f>IF(Worksheet!F43="","",Worksheet!AD43)</f>
        <v/>
      </c>
      <c r="J28" s="46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4" t="str">
        <f>IF(Worksheet!C44="", "", Worksheet!B44 &amp; IF(Worksheet!D$11="NO", " ", "/P ") &amp; P29)</f>
        <v/>
      </c>
      <c r="B29" s="77" t="str">
        <f>IF(Worksheet!D44="","",Worksheet!D44)</f>
        <v/>
      </c>
      <c r="C29" s="77" t="str">
        <f>IF(Worksheet!F44="","",Worksheet!F44)</f>
        <v/>
      </c>
      <c r="D29" s="77" t="str">
        <f>IF(Worksheet!G44="","",Worksheet!G44)</f>
        <v/>
      </c>
      <c r="E29" s="117"/>
      <c r="F29" s="117"/>
      <c r="G29" s="117"/>
      <c r="H29" s="77" t="str">
        <f>IF(Worksheet!F44="","",Worksheet!AC44)</f>
        <v/>
      </c>
      <c r="I29" s="47" t="str">
        <f>IF(Worksheet!F44="","",Worksheet!AD44)</f>
        <v/>
      </c>
      <c r="J29" s="47" t="str">
        <f>IF(Worksheet!F44="","",Worksheet!AE44)</f>
        <v/>
      </c>
      <c r="K29" s="77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0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5" t="s">
        <v>118</v>
      </c>
      <c r="B32" s="115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 x14ac:dyDescent="0.25">
      <c r="A33" s="76" t="str">
        <f>IF(Worksheet!C18="", "", Worksheet!B18 &amp; IF(Worksheet!D$11="NO"," ","/P ") &amp; P33)</f>
        <v/>
      </c>
      <c r="B33" s="76" t="str">
        <f>IF(Worksheet!D18="","",Worksheet!D18)</f>
        <v/>
      </c>
      <c r="C33" s="45" t="str">
        <f>IF(Worksheet!J18="","",Worksheet!J18)</f>
        <v/>
      </c>
      <c r="D33" s="45" t="str">
        <f>IF(Worksheet!K18="","",Worksheet!K18)</f>
        <v/>
      </c>
      <c r="E33" s="45" t="str">
        <f>IF(Worksheet!L18="","",Worksheet!L18)</f>
        <v/>
      </c>
      <c r="F33" s="45" t="str">
        <f>IF(Worksheet!M18="","",Worksheet!M18)</f>
        <v/>
      </c>
      <c r="G33" s="45" t="str">
        <f>IF(Worksheet!N18="","",Worksheet!N18)</f>
        <v/>
      </c>
      <c r="H33" s="76" t="str">
        <f>IF(Worksheet!O18="","",Worksheet!O18)</f>
        <v/>
      </c>
      <c r="I33" s="45" t="str">
        <f>IF(Worksheet!P18="","",Worksheet!P18)</f>
        <v/>
      </c>
      <c r="J33" s="45" t="str">
        <f>IF(Worksheet!Q18="","",Worksheet!Q18)</f>
        <v/>
      </c>
      <c r="K33" s="76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6" t="str">
        <f>IF(Worksheet!J19="","",Worksheet!J19)</f>
        <v/>
      </c>
      <c r="D34" s="46" t="str">
        <f>IF(Worksheet!K19="","",Worksheet!K19)</f>
        <v/>
      </c>
      <c r="E34" s="46" t="str">
        <f>IF(Worksheet!L19="","",Worksheet!L19)</f>
        <v/>
      </c>
      <c r="F34" s="46" t="str">
        <f>IF(Worksheet!M19="","",Worksheet!M19)</f>
        <v/>
      </c>
      <c r="G34" s="46" t="str">
        <f>IF(Worksheet!N19="","",Worksheet!N19)</f>
        <v/>
      </c>
      <c r="H34" s="26" t="str">
        <f>IF(Worksheet!O19="","",Worksheet!O19)</f>
        <v/>
      </c>
      <c r="I34" s="46" t="str">
        <f>IF(Worksheet!P19="","",Worksheet!P19)</f>
        <v/>
      </c>
      <c r="J34" s="46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7" t="str">
        <f>IF(Worksheet!C20="", "", Worksheet!B20 &amp; IF(Worksheet!D$11="NO"," ","/P ") &amp; P35)</f>
        <v/>
      </c>
      <c r="B35" s="77" t="str">
        <f>IF(Worksheet!D20="","",Worksheet!D20)</f>
        <v/>
      </c>
      <c r="C35" s="47" t="str">
        <f>IF(Worksheet!J20="","",Worksheet!J20)</f>
        <v/>
      </c>
      <c r="D35" s="47" t="str">
        <f>IF(Worksheet!K20="","",Worksheet!K20)</f>
        <v/>
      </c>
      <c r="E35" s="47" t="str">
        <f>IF(Worksheet!L20="","",Worksheet!L20)</f>
        <v/>
      </c>
      <c r="F35" s="47" t="str">
        <f>IF(Worksheet!M20="","",Worksheet!M20)</f>
        <v/>
      </c>
      <c r="G35" s="47" t="str">
        <f>IF(Worksheet!N20="","",Worksheet!N20)</f>
        <v/>
      </c>
      <c r="H35" s="77" t="str">
        <f>IF(Worksheet!O20="","",Worksheet!O20)</f>
        <v/>
      </c>
      <c r="I35" s="47" t="str">
        <f>IF(Worksheet!P20="","",Worksheet!P20)</f>
        <v/>
      </c>
      <c r="J35" s="47" t="str">
        <f>IF(Worksheet!Q20="","",Worksheet!Q20)</f>
        <v/>
      </c>
      <c r="K35" s="77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7" ht="15.75" x14ac:dyDescent="0.25">
      <c r="A37" s="76" t="str">
        <f>IF(Worksheet!C22="", "", Worksheet!B22 &amp; IF(Worksheet!D$11="NO"," ","/P ") &amp; P37)</f>
        <v/>
      </c>
      <c r="B37" s="76" t="str">
        <f>IF(Worksheet!D22="","",Worksheet!D22)</f>
        <v/>
      </c>
      <c r="C37" s="45" t="str">
        <f>IF(Worksheet!J22="","",Worksheet!J22)</f>
        <v/>
      </c>
      <c r="D37" s="45" t="str">
        <f>IF(Worksheet!K22="","",Worksheet!K22)</f>
        <v/>
      </c>
      <c r="E37" s="45" t="str">
        <f>IF(Worksheet!L22="","",Worksheet!L22)</f>
        <v/>
      </c>
      <c r="F37" s="45" t="str">
        <f>IF(Worksheet!M22="","",Worksheet!M22)</f>
        <v/>
      </c>
      <c r="G37" s="45" t="str">
        <f>IF(Worksheet!N22="","",Worksheet!N22)</f>
        <v/>
      </c>
      <c r="H37" s="76" t="str">
        <f>IF(Worksheet!O22="","",Worksheet!O22)</f>
        <v/>
      </c>
      <c r="I37" s="45" t="str">
        <f>IF(Worksheet!P22="","",Worksheet!P22)</f>
        <v/>
      </c>
      <c r="J37" s="45" t="str">
        <f>IF(Worksheet!Q22="","",Worksheet!Q22)</f>
        <v/>
      </c>
      <c r="K37" s="76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6" t="str">
        <f>IF(Worksheet!J23="","",Worksheet!J23)</f>
        <v/>
      </c>
      <c r="D38" s="46" t="str">
        <f>IF(Worksheet!K23="","",Worksheet!K23)</f>
        <v/>
      </c>
      <c r="E38" s="46" t="str">
        <f>IF(Worksheet!L23="","",Worksheet!L23)</f>
        <v/>
      </c>
      <c r="F38" s="46" t="str">
        <f>IF(Worksheet!M23="","",Worksheet!M23)</f>
        <v/>
      </c>
      <c r="G38" s="46" t="str">
        <f>IF(Worksheet!N23="","",Worksheet!N23)</f>
        <v/>
      </c>
      <c r="H38" s="26" t="str">
        <f>IF(Worksheet!O23="","",Worksheet!O23)</f>
        <v/>
      </c>
      <c r="I38" s="46" t="str">
        <f>IF(Worksheet!P23="","",Worksheet!P23)</f>
        <v/>
      </c>
      <c r="J38" s="46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7" t="str">
        <f>IF(Worksheet!C24="", "", Worksheet!B24 &amp; IF(Worksheet!D$11="NO"," ","/P ") &amp; P39)</f>
        <v/>
      </c>
      <c r="B39" s="77" t="str">
        <f>IF(Worksheet!D24="","",Worksheet!D24)</f>
        <v/>
      </c>
      <c r="C39" s="47" t="str">
        <f>IF(Worksheet!J24="","",Worksheet!J24)</f>
        <v/>
      </c>
      <c r="D39" s="47" t="str">
        <f>IF(Worksheet!K24="","",Worksheet!K24)</f>
        <v/>
      </c>
      <c r="E39" s="47" t="str">
        <f>IF(Worksheet!L24="","",Worksheet!L24)</f>
        <v/>
      </c>
      <c r="F39" s="47" t="str">
        <f>IF(Worksheet!M24="","",Worksheet!M24)</f>
        <v/>
      </c>
      <c r="G39" s="47" t="str">
        <f>IF(Worksheet!N24="","",Worksheet!N24)</f>
        <v/>
      </c>
      <c r="H39" s="77" t="str">
        <f>IF(Worksheet!O24="","",Worksheet!O24)</f>
        <v/>
      </c>
      <c r="I39" s="47" t="str">
        <f>IF(Worksheet!P24="","",Worksheet!P24)</f>
        <v/>
      </c>
      <c r="J39" s="47" t="str">
        <f>IF(Worksheet!Q24="","",Worksheet!Q24)</f>
        <v/>
      </c>
      <c r="K39" s="77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7" ht="15.75" x14ac:dyDescent="0.25">
      <c r="A41" s="76" t="str">
        <f>IF(Worksheet!C26="", "", Worksheet!B26 &amp; IF(Worksheet!D$11="NO"," ","/P ") &amp; P41)</f>
        <v/>
      </c>
      <c r="B41" s="76" t="str">
        <f>IF(Worksheet!D26="","",Worksheet!D26)</f>
        <v/>
      </c>
      <c r="C41" s="45" t="str">
        <f>IF(Worksheet!J26="","",Worksheet!J26)</f>
        <v/>
      </c>
      <c r="D41" s="45" t="str">
        <f>IF(Worksheet!K26="","",Worksheet!K26)</f>
        <v/>
      </c>
      <c r="E41" s="45" t="str">
        <f>IF(Worksheet!L26="","",Worksheet!L26)</f>
        <v/>
      </c>
      <c r="F41" s="45" t="str">
        <f>IF(Worksheet!M26="","",Worksheet!M26)</f>
        <v/>
      </c>
      <c r="G41" s="45" t="str">
        <f>IF(Worksheet!N26="","",Worksheet!N26)</f>
        <v/>
      </c>
      <c r="H41" s="76" t="str">
        <f>IF(Worksheet!O26="","",Worksheet!O26)</f>
        <v/>
      </c>
      <c r="I41" s="45" t="str">
        <f>IF(Worksheet!P26="","",Worksheet!P26)</f>
        <v/>
      </c>
      <c r="J41" s="45" t="str">
        <f>IF(Worksheet!Q26="","",Worksheet!Q26)</f>
        <v/>
      </c>
      <c r="K41" s="76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6" t="str">
        <f>IF(Worksheet!J27="","",Worksheet!J27)</f>
        <v/>
      </c>
      <c r="D42" s="46" t="str">
        <f>IF(Worksheet!K27="","",Worksheet!K27)</f>
        <v/>
      </c>
      <c r="E42" s="46" t="str">
        <f>IF(Worksheet!L27="","",Worksheet!L27)</f>
        <v/>
      </c>
      <c r="F42" s="46" t="str">
        <f>IF(Worksheet!M27="","",Worksheet!M27)</f>
        <v/>
      </c>
      <c r="G42" s="46" t="str">
        <f>IF(Worksheet!N27="","",Worksheet!N27)</f>
        <v/>
      </c>
      <c r="H42" s="26" t="str">
        <f>IF(Worksheet!O27="","",Worksheet!O27)</f>
        <v/>
      </c>
      <c r="I42" s="46" t="str">
        <f>IF(Worksheet!P27="","",Worksheet!P27)</f>
        <v/>
      </c>
      <c r="J42" s="46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7" t="str">
        <f>IF(Worksheet!C28="", "", Worksheet!B28 &amp; IF(Worksheet!D$11="NO"," ","/P ") &amp; P43)</f>
        <v/>
      </c>
      <c r="B43" s="77" t="str">
        <f>IF(Worksheet!D28="","",Worksheet!D28)</f>
        <v/>
      </c>
      <c r="C43" s="47" t="str">
        <f>IF(Worksheet!J28="","",Worksheet!J28)</f>
        <v/>
      </c>
      <c r="D43" s="47" t="str">
        <f>IF(Worksheet!K28="","",Worksheet!K28)</f>
        <v/>
      </c>
      <c r="E43" s="47" t="str">
        <f>IF(Worksheet!L28="","",Worksheet!L28)</f>
        <v/>
      </c>
      <c r="F43" s="47" t="str">
        <f>IF(Worksheet!M28="","",Worksheet!M28)</f>
        <v/>
      </c>
      <c r="G43" s="47" t="str">
        <f>IF(Worksheet!N28="","",Worksheet!N28)</f>
        <v/>
      </c>
      <c r="H43" s="77" t="str">
        <f>IF(Worksheet!O28="","",Worksheet!O28)</f>
        <v/>
      </c>
      <c r="I43" s="47" t="str">
        <f>IF(Worksheet!P28="","",Worksheet!P28)</f>
        <v/>
      </c>
      <c r="J43" s="47" t="str">
        <f>IF(Worksheet!Q28="","",Worksheet!Q28)</f>
        <v/>
      </c>
      <c r="K43" s="77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7" ht="15.75" x14ac:dyDescent="0.25">
      <c r="A45" s="76" t="str">
        <f>IF(Worksheet!C30="", "", Worksheet!B30 &amp; IF(Worksheet!D$11="NO"," ","/P ") &amp; P45)</f>
        <v/>
      </c>
      <c r="B45" s="76" t="str">
        <f>IF(Worksheet!D30="","",Worksheet!D30)</f>
        <v/>
      </c>
      <c r="C45" s="45" t="str">
        <f>IF(Worksheet!J30="","",Worksheet!J30)</f>
        <v/>
      </c>
      <c r="D45" s="45" t="str">
        <f>IF(Worksheet!K30="","",Worksheet!K30)</f>
        <v/>
      </c>
      <c r="E45" s="45" t="str">
        <f>IF(Worksheet!L30="","",Worksheet!L30)</f>
        <v/>
      </c>
      <c r="F45" s="45" t="str">
        <f>IF(Worksheet!M30="","",Worksheet!M30)</f>
        <v/>
      </c>
      <c r="G45" s="45" t="str">
        <f>IF(Worksheet!N30="","",Worksheet!N30)</f>
        <v/>
      </c>
      <c r="H45" s="76" t="str">
        <f>IF(Worksheet!O30="","",Worksheet!O30)</f>
        <v/>
      </c>
      <c r="I45" s="45" t="str">
        <f>IF(Worksheet!P30="","",Worksheet!P30)</f>
        <v/>
      </c>
      <c r="J45" s="45" t="str">
        <f>IF(Worksheet!Q30="","",Worksheet!Q30)</f>
        <v/>
      </c>
      <c r="K45" s="76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6" t="str">
        <f>IF(Worksheet!J31="","",Worksheet!J31)</f>
        <v/>
      </c>
      <c r="D46" s="46" t="str">
        <f>IF(Worksheet!K31="","",Worksheet!K31)</f>
        <v/>
      </c>
      <c r="E46" s="46" t="str">
        <f>IF(Worksheet!L31="","",Worksheet!L31)</f>
        <v/>
      </c>
      <c r="F46" s="46" t="str">
        <f>IF(Worksheet!M31="","",Worksheet!M31)</f>
        <v/>
      </c>
      <c r="G46" s="46" t="str">
        <f>IF(Worksheet!N31="","",Worksheet!N31)</f>
        <v/>
      </c>
      <c r="H46" s="26" t="str">
        <f>IF(Worksheet!O31="","",Worksheet!O31)</f>
        <v/>
      </c>
      <c r="I46" s="46" t="str">
        <f>IF(Worksheet!P31="","",Worksheet!P31)</f>
        <v/>
      </c>
      <c r="J46" s="46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7" t="str">
        <f>IF(Worksheet!C32="", "", Worksheet!B32 &amp; IF(Worksheet!D$11="NO"," ","/P ") &amp; P47)</f>
        <v/>
      </c>
      <c r="B47" s="77" t="str">
        <f>IF(Worksheet!D32="","",Worksheet!D32)</f>
        <v/>
      </c>
      <c r="C47" s="47" t="str">
        <f>IF(Worksheet!J32="","",Worksheet!J32)</f>
        <v/>
      </c>
      <c r="D47" s="47" t="str">
        <f>IF(Worksheet!K32="","",Worksheet!K32)</f>
        <v/>
      </c>
      <c r="E47" s="47" t="str">
        <f>IF(Worksheet!L32="","",Worksheet!L32)</f>
        <v/>
      </c>
      <c r="F47" s="47" t="str">
        <f>IF(Worksheet!M32="","",Worksheet!M32)</f>
        <v/>
      </c>
      <c r="G47" s="47" t="str">
        <f>IF(Worksheet!N32="","",Worksheet!N32)</f>
        <v/>
      </c>
      <c r="H47" s="77" t="str">
        <f>IF(Worksheet!O32="","",Worksheet!O32)</f>
        <v/>
      </c>
      <c r="I47" s="47" t="str">
        <f>IF(Worksheet!P32="","",Worksheet!P32)</f>
        <v/>
      </c>
      <c r="J47" s="47" t="str">
        <f>IF(Worksheet!Q32="","",Worksheet!Q32)</f>
        <v/>
      </c>
      <c r="K47" s="77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8"/>
      <c r="J48" s="78"/>
      <c r="K48" s="19"/>
    </row>
    <row r="49" spans="1:16" ht="15.75" x14ac:dyDescent="0.25">
      <c r="A49" s="76" t="str">
        <f>IF(Worksheet!C34="", "", Worksheet!B34 &amp; IF(Worksheet!D$11="NO"," ","/P ") &amp; P49)</f>
        <v/>
      </c>
      <c r="B49" s="76" t="str">
        <f>IF(Worksheet!D34="","",Worksheet!D34)</f>
        <v/>
      </c>
      <c r="C49" s="45" t="str">
        <f>IF(Worksheet!J34="","",Worksheet!J34)</f>
        <v/>
      </c>
      <c r="D49" s="45" t="str">
        <f>IF(Worksheet!K34="","",Worksheet!K34)</f>
        <v/>
      </c>
      <c r="E49" s="45" t="str">
        <f>IF(Worksheet!L34="","",Worksheet!L34)</f>
        <v/>
      </c>
      <c r="F49" s="45" t="str">
        <f>IF(Worksheet!M34="","",Worksheet!M34)</f>
        <v/>
      </c>
      <c r="G49" s="45" t="str">
        <f>IF(Worksheet!N34="","",Worksheet!N34)</f>
        <v/>
      </c>
      <c r="H49" s="76" t="str">
        <f>IF(Worksheet!O34="","",Worksheet!O34)</f>
        <v/>
      </c>
      <c r="I49" s="45" t="str">
        <f>IF(Worksheet!P34="","",Worksheet!P34)</f>
        <v/>
      </c>
      <c r="J49" s="45" t="str">
        <f>IF(Worksheet!Q34="","",Worksheet!Q34)</f>
        <v/>
      </c>
      <c r="K49" s="76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6" t="str">
        <f>IF(Worksheet!J35="","",Worksheet!J35)</f>
        <v/>
      </c>
      <c r="D50" s="46" t="str">
        <f>IF(Worksheet!K35="","",Worksheet!K35)</f>
        <v/>
      </c>
      <c r="E50" s="46" t="str">
        <f>IF(Worksheet!L35="","",Worksheet!L35)</f>
        <v/>
      </c>
      <c r="F50" s="46" t="str">
        <f>IF(Worksheet!M35="","",Worksheet!M35)</f>
        <v/>
      </c>
      <c r="G50" s="46" t="str">
        <f>IF(Worksheet!N35="","",Worksheet!N35)</f>
        <v/>
      </c>
      <c r="H50" s="26" t="str">
        <f>IF(Worksheet!O35="","",Worksheet!O35)</f>
        <v/>
      </c>
      <c r="I50" s="46" t="str">
        <f>IF(Worksheet!P35="","",Worksheet!P35)</f>
        <v/>
      </c>
      <c r="J50" s="46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7" t="str">
        <f>IF(Worksheet!C36="", "", Worksheet!B36 &amp; IF(Worksheet!D$11="NO"," ","/P ") &amp; P51)</f>
        <v/>
      </c>
      <c r="B51" s="77" t="str">
        <f>IF(Worksheet!D36="","",Worksheet!D36)</f>
        <v/>
      </c>
      <c r="C51" s="47" t="str">
        <f>IF(Worksheet!J36="","",Worksheet!J36)</f>
        <v/>
      </c>
      <c r="D51" s="47" t="str">
        <f>IF(Worksheet!K36="","",Worksheet!K36)</f>
        <v/>
      </c>
      <c r="E51" s="47" t="str">
        <f>IF(Worksheet!L36="","",Worksheet!L36)</f>
        <v/>
      </c>
      <c r="F51" s="47" t="str">
        <f>IF(Worksheet!M36="","",Worksheet!M36)</f>
        <v/>
      </c>
      <c r="G51" s="47" t="str">
        <f>IF(Worksheet!N36="","",Worksheet!N36)</f>
        <v/>
      </c>
      <c r="H51" s="77" t="str">
        <f>IF(Worksheet!O36="","",Worksheet!O36)</f>
        <v/>
      </c>
      <c r="I51" s="47" t="str">
        <f>IF(Worksheet!P36="","",Worksheet!P36)</f>
        <v/>
      </c>
      <c r="J51" s="47" t="str">
        <f>IF(Worksheet!Q36="","",Worksheet!Q36)</f>
        <v/>
      </c>
      <c r="K51" s="77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8"/>
      <c r="J52" s="78"/>
      <c r="K52" s="19"/>
    </row>
    <row r="53" spans="1:16" ht="15.75" x14ac:dyDescent="0.25">
      <c r="A53" s="76" t="str">
        <f>IF(Worksheet!C38="", "", Worksheet!B38 &amp; IF(Worksheet!D$11="NO"," ","/P ") &amp; P53)</f>
        <v/>
      </c>
      <c r="B53" s="76" t="str">
        <f>IF(Worksheet!D38="","",Worksheet!D38)</f>
        <v/>
      </c>
      <c r="C53" s="45" t="str">
        <f>IF(Worksheet!J38="","",Worksheet!J38)</f>
        <v/>
      </c>
      <c r="D53" s="45" t="str">
        <f>IF(Worksheet!K38="","",Worksheet!K38)</f>
        <v/>
      </c>
      <c r="E53" s="45" t="str">
        <f>IF(Worksheet!L38="","",Worksheet!L38)</f>
        <v/>
      </c>
      <c r="F53" s="45" t="str">
        <f>IF(Worksheet!M38="","",Worksheet!M38)</f>
        <v/>
      </c>
      <c r="G53" s="45" t="str">
        <f>IF(Worksheet!N38="","",Worksheet!N38)</f>
        <v/>
      </c>
      <c r="H53" s="76" t="str">
        <f>IF(Worksheet!O38="","",Worksheet!O38)</f>
        <v/>
      </c>
      <c r="I53" s="45" t="str">
        <f>IF(Worksheet!P38="","",Worksheet!P38)</f>
        <v/>
      </c>
      <c r="J53" s="45" t="str">
        <f>IF(Worksheet!Q38="","",Worksheet!Q38)</f>
        <v/>
      </c>
      <c r="K53" s="76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6" t="str">
        <f>IF(Worksheet!J39="","",Worksheet!J39)</f>
        <v/>
      </c>
      <c r="D54" s="46" t="str">
        <f>IF(Worksheet!K39="","",Worksheet!K39)</f>
        <v/>
      </c>
      <c r="E54" s="46" t="str">
        <f>IF(Worksheet!L39="","",Worksheet!L39)</f>
        <v/>
      </c>
      <c r="F54" s="46" t="str">
        <f>IF(Worksheet!M39="","",Worksheet!M39)</f>
        <v/>
      </c>
      <c r="G54" s="46" t="str">
        <f>IF(Worksheet!N39="","",Worksheet!N39)</f>
        <v/>
      </c>
      <c r="H54" s="26" t="str">
        <f>IF(Worksheet!O39="","",Worksheet!O39)</f>
        <v/>
      </c>
      <c r="I54" s="46" t="str">
        <f>IF(Worksheet!P39="","",Worksheet!P39)</f>
        <v/>
      </c>
      <c r="J54" s="46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7" t="str">
        <f>IF(Worksheet!C40="", "", Worksheet!B40 &amp; IF(Worksheet!D$11="NO"," ","/P ") &amp; P55)</f>
        <v/>
      </c>
      <c r="B55" s="77" t="str">
        <f>IF(Worksheet!D40="","",Worksheet!D40)</f>
        <v/>
      </c>
      <c r="C55" s="47" t="str">
        <f>IF(Worksheet!J40="","",Worksheet!J40)</f>
        <v/>
      </c>
      <c r="D55" s="47" t="str">
        <f>IF(Worksheet!K40="","",Worksheet!K40)</f>
        <v/>
      </c>
      <c r="E55" s="47" t="str">
        <f>IF(Worksheet!L40="","",Worksheet!L40)</f>
        <v/>
      </c>
      <c r="F55" s="47" t="str">
        <f>IF(Worksheet!M40="","",Worksheet!M40)</f>
        <v/>
      </c>
      <c r="G55" s="47" t="str">
        <f>IF(Worksheet!N40="","",Worksheet!N40)</f>
        <v/>
      </c>
      <c r="H55" s="77" t="str">
        <f>IF(Worksheet!O40="","",Worksheet!O40)</f>
        <v/>
      </c>
      <c r="I55" s="47" t="str">
        <f>IF(Worksheet!P40="","",Worksheet!P40)</f>
        <v/>
      </c>
      <c r="J55" s="47" t="str">
        <f>IF(Worksheet!Q40="","",Worksheet!Q40)</f>
        <v/>
      </c>
      <c r="K55" s="77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8"/>
      <c r="J56" s="78"/>
      <c r="K56" s="19"/>
    </row>
    <row r="57" spans="1:16" ht="15.75" x14ac:dyDescent="0.25">
      <c r="A57" s="76" t="str">
        <f>IF(Worksheet!C42="", "", Worksheet!B42 &amp; IF(Worksheet!D$11="NO"," ","/P ") &amp; P57)</f>
        <v/>
      </c>
      <c r="B57" s="76" t="str">
        <f>IF(Worksheet!D42="","",Worksheet!D42)</f>
        <v/>
      </c>
      <c r="C57" s="45" t="str">
        <f>IF(Worksheet!J42="","",Worksheet!J42)</f>
        <v/>
      </c>
      <c r="D57" s="45" t="str">
        <f>IF(Worksheet!K42="","",Worksheet!K42)</f>
        <v/>
      </c>
      <c r="E57" s="45" t="str">
        <f>IF(Worksheet!L42="","",Worksheet!L42)</f>
        <v/>
      </c>
      <c r="F57" s="45" t="str">
        <f>IF(Worksheet!M42="","",Worksheet!M42)</f>
        <v/>
      </c>
      <c r="G57" s="45" t="str">
        <f>IF(Worksheet!N42="","",Worksheet!N42)</f>
        <v/>
      </c>
      <c r="H57" s="76" t="str">
        <f>IF(Worksheet!O42="","",Worksheet!O42)</f>
        <v/>
      </c>
      <c r="I57" s="45" t="str">
        <f>IF(Worksheet!P42="","",Worksheet!P42)</f>
        <v/>
      </c>
      <c r="J57" s="45" t="str">
        <f>IF(Worksheet!Q42="","",Worksheet!Q42)</f>
        <v/>
      </c>
      <c r="K57" s="76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6" t="str">
        <f>IF(Worksheet!J43="","",Worksheet!J43)</f>
        <v/>
      </c>
      <c r="D58" s="46" t="str">
        <f>IF(Worksheet!K43="","",Worksheet!K43)</f>
        <v/>
      </c>
      <c r="E58" s="46" t="str">
        <f>IF(Worksheet!L43="","",Worksheet!L43)</f>
        <v/>
      </c>
      <c r="F58" s="46" t="str">
        <f>IF(Worksheet!M43="","",Worksheet!M43)</f>
        <v/>
      </c>
      <c r="G58" s="46" t="str">
        <f>IF(Worksheet!N43="","",Worksheet!N43)</f>
        <v/>
      </c>
      <c r="H58" s="26" t="str">
        <f>IF(Worksheet!O43="","",Worksheet!O43)</f>
        <v/>
      </c>
      <c r="I58" s="46" t="str">
        <f>IF(Worksheet!P43="","",Worksheet!P43)</f>
        <v/>
      </c>
      <c r="J58" s="46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7" t="str">
        <f>IF(Worksheet!C44="", "", Worksheet!B44 &amp; IF(Worksheet!D$11="NO"," ","/P ") &amp; P59)</f>
        <v/>
      </c>
      <c r="B59" s="77" t="str">
        <f>IF(Worksheet!D44="","",Worksheet!D44)</f>
        <v/>
      </c>
      <c r="C59" s="47" t="str">
        <f>IF(Worksheet!J44="","",Worksheet!J44)</f>
        <v/>
      </c>
      <c r="D59" s="47" t="str">
        <f>IF(Worksheet!K44="","",Worksheet!K44)</f>
        <v/>
      </c>
      <c r="E59" s="47" t="str">
        <f>IF(Worksheet!L44="","",Worksheet!L44)</f>
        <v/>
      </c>
      <c r="F59" s="47" t="str">
        <f>IF(Worksheet!M44="","",Worksheet!M44)</f>
        <v/>
      </c>
      <c r="G59" s="47" t="str">
        <f>IF(Worksheet!N44="","",Worksheet!N44)</f>
        <v/>
      </c>
      <c r="H59" s="77" t="str">
        <f>IF(Worksheet!O44="","",Worksheet!O44)</f>
        <v/>
      </c>
      <c r="I59" s="47" t="str">
        <f>IF(Worksheet!P44="","",Worksheet!P44)</f>
        <v/>
      </c>
      <c r="J59" s="47" t="str">
        <f>IF(Worksheet!Q44="","",Worksheet!Q44)</f>
        <v/>
      </c>
      <c r="K59" s="77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0" t="s">
        <v>149</v>
      </c>
      <c r="D2" s="120" t="s">
        <v>150</v>
      </c>
      <c r="F2" s="120" t="s">
        <v>151</v>
      </c>
      <c r="H2" s="120" t="s">
        <v>152</v>
      </c>
    </row>
    <row r="3" spans="2:8" x14ac:dyDescent="0.25">
      <c r="B3" t="s">
        <v>36</v>
      </c>
      <c r="D3" t="s">
        <v>153</v>
      </c>
      <c r="F3" t="s">
        <v>87</v>
      </c>
      <c r="H3" s="25" t="s">
        <v>85</v>
      </c>
    </row>
    <row r="4" spans="2:8" x14ac:dyDescent="0.25">
      <c r="B4" t="s">
        <v>42</v>
      </c>
      <c r="D4" t="s">
        <v>9</v>
      </c>
      <c r="F4" t="s">
        <v>154</v>
      </c>
      <c r="H4" t="s">
        <v>130</v>
      </c>
    </row>
    <row r="5" spans="2:8" x14ac:dyDescent="0.25">
      <c r="B5" t="s">
        <v>155</v>
      </c>
      <c r="H5" t="s">
        <v>132</v>
      </c>
    </row>
    <row r="6" spans="2:8" x14ac:dyDescent="0.25">
      <c r="F6" s="120" t="s">
        <v>156</v>
      </c>
      <c r="H6" t="s">
        <v>134</v>
      </c>
    </row>
    <row r="7" spans="2:8" x14ac:dyDescent="0.25">
      <c r="F7" t="s">
        <v>83</v>
      </c>
      <c r="H7" t="s">
        <v>136</v>
      </c>
    </row>
    <row r="8" spans="2:8" x14ac:dyDescent="0.25">
      <c r="F8" t="s">
        <v>154</v>
      </c>
      <c r="H8" t="s">
        <v>157</v>
      </c>
    </row>
    <row r="9" spans="2:8" x14ac:dyDescent="0.25">
      <c r="F9" t="s">
        <v>158</v>
      </c>
    </row>
    <row r="10" spans="2:8" x14ac:dyDescent="0.25">
      <c r="B10" s="120" t="s">
        <v>159</v>
      </c>
    </row>
    <row r="12" spans="2:8" x14ac:dyDescent="0.25">
      <c r="B12" t="str" cm="1">
        <f t="array" ref="B12:B24">Thresholds[Scale]</f>
        <v>HRA</v>
      </c>
      <c r="H12" s="120" t="s">
        <v>160</v>
      </c>
    </row>
    <row r="13" spans="2:8" x14ac:dyDescent="0.25">
      <c r="B13" t="str">
        <v>HRBW</v>
      </c>
      <c r="H13" t="s">
        <v>81</v>
      </c>
    </row>
    <row r="14" spans="2:8" x14ac:dyDescent="0.25">
      <c r="B14" t="str">
        <v>HRC</v>
      </c>
      <c r="H14" t="s">
        <v>145</v>
      </c>
    </row>
    <row r="15" spans="2:8" x14ac:dyDescent="0.25">
      <c r="B15" t="str">
        <v>HREW</v>
      </c>
      <c r="H15" t="s">
        <v>147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1122</v>
      </c>
      <c r="I18" t="s">
        <v>1123</v>
      </c>
    </row>
    <row r="19" spans="2:14" ht="15.75" thickBot="1" x14ac:dyDescent="0.3">
      <c r="B19" t="str">
        <v>HR30N</v>
      </c>
      <c r="D19" s="90" t="s">
        <v>336</v>
      </c>
      <c r="E19" s="91" t="s">
        <v>337</v>
      </c>
      <c r="F19" s="90" t="s">
        <v>338</v>
      </c>
      <c r="G19" s="91" t="s">
        <v>432</v>
      </c>
      <c r="I19" s="89" t="s">
        <v>206</v>
      </c>
      <c r="J19" s="89" t="s">
        <v>815</v>
      </c>
      <c r="K19" s="89" t="s">
        <v>813</v>
      </c>
      <c r="L19" s="89" t="s">
        <v>814</v>
      </c>
      <c r="N19" s="92" t="s">
        <v>433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topLeftCell="A15" workbookViewId="0">
      <selection activeCell="G42" sqref="G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1136</v>
      </c>
      <c r="B1" t="s">
        <v>1141</v>
      </c>
      <c r="C1" t="s">
        <v>1137</v>
      </c>
      <c r="D1" t="s">
        <v>1115</v>
      </c>
      <c r="E1" t="s">
        <v>1116</v>
      </c>
      <c r="F1" t="s">
        <v>1139</v>
      </c>
      <c r="G1" t="s">
        <v>1140</v>
      </c>
      <c r="H1" t="s">
        <v>1142</v>
      </c>
      <c r="I1" t="s">
        <v>1138</v>
      </c>
      <c r="J1" t="s">
        <v>1106</v>
      </c>
    </row>
    <row r="2" spans="1:10" x14ac:dyDescent="0.25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1135</v>
      </c>
      <c r="B37" s="33" t="s">
        <v>163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1134</v>
      </c>
      <c r="B38" s="34" t="s">
        <v>163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8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7"/>
    <col min="2" max="2" width="18" style="27" customWidth="1"/>
    <col min="3" max="3" width="26.85546875" style="27" customWidth="1"/>
    <col min="4" max="5" width="9.140625" style="27"/>
    <col min="6" max="6" width="6.42578125" style="27" customWidth="1"/>
    <col min="7" max="7" width="9.140625" style="27" hidden="1" customWidth="1"/>
    <col min="8" max="8" width="28.5703125" style="27" customWidth="1"/>
    <col min="9" max="16384" width="9.140625" style="27"/>
  </cols>
  <sheetData>
    <row r="1" spans="1:3" x14ac:dyDescent="0.25">
      <c r="A1" s="27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7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29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topLeftCell="D1"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9" t="s">
        <v>1120</v>
      </c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6"/>
    </row>
    <row r="2" spans="1:31" ht="15.75" thickBot="1" x14ac:dyDescent="0.3">
      <c r="A2" s="17" t="s">
        <v>1119</v>
      </c>
      <c r="B2" s="90" t="s">
        <v>161</v>
      </c>
      <c r="C2" s="90" t="s">
        <v>177</v>
      </c>
      <c r="D2" s="92" t="s">
        <v>192</v>
      </c>
      <c r="H2" s="17" t="s">
        <v>62</v>
      </c>
      <c r="M2" s="17" t="s">
        <v>79</v>
      </c>
      <c r="R2" s="159" t="s">
        <v>1109</v>
      </c>
      <c r="S2" s="159"/>
      <c r="T2" s="159"/>
      <c r="U2" s="126"/>
      <c r="V2" s="121"/>
      <c r="W2" s="159" t="s">
        <v>1110</v>
      </c>
      <c r="X2" s="159"/>
      <c r="Y2" s="159"/>
      <c r="Z2" s="126"/>
      <c r="AA2" s="121"/>
      <c r="AB2" s="159" t="s">
        <v>1111</v>
      </c>
      <c r="AC2" s="159"/>
      <c r="AD2" s="159"/>
      <c r="AE2" s="16"/>
    </row>
    <row r="3" spans="1:31" ht="15.75" thickTop="1" x14ac:dyDescent="0.25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U3" t="s">
        <v>1141</v>
      </c>
      <c r="W3" t="s">
        <v>64</v>
      </c>
      <c r="X3" t="s">
        <v>1115</v>
      </c>
      <c r="Y3" t="s">
        <v>1116</v>
      </c>
      <c r="Z3" t="s">
        <v>1141</v>
      </c>
      <c r="AB3" t="s">
        <v>64</v>
      </c>
      <c r="AC3" t="s">
        <v>1115</v>
      </c>
      <c r="AD3" t="s">
        <v>1116</v>
      </c>
      <c r="AE3" t="s">
        <v>1141</v>
      </c>
    </row>
    <row r="4" spans="1:31" x14ac:dyDescent="0.25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U4" t="s">
        <v>163</v>
      </c>
      <c r="W4" t="s">
        <v>88</v>
      </c>
      <c r="X4">
        <v>0.32</v>
      </c>
      <c r="Y4">
        <v>0</v>
      </c>
      <c r="Z4" t="s">
        <v>163</v>
      </c>
      <c r="AB4" t="s">
        <v>88</v>
      </c>
      <c r="AC4">
        <v>0.2</v>
      </c>
      <c r="AD4">
        <v>0</v>
      </c>
      <c r="AE4" t="s">
        <v>163</v>
      </c>
    </row>
    <row r="5" spans="1:31" x14ac:dyDescent="0.25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U5" t="s">
        <v>163</v>
      </c>
      <c r="W5" t="s">
        <v>89</v>
      </c>
      <c r="X5">
        <v>0.26</v>
      </c>
      <c r="Y5">
        <v>0</v>
      </c>
      <c r="Z5" t="s">
        <v>163</v>
      </c>
      <c r="AB5" t="s">
        <v>89</v>
      </c>
      <c r="AC5">
        <v>0.39</v>
      </c>
      <c r="AD5">
        <v>0</v>
      </c>
      <c r="AE5" t="s">
        <v>163</v>
      </c>
    </row>
    <row r="6" spans="1:31" x14ac:dyDescent="0.25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U6" t="s">
        <v>163</v>
      </c>
      <c r="W6" t="s">
        <v>90</v>
      </c>
      <c r="X6">
        <v>0.34</v>
      </c>
      <c r="Y6">
        <v>0</v>
      </c>
      <c r="Z6" t="s">
        <v>163</v>
      </c>
      <c r="AB6" t="s">
        <v>90</v>
      </c>
      <c r="AC6">
        <v>0.32</v>
      </c>
      <c r="AD6">
        <v>0</v>
      </c>
      <c r="AE6" t="s">
        <v>163</v>
      </c>
    </row>
    <row r="7" spans="1:31" x14ac:dyDescent="0.25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U7" t="s">
        <v>163</v>
      </c>
      <c r="W7" t="s">
        <v>91</v>
      </c>
      <c r="X7">
        <v>0.49</v>
      </c>
      <c r="Y7">
        <v>0</v>
      </c>
      <c r="Z7" t="s">
        <v>163</v>
      </c>
      <c r="AB7" t="s">
        <v>91</v>
      </c>
      <c r="AC7">
        <v>0.49</v>
      </c>
      <c r="AD7">
        <v>0</v>
      </c>
      <c r="AE7" t="s">
        <v>163</v>
      </c>
    </row>
    <row r="8" spans="1:31" x14ac:dyDescent="0.25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U8" t="s">
        <v>163</v>
      </c>
      <c r="W8" t="s">
        <v>92</v>
      </c>
      <c r="X8">
        <v>0.47</v>
      </c>
      <c r="Y8">
        <v>0</v>
      </c>
      <c r="Z8" t="s">
        <v>163</v>
      </c>
      <c r="AB8" t="s">
        <v>92</v>
      </c>
      <c r="AC8">
        <v>0.45</v>
      </c>
      <c r="AD8">
        <v>0</v>
      </c>
      <c r="AE8" t="s">
        <v>163</v>
      </c>
    </row>
    <row r="9" spans="1:31" x14ac:dyDescent="0.25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U9" t="s">
        <v>163</v>
      </c>
      <c r="W9" t="s">
        <v>94</v>
      </c>
      <c r="X9">
        <v>0.42</v>
      </c>
      <c r="Y9">
        <v>0</v>
      </c>
      <c r="Z9" t="s">
        <v>163</v>
      </c>
      <c r="AB9" t="s">
        <v>93</v>
      </c>
      <c r="AC9">
        <v>0.36</v>
      </c>
      <c r="AD9">
        <v>0</v>
      </c>
      <c r="AE9" t="s">
        <v>163</v>
      </c>
    </row>
    <row r="10" spans="1:31" x14ac:dyDescent="0.25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U10" t="s">
        <v>163</v>
      </c>
      <c r="W10" t="s">
        <v>95</v>
      </c>
      <c r="X10">
        <v>0.47</v>
      </c>
      <c r="Y10">
        <v>0</v>
      </c>
      <c r="Z10" t="s">
        <v>163</v>
      </c>
      <c r="AB10" t="s">
        <v>94</v>
      </c>
      <c r="AC10">
        <v>0.51</v>
      </c>
      <c r="AD10">
        <v>0</v>
      </c>
      <c r="AE10" t="s">
        <v>163</v>
      </c>
    </row>
    <row r="11" spans="1:31" x14ac:dyDescent="0.25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U11" t="s">
        <v>163</v>
      </c>
      <c r="W11" t="s">
        <v>96</v>
      </c>
      <c r="X11">
        <v>0.25</v>
      </c>
      <c r="Y11">
        <v>0</v>
      </c>
      <c r="Z11" t="s">
        <v>163</v>
      </c>
      <c r="AB11" t="s">
        <v>95</v>
      </c>
      <c r="AC11">
        <v>0.54</v>
      </c>
      <c r="AD11">
        <v>0</v>
      </c>
      <c r="AE11" t="s">
        <v>163</v>
      </c>
    </row>
    <row r="12" spans="1:31" x14ac:dyDescent="0.25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U12" t="s">
        <v>163</v>
      </c>
      <c r="W12" t="s">
        <v>97</v>
      </c>
      <c r="X12">
        <v>0.39</v>
      </c>
      <c r="Y12">
        <v>0</v>
      </c>
      <c r="Z12" t="s">
        <v>163</v>
      </c>
      <c r="AB12" t="s">
        <v>96</v>
      </c>
      <c r="AC12">
        <v>0.2</v>
      </c>
      <c r="AD12">
        <v>0</v>
      </c>
      <c r="AE12" t="s">
        <v>163</v>
      </c>
    </row>
    <row r="13" spans="1:31" x14ac:dyDescent="0.25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U13" t="s">
        <v>163</v>
      </c>
      <c r="W13" t="s">
        <v>98</v>
      </c>
      <c r="X13">
        <v>0.64</v>
      </c>
      <c r="Y13">
        <v>0</v>
      </c>
      <c r="Z13" t="s">
        <v>163</v>
      </c>
      <c r="AB13" t="s">
        <v>97</v>
      </c>
      <c r="AC13">
        <v>0.31158530446307792</v>
      </c>
      <c r="AD13">
        <v>0</v>
      </c>
      <c r="AE13" t="s">
        <v>163</v>
      </c>
    </row>
    <row r="14" spans="1:31" x14ac:dyDescent="0.25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U14" t="s">
        <v>163</v>
      </c>
      <c r="W14" t="s">
        <v>99</v>
      </c>
      <c r="X14">
        <v>0.41</v>
      </c>
      <c r="Y14">
        <v>0</v>
      </c>
      <c r="Z14" t="s">
        <v>163</v>
      </c>
      <c r="AB14" t="s">
        <v>98</v>
      </c>
      <c r="AC14">
        <v>0.22</v>
      </c>
      <c r="AD14">
        <v>0</v>
      </c>
      <c r="AE14" t="s">
        <v>163</v>
      </c>
    </row>
    <row r="15" spans="1:31" x14ac:dyDescent="0.25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U15" t="s">
        <v>163</v>
      </c>
      <c r="W15" t="s">
        <v>1099</v>
      </c>
      <c r="Y15">
        <v>0</v>
      </c>
      <c r="Z15" t="s">
        <v>163</v>
      </c>
      <c r="AB15" t="s">
        <v>99</v>
      </c>
      <c r="AC15">
        <v>0.39</v>
      </c>
      <c r="AD15">
        <v>0</v>
      </c>
      <c r="AE15" t="s">
        <v>163</v>
      </c>
    </row>
    <row r="16" spans="1:31" x14ac:dyDescent="0.25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AB16" t="s">
        <v>1099</v>
      </c>
      <c r="AD16">
        <v>0</v>
      </c>
      <c r="AE16" t="s">
        <v>163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7" priority="7" operator="equal">
      <formula>"no test"</formula>
    </cfRule>
  </conditionalFormatting>
  <conditionalFormatting sqref="I4:K16">
    <cfRule type="cellIs" dxfId="6" priority="6" operator="equal">
      <formula>""</formula>
    </cfRule>
  </conditionalFormatting>
  <conditionalFormatting sqref="N4:P16">
    <cfRule type="cellIs" dxfId="5" priority="5" operator="equal">
      <formula>""</formula>
    </cfRule>
  </conditionalFormatting>
  <conditionalFormatting sqref="I4:K16 N4:P16">
    <cfRule type="containsErrors" dxfId="4" priority="8">
      <formula>ISERROR(I4)</formula>
    </cfRule>
  </conditionalFormatting>
  <conditionalFormatting sqref="AB4:AD16 W4:Y15 R4:T15">
    <cfRule type="containsBlanks" dxfId="3" priority="9">
      <formula>LEN(TRIM(R4))=0</formula>
    </cfRule>
  </conditionalFormatting>
  <conditionalFormatting sqref="O9">
    <cfRule type="cellIs" dxfId="2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 x14ac:dyDescent="0.25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8"/>
  <sheetViews>
    <sheetView tabSelected="1" workbookViewId="0">
      <selection activeCell="R10" sqref="R10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201</v>
      </c>
      <c r="B1" t="s">
        <v>202</v>
      </c>
      <c r="C1" t="s">
        <v>203</v>
      </c>
      <c r="D1" t="s">
        <v>1132</v>
      </c>
    </row>
    <row r="2" spans="1:4" x14ac:dyDescent="0.25">
      <c r="A2" s="30">
        <v>42956</v>
      </c>
      <c r="B2" t="s">
        <v>204</v>
      </c>
      <c r="C2" t="s">
        <v>205</v>
      </c>
    </row>
    <row r="3" spans="1:4" x14ac:dyDescent="0.25">
      <c r="A3" s="30">
        <v>42965</v>
      </c>
      <c r="B3" t="s">
        <v>204</v>
      </c>
      <c r="C3" t="s">
        <v>205</v>
      </c>
    </row>
    <row r="4" spans="1:4" x14ac:dyDescent="0.25">
      <c r="A4" s="30">
        <v>42989</v>
      </c>
      <c r="B4" t="s">
        <v>204</v>
      </c>
      <c r="C4" t="s">
        <v>205</v>
      </c>
    </row>
    <row r="5" spans="1:4" x14ac:dyDescent="0.25">
      <c r="A5" s="30">
        <v>42993</v>
      </c>
      <c r="B5" t="s">
        <v>204</v>
      </c>
      <c r="C5" t="s">
        <v>205</v>
      </c>
    </row>
    <row r="6" spans="1:4" x14ac:dyDescent="0.25">
      <c r="A6" s="30">
        <v>42996</v>
      </c>
      <c r="B6" t="s">
        <v>204</v>
      </c>
      <c r="C6" t="s">
        <v>205</v>
      </c>
    </row>
    <row r="7" spans="1:4" x14ac:dyDescent="0.25">
      <c r="A7" s="30">
        <v>42999</v>
      </c>
      <c r="B7" t="s">
        <v>204</v>
      </c>
      <c r="C7" t="s">
        <v>205</v>
      </c>
    </row>
    <row r="8" spans="1:4" x14ac:dyDescent="0.25">
      <c r="A8" s="30">
        <v>43007</v>
      </c>
      <c r="B8" t="s">
        <v>204</v>
      </c>
      <c r="C8" t="s">
        <v>205</v>
      </c>
    </row>
    <row r="9" spans="1:4" x14ac:dyDescent="0.25">
      <c r="A9" s="30">
        <v>43644</v>
      </c>
      <c r="B9" t="s">
        <v>204</v>
      </c>
      <c r="C9" t="s">
        <v>205</v>
      </c>
    </row>
    <row r="10" spans="1:4" x14ac:dyDescent="0.25">
      <c r="A10" s="30">
        <v>44208</v>
      </c>
      <c r="B10" t="s">
        <v>204</v>
      </c>
      <c r="C10" t="s">
        <v>205</v>
      </c>
      <c r="D10" t="s">
        <v>1131</v>
      </c>
    </row>
    <row r="11" spans="1:4" x14ac:dyDescent="0.25">
      <c r="A11" s="30">
        <v>45509</v>
      </c>
      <c r="B11" t="s">
        <v>431</v>
      </c>
      <c r="C11" t="s">
        <v>430</v>
      </c>
      <c r="D11" t="s">
        <v>1130</v>
      </c>
    </row>
    <row r="12" spans="1:4" x14ac:dyDescent="0.25">
      <c r="A12" s="30">
        <v>45519</v>
      </c>
      <c r="B12" t="s">
        <v>446</v>
      </c>
      <c r="C12" t="s">
        <v>430</v>
      </c>
      <c r="D12" t="s">
        <v>1129</v>
      </c>
    </row>
    <row r="13" spans="1:4" x14ac:dyDescent="0.25">
      <c r="A13" s="30">
        <v>45531</v>
      </c>
      <c r="B13" t="s">
        <v>996</v>
      </c>
      <c r="C13" t="s">
        <v>430</v>
      </c>
      <c r="D13" t="s">
        <v>1128</v>
      </c>
    </row>
    <row r="14" spans="1:4" x14ac:dyDescent="0.25">
      <c r="A14" s="30">
        <v>45540</v>
      </c>
      <c r="B14" t="s">
        <v>1098</v>
      </c>
      <c r="C14" t="s">
        <v>430</v>
      </c>
      <c r="D14" t="s">
        <v>1127</v>
      </c>
    </row>
    <row r="15" spans="1:4" x14ac:dyDescent="0.25">
      <c r="A15" s="30">
        <v>45545</v>
      </c>
      <c r="B15" t="s">
        <v>1121</v>
      </c>
      <c r="C15" t="s">
        <v>430</v>
      </c>
    </row>
    <row r="16" spans="1:4" x14ac:dyDescent="0.25">
      <c r="A16" s="30">
        <v>45574</v>
      </c>
      <c r="B16" t="s">
        <v>1133</v>
      </c>
      <c r="C16" t="s">
        <v>430</v>
      </c>
      <c r="D16" t="s">
        <v>1126</v>
      </c>
    </row>
    <row r="17" spans="1:4" x14ac:dyDescent="0.25">
      <c r="A17" s="30">
        <v>45623</v>
      </c>
      <c r="B17" t="s">
        <v>1145</v>
      </c>
      <c r="C17" t="s">
        <v>430</v>
      </c>
    </row>
    <row r="18" spans="1:4" x14ac:dyDescent="0.25">
      <c r="A18" s="30">
        <v>45629</v>
      </c>
      <c r="B18" t="s">
        <v>1146</v>
      </c>
      <c r="C18" t="s">
        <v>430</v>
      </c>
      <c r="D18" t="s">
        <v>1125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208</v>
      </c>
      <c r="B1" s="107" t="s">
        <v>336</v>
      </c>
      <c r="C1" s="93" t="s">
        <v>337</v>
      </c>
      <c r="D1" s="103" t="s">
        <v>338</v>
      </c>
      <c r="E1" s="103" t="s">
        <v>432</v>
      </c>
      <c r="F1" s="1" t="s">
        <v>435</v>
      </c>
      <c r="G1" s="107" t="s">
        <v>434</v>
      </c>
      <c r="H1" s="93" t="s">
        <v>339</v>
      </c>
      <c r="I1" s="93" t="s">
        <v>442</v>
      </c>
      <c r="J1" s="93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 x14ac:dyDescent="0.25">
      <c r="A2">
        <v>57819</v>
      </c>
      <c r="B2" t="s">
        <v>340</v>
      </c>
      <c r="C2" t="s">
        <v>358</v>
      </c>
      <c r="D2" s="38" t="s">
        <v>406</v>
      </c>
      <c r="E2" s="105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340</v>
      </c>
      <c r="C3" t="s">
        <v>859</v>
      </c>
      <c r="D3" s="38">
        <v>2</v>
      </c>
      <c r="E3" s="104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8"/>
    </row>
    <row r="4" spans="1:47" x14ac:dyDescent="0.25">
      <c r="A4">
        <v>57481</v>
      </c>
      <c r="B4" t="s">
        <v>340</v>
      </c>
      <c r="C4" t="s">
        <v>859</v>
      </c>
      <c r="D4" s="38" t="s">
        <v>948</v>
      </c>
      <c r="E4" s="104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340</v>
      </c>
      <c r="C5" t="s">
        <v>352</v>
      </c>
      <c r="D5" s="38" t="s">
        <v>820</v>
      </c>
      <c r="E5" s="104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340</v>
      </c>
      <c r="C6" t="s">
        <v>352</v>
      </c>
      <c r="D6" s="38" t="s">
        <v>820</v>
      </c>
      <c r="E6" s="104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340</v>
      </c>
      <c r="C7" t="s">
        <v>352</v>
      </c>
      <c r="D7" s="38" t="s">
        <v>820</v>
      </c>
      <c r="E7" s="104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340</v>
      </c>
      <c r="C8" t="s">
        <v>352</v>
      </c>
      <c r="D8" s="38" t="s">
        <v>820</v>
      </c>
      <c r="E8" s="104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340</v>
      </c>
      <c r="C9" t="s">
        <v>352</v>
      </c>
      <c r="D9" s="38" t="s">
        <v>820</v>
      </c>
      <c r="E9" s="104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8"/>
      <c r="AS9" s="30"/>
    </row>
    <row r="10" spans="1:47" x14ac:dyDescent="0.25">
      <c r="A10">
        <v>57462</v>
      </c>
      <c r="B10" t="s">
        <v>340</v>
      </c>
      <c r="C10" t="s">
        <v>352</v>
      </c>
      <c r="D10" s="38" t="s">
        <v>820</v>
      </c>
      <c r="E10" s="104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340</v>
      </c>
      <c r="C11" t="s">
        <v>352</v>
      </c>
      <c r="D11" s="38" t="s">
        <v>353</v>
      </c>
      <c r="E11" s="104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340</v>
      </c>
      <c r="C12" t="s">
        <v>352</v>
      </c>
      <c r="D12" s="38" t="s">
        <v>353</v>
      </c>
      <c r="E12" s="104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340</v>
      </c>
      <c r="C13" t="s">
        <v>352</v>
      </c>
      <c r="D13" s="38" t="s">
        <v>353</v>
      </c>
      <c r="E13" s="104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340</v>
      </c>
      <c r="C14" t="s">
        <v>341</v>
      </c>
      <c r="D14" s="38" t="s">
        <v>342</v>
      </c>
      <c r="E14" s="105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340</v>
      </c>
      <c r="C15" t="s">
        <v>341</v>
      </c>
      <c r="D15" s="38" t="s">
        <v>342</v>
      </c>
      <c r="E15" s="105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340</v>
      </c>
      <c r="C16" t="s">
        <v>341</v>
      </c>
      <c r="D16" s="38" t="s">
        <v>342</v>
      </c>
      <c r="E16" s="105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340</v>
      </c>
      <c r="C17" t="s">
        <v>341</v>
      </c>
      <c r="D17" s="38" t="s">
        <v>342</v>
      </c>
      <c r="E17" s="105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340</v>
      </c>
      <c r="C18" t="s">
        <v>341</v>
      </c>
      <c r="D18" s="38" t="s">
        <v>342</v>
      </c>
      <c r="E18" s="105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8"/>
    </row>
    <row r="19" spans="1:47" x14ac:dyDescent="0.25">
      <c r="A19">
        <v>58078</v>
      </c>
      <c r="B19" t="s">
        <v>340</v>
      </c>
      <c r="C19" t="s">
        <v>341</v>
      </c>
      <c r="D19" s="38" t="s">
        <v>342</v>
      </c>
      <c r="E19" s="105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340</v>
      </c>
      <c r="C20" t="s">
        <v>341</v>
      </c>
      <c r="D20" s="38" t="s">
        <v>342</v>
      </c>
      <c r="E20" s="105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340</v>
      </c>
      <c r="C21" t="s">
        <v>341</v>
      </c>
      <c r="D21" s="38" t="s">
        <v>342</v>
      </c>
      <c r="E21" s="105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340</v>
      </c>
      <c r="C22" t="s">
        <v>341</v>
      </c>
      <c r="D22" s="38" t="s">
        <v>342</v>
      </c>
      <c r="E22" s="105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340</v>
      </c>
      <c r="C23" t="s">
        <v>341</v>
      </c>
      <c r="D23" s="38" t="s">
        <v>342</v>
      </c>
      <c r="E23" s="105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340</v>
      </c>
      <c r="C24" t="s">
        <v>341</v>
      </c>
      <c r="D24" s="38" t="s">
        <v>342</v>
      </c>
      <c r="E24" s="105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340</v>
      </c>
      <c r="C25" t="s">
        <v>341</v>
      </c>
      <c r="D25" s="38" t="s">
        <v>342</v>
      </c>
      <c r="E25" s="105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8"/>
    </row>
    <row r="26" spans="1:47" x14ac:dyDescent="0.25">
      <c r="A26">
        <v>57305</v>
      </c>
      <c r="B26" t="s">
        <v>340</v>
      </c>
      <c r="C26" t="s">
        <v>341</v>
      </c>
      <c r="D26" s="38" t="s">
        <v>342</v>
      </c>
      <c r="E26" s="105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340</v>
      </c>
      <c r="C27" t="s">
        <v>341</v>
      </c>
      <c r="D27" s="38" t="s">
        <v>342</v>
      </c>
      <c r="E27" s="105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340</v>
      </c>
      <c r="C28" t="s">
        <v>341</v>
      </c>
      <c r="D28" s="38" t="s">
        <v>342</v>
      </c>
      <c r="E28" s="105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340</v>
      </c>
      <c r="C29" t="s">
        <v>341</v>
      </c>
      <c r="D29" s="38" t="s">
        <v>342</v>
      </c>
      <c r="E29" s="105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340</v>
      </c>
      <c r="C30" t="s">
        <v>341</v>
      </c>
      <c r="D30" s="38" t="s">
        <v>342</v>
      </c>
      <c r="E30" s="105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340</v>
      </c>
      <c r="C31" t="s">
        <v>341</v>
      </c>
      <c r="D31" s="38" t="s">
        <v>342</v>
      </c>
      <c r="E31" s="105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340</v>
      </c>
      <c r="C32" t="s">
        <v>341</v>
      </c>
      <c r="D32" s="38" t="s">
        <v>342</v>
      </c>
      <c r="E32" s="105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8"/>
    </row>
    <row r="33" spans="1:45" x14ac:dyDescent="0.25">
      <c r="A33">
        <v>57240</v>
      </c>
      <c r="B33" t="s">
        <v>340</v>
      </c>
      <c r="C33" t="s">
        <v>341</v>
      </c>
      <c r="D33" s="38" t="s">
        <v>342</v>
      </c>
      <c r="E33" s="105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8"/>
    </row>
    <row r="34" spans="1:45" x14ac:dyDescent="0.25">
      <c r="A34">
        <v>57221</v>
      </c>
      <c r="B34" t="s">
        <v>340</v>
      </c>
      <c r="C34" t="s">
        <v>341</v>
      </c>
      <c r="D34" s="38" t="s">
        <v>342</v>
      </c>
      <c r="E34" s="105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340</v>
      </c>
      <c r="C35" t="s">
        <v>341</v>
      </c>
      <c r="D35" s="38" t="s">
        <v>342</v>
      </c>
      <c r="E35" s="105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340</v>
      </c>
      <c r="C36" t="s">
        <v>341</v>
      </c>
      <c r="D36" s="38" t="s">
        <v>342</v>
      </c>
      <c r="E36" s="105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340</v>
      </c>
      <c r="C37" t="s">
        <v>341</v>
      </c>
      <c r="D37" s="38" t="s">
        <v>342</v>
      </c>
      <c r="E37" s="105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340</v>
      </c>
      <c r="C38" t="s">
        <v>341</v>
      </c>
      <c r="D38" s="38" t="s">
        <v>342</v>
      </c>
      <c r="E38" s="105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340</v>
      </c>
      <c r="C39" t="s">
        <v>341</v>
      </c>
      <c r="D39" s="38" t="s">
        <v>342</v>
      </c>
      <c r="E39" s="105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340</v>
      </c>
      <c r="C40" t="s">
        <v>341</v>
      </c>
      <c r="D40" s="38" t="s">
        <v>342</v>
      </c>
      <c r="E40" s="105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340</v>
      </c>
      <c r="C41" t="s">
        <v>341</v>
      </c>
      <c r="D41" s="38" t="s">
        <v>342</v>
      </c>
      <c r="E41" s="105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8"/>
    </row>
    <row r="42" spans="1:45" x14ac:dyDescent="0.25">
      <c r="A42">
        <v>57248</v>
      </c>
      <c r="B42" t="s">
        <v>340</v>
      </c>
      <c r="C42" t="s">
        <v>341</v>
      </c>
      <c r="D42" s="38" t="s">
        <v>342</v>
      </c>
      <c r="E42" s="105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340</v>
      </c>
      <c r="C43" t="s">
        <v>341</v>
      </c>
      <c r="D43" s="38" t="s">
        <v>342</v>
      </c>
      <c r="E43" s="105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340</v>
      </c>
      <c r="C44" t="s">
        <v>341</v>
      </c>
      <c r="D44" s="38" t="s">
        <v>342</v>
      </c>
      <c r="E44" s="105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340</v>
      </c>
      <c r="C45" t="s">
        <v>341</v>
      </c>
      <c r="D45" s="38" t="s">
        <v>342</v>
      </c>
      <c r="E45" s="105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340</v>
      </c>
      <c r="C46" t="s">
        <v>341</v>
      </c>
      <c r="D46" s="38" t="s">
        <v>342</v>
      </c>
      <c r="E46" s="105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340</v>
      </c>
      <c r="C47" t="s">
        <v>341</v>
      </c>
      <c r="D47" s="38" t="s">
        <v>342</v>
      </c>
      <c r="E47" s="105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340</v>
      </c>
      <c r="C48" t="s">
        <v>341</v>
      </c>
      <c r="D48" s="38" t="s">
        <v>342</v>
      </c>
      <c r="E48" s="105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8"/>
    </row>
    <row r="49" spans="1:47" x14ac:dyDescent="0.25">
      <c r="A49">
        <v>57911</v>
      </c>
      <c r="B49" t="s">
        <v>340</v>
      </c>
      <c r="C49" t="s">
        <v>341</v>
      </c>
      <c r="D49" s="38" t="s">
        <v>342</v>
      </c>
      <c r="E49" s="105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8"/>
    </row>
    <row r="50" spans="1:47" x14ac:dyDescent="0.25">
      <c r="A50">
        <v>57881</v>
      </c>
      <c r="B50" t="s">
        <v>340</v>
      </c>
      <c r="C50" t="s">
        <v>341</v>
      </c>
      <c r="D50" s="38" t="s">
        <v>342</v>
      </c>
      <c r="E50" s="105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340</v>
      </c>
      <c r="C51" t="s">
        <v>341</v>
      </c>
      <c r="D51" s="38" t="s">
        <v>947</v>
      </c>
      <c r="E51" s="105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340</v>
      </c>
      <c r="C52" t="s">
        <v>341</v>
      </c>
      <c r="D52" s="38" t="s">
        <v>947</v>
      </c>
      <c r="E52" s="104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340</v>
      </c>
      <c r="C53" t="s">
        <v>341</v>
      </c>
      <c r="D53" s="38" t="s">
        <v>947</v>
      </c>
      <c r="E53" s="105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340</v>
      </c>
      <c r="C54" t="s">
        <v>901</v>
      </c>
      <c r="D54" s="38" t="s">
        <v>977</v>
      </c>
      <c r="E54" s="105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340</v>
      </c>
      <c r="C55" t="s">
        <v>901</v>
      </c>
      <c r="D55" s="38" t="s">
        <v>977</v>
      </c>
      <c r="E55" s="105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2"/>
      <c r="AS55" s="30"/>
    </row>
    <row r="56" spans="1:47" x14ac:dyDescent="0.25">
      <c r="A56">
        <v>58115</v>
      </c>
      <c r="B56" t="s">
        <v>340</v>
      </c>
      <c r="C56" t="s">
        <v>899</v>
      </c>
      <c r="D56" s="38" t="s">
        <v>977</v>
      </c>
      <c r="E56" s="105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340</v>
      </c>
      <c r="C57" t="s">
        <v>348</v>
      </c>
      <c r="D57" s="38" t="s">
        <v>349</v>
      </c>
      <c r="E57" s="105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340</v>
      </c>
      <c r="C58" t="s">
        <v>348</v>
      </c>
      <c r="D58" s="38" t="s">
        <v>349</v>
      </c>
      <c r="E58" s="105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340</v>
      </c>
      <c r="C59" t="s">
        <v>346</v>
      </c>
      <c r="D59" s="38" t="s">
        <v>817</v>
      </c>
      <c r="E59" s="105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340</v>
      </c>
      <c r="C60" t="s">
        <v>346</v>
      </c>
      <c r="D60" s="38" t="s">
        <v>976</v>
      </c>
      <c r="E60" s="105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340</v>
      </c>
      <c r="C61" t="s">
        <v>346</v>
      </c>
      <c r="D61" s="38" t="s">
        <v>935</v>
      </c>
      <c r="E61" s="105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343</v>
      </c>
      <c r="C62" t="s">
        <v>839</v>
      </c>
      <c r="D62" s="106">
        <v>6534051</v>
      </c>
      <c r="E62" s="104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8"/>
    </row>
    <row r="63" spans="1:47" x14ac:dyDescent="0.25">
      <c r="A63">
        <v>58221</v>
      </c>
      <c r="B63" t="s">
        <v>343</v>
      </c>
      <c r="C63" t="s">
        <v>839</v>
      </c>
      <c r="D63" s="38" t="s">
        <v>383</v>
      </c>
      <c r="E63" s="105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8"/>
    </row>
    <row r="64" spans="1:47" x14ac:dyDescent="0.25">
      <c r="A64">
        <v>57310</v>
      </c>
      <c r="B64" t="s">
        <v>343</v>
      </c>
      <c r="C64" t="s">
        <v>839</v>
      </c>
      <c r="D64" s="38" t="s">
        <v>817</v>
      </c>
      <c r="E64" s="105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343</v>
      </c>
      <c r="C65" t="s">
        <v>382</v>
      </c>
      <c r="D65" s="38" t="s">
        <v>971</v>
      </c>
      <c r="E65" s="105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343</v>
      </c>
      <c r="C66" t="s">
        <v>358</v>
      </c>
      <c r="D66" s="38" t="s">
        <v>940</v>
      </c>
      <c r="E66" s="105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343</v>
      </c>
      <c r="C67" t="s">
        <v>358</v>
      </c>
      <c r="D67" s="38" t="s">
        <v>359</v>
      </c>
      <c r="E67" s="104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343</v>
      </c>
      <c r="C68" t="s">
        <v>358</v>
      </c>
      <c r="D68" s="38" t="s">
        <v>359</v>
      </c>
      <c r="E68" s="104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343</v>
      </c>
      <c r="C69" t="s">
        <v>859</v>
      </c>
      <c r="D69" s="38" t="s">
        <v>950</v>
      </c>
      <c r="E69" s="104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8"/>
    </row>
    <row r="70" spans="1:45" x14ac:dyDescent="0.25">
      <c r="A70">
        <v>58011</v>
      </c>
      <c r="B70" t="s">
        <v>343</v>
      </c>
      <c r="C70" t="s">
        <v>352</v>
      </c>
      <c r="D70" s="38" t="s">
        <v>972</v>
      </c>
      <c r="E70" s="105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343</v>
      </c>
      <c r="C71" t="s">
        <v>822</v>
      </c>
      <c r="D71" s="38" t="s">
        <v>820</v>
      </c>
      <c r="E71" s="105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8"/>
    </row>
    <row r="72" spans="1:45" x14ac:dyDescent="0.25">
      <c r="A72">
        <v>58155</v>
      </c>
      <c r="B72" t="s">
        <v>343</v>
      </c>
      <c r="C72" t="s">
        <v>379</v>
      </c>
      <c r="D72" s="38">
        <v>574</v>
      </c>
      <c r="E72" s="105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343</v>
      </c>
      <c r="C73" t="s">
        <v>855</v>
      </c>
      <c r="D73" s="38" t="s">
        <v>817</v>
      </c>
      <c r="E73" s="105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343</v>
      </c>
      <c r="C74" t="s">
        <v>341</v>
      </c>
      <c r="D74" s="38" t="s">
        <v>961</v>
      </c>
      <c r="E74" s="105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343</v>
      </c>
      <c r="C75" t="s">
        <v>341</v>
      </c>
      <c r="D75" s="38" t="s">
        <v>961</v>
      </c>
      <c r="E75" s="105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343</v>
      </c>
      <c r="C76" t="s">
        <v>341</v>
      </c>
      <c r="D76" s="38" t="s">
        <v>347</v>
      </c>
      <c r="E76" s="105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8"/>
    </row>
    <row r="77" spans="1:45" x14ac:dyDescent="0.25">
      <c r="A77">
        <v>57524</v>
      </c>
      <c r="B77" t="s">
        <v>343</v>
      </c>
      <c r="C77" t="s">
        <v>341</v>
      </c>
      <c r="D77" s="38" t="s">
        <v>953</v>
      </c>
      <c r="E77" s="105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343</v>
      </c>
      <c r="C78" t="s">
        <v>341</v>
      </c>
      <c r="D78" s="38" t="s">
        <v>953</v>
      </c>
      <c r="E78" s="105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343</v>
      </c>
      <c r="C79" t="s">
        <v>341</v>
      </c>
      <c r="D79" s="38" t="s">
        <v>962</v>
      </c>
      <c r="E79" s="105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343</v>
      </c>
      <c r="C80" t="s">
        <v>341</v>
      </c>
      <c r="D80" s="38" t="s">
        <v>860</v>
      </c>
      <c r="E80" s="105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8"/>
    </row>
    <row r="81" spans="1:45" x14ac:dyDescent="0.25">
      <c r="A81">
        <v>57859</v>
      </c>
      <c r="B81" t="s">
        <v>343</v>
      </c>
      <c r="C81" t="s">
        <v>341</v>
      </c>
      <c r="D81" s="38" t="s">
        <v>860</v>
      </c>
      <c r="E81" s="105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8"/>
      <c r="AS81" s="30"/>
    </row>
    <row r="82" spans="1:45" x14ac:dyDescent="0.25">
      <c r="A82">
        <v>57492</v>
      </c>
      <c r="B82" t="s">
        <v>343</v>
      </c>
      <c r="C82" t="s">
        <v>341</v>
      </c>
      <c r="D82" s="38" t="s">
        <v>860</v>
      </c>
      <c r="E82" s="105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343</v>
      </c>
      <c r="C83" t="s">
        <v>341</v>
      </c>
      <c r="D83" s="38" t="s">
        <v>342</v>
      </c>
      <c r="E83" s="105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343</v>
      </c>
      <c r="C84" t="s">
        <v>341</v>
      </c>
      <c r="D84" s="38" t="s">
        <v>342</v>
      </c>
      <c r="E84" s="105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343</v>
      </c>
      <c r="C85" t="s">
        <v>341</v>
      </c>
      <c r="D85" s="38" t="s">
        <v>947</v>
      </c>
      <c r="E85" s="104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343</v>
      </c>
      <c r="C86" t="s">
        <v>341</v>
      </c>
      <c r="D86" s="38" t="s">
        <v>947</v>
      </c>
      <c r="E86" s="105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343</v>
      </c>
      <c r="C87" t="s">
        <v>341</v>
      </c>
      <c r="D87" s="38" t="s">
        <v>967</v>
      </c>
      <c r="E87" s="105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343</v>
      </c>
      <c r="C88" t="s">
        <v>341</v>
      </c>
      <c r="D88" s="38" t="s">
        <v>967</v>
      </c>
      <c r="E88" s="105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343</v>
      </c>
      <c r="C89" t="s">
        <v>341</v>
      </c>
      <c r="D89" s="38" t="s">
        <v>355</v>
      </c>
      <c r="E89" s="104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343</v>
      </c>
      <c r="C90" t="s">
        <v>341</v>
      </c>
      <c r="D90" s="38" t="s">
        <v>355</v>
      </c>
      <c r="E90" s="105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343</v>
      </c>
      <c r="C91" t="s">
        <v>341</v>
      </c>
      <c r="D91" s="38" t="s">
        <v>355</v>
      </c>
      <c r="E91" s="104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343</v>
      </c>
      <c r="C92" t="s">
        <v>341</v>
      </c>
      <c r="D92" s="38" t="s">
        <v>355</v>
      </c>
      <c r="E92" s="104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343</v>
      </c>
      <c r="C93" t="s">
        <v>341</v>
      </c>
      <c r="D93" s="38" t="s">
        <v>355</v>
      </c>
      <c r="E93" s="105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343</v>
      </c>
      <c r="C94" t="s">
        <v>341</v>
      </c>
      <c r="D94" s="38" t="s">
        <v>944</v>
      </c>
      <c r="E94" s="105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343</v>
      </c>
      <c r="C95" t="s">
        <v>341</v>
      </c>
      <c r="D95" s="38" t="s">
        <v>944</v>
      </c>
      <c r="E95" s="105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343</v>
      </c>
      <c r="C96" t="s">
        <v>341</v>
      </c>
      <c r="D96" s="38" t="s">
        <v>944</v>
      </c>
      <c r="E96" s="105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343</v>
      </c>
      <c r="C97" t="s">
        <v>341</v>
      </c>
      <c r="D97" s="38" t="s">
        <v>944</v>
      </c>
      <c r="E97" s="105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343</v>
      </c>
      <c r="C98" t="s">
        <v>341</v>
      </c>
      <c r="D98" s="38" t="s">
        <v>375</v>
      </c>
      <c r="E98" s="105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343</v>
      </c>
      <c r="C99" t="s">
        <v>341</v>
      </c>
      <c r="D99" s="38" t="s">
        <v>375</v>
      </c>
      <c r="E99" s="105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343</v>
      </c>
      <c r="C100" t="s">
        <v>341</v>
      </c>
      <c r="D100" s="38" t="s">
        <v>375</v>
      </c>
      <c r="E100" s="105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343</v>
      </c>
      <c r="C101" t="s">
        <v>341</v>
      </c>
      <c r="D101" s="38" t="s">
        <v>375</v>
      </c>
      <c r="E101" s="105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343</v>
      </c>
      <c r="C102" t="s">
        <v>341</v>
      </c>
      <c r="D102" s="38" t="s">
        <v>926</v>
      </c>
      <c r="E102" s="105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343</v>
      </c>
      <c r="C103" t="s">
        <v>341</v>
      </c>
      <c r="D103" s="38" t="s">
        <v>989</v>
      </c>
      <c r="E103" s="105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343</v>
      </c>
      <c r="C104" t="s">
        <v>341</v>
      </c>
      <c r="D104" s="38" t="s">
        <v>942</v>
      </c>
      <c r="E104" s="105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343</v>
      </c>
      <c r="C105" t="s">
        <v>341</v>
      </c>
      <c r="D105" s="38" t="s">
        <v>866</v>
      </c>
      <c r="E105" s="105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343</v>
      </c>
      <c r="C106" t="s">
        <v>341</v>
      </c>
      <c r="D106" s="38" t="s">
        <v>345</v>
      </c>
      <c r="E106" s="105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343</v>
      </c>
      <c r="C107" t="s">
        <v>871</v>
      </c>
      <c r="D107" s="38" t="s">
        <v>392</v>
      </c>
      <c r="E107" s="105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343</v>
      </c>
      <c r="C108" t="s">
        <v>893</v>
      </c>
      <c r="D108" s="38" t="s">
        <v>974</v>
      </c>
      <c r="E108" s="105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343</v>
      </c>
      <c r="C109" t="s">
        <v>824</v>
      </c>
      <c r="D109" s="38" t="s">
        <v>985</v>
      </c>
      <c r="E109" s="105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343</v>
      </c>
      <c r="C110" t="s">
        <v>824</v>
      </c>
      <c r="D110" s="38" t="s">
        <v>928</v>
      </c>
      <c r="E110" s="105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8"/>
    </row>
    <row r="111" spans="1:47" x14ac:dyDescent="0.25">
      <c r="A111">
        <v>57534</v>
      </c>
      <c r="B111" t="s">
        <v>343</v>
      </c>
      <c r="C111" t="s">
        <v>863</v>
      </c>
      <c r="D111" s="38" t="s">
        <v>955</v>
      </c>
      <c r="E111" s="105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8"/>
    </row>
    <row r="112" spans="1:47" x14ac:dyDescent="0.25">
      <c r="A112">
        <v>117081</v>
      </c>
      <c r="B112" t="s">
        <v>343</v>
      </c>
      <c r="C112" t="s">
        <v>868</v>
      </c>
      <c r="D112" s="38" t="s">
        <v>817</v>
      </c>
      <c r="E112" s="105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8"/>
    </row>
    <row r="113" spans="1:47" x14ac:dyDescent="0.25">
      <c r="A113">
        <v>57615</v>
      </c>
      <c r="B113" t="s">
        <v>343</v>
      </c>
      <c r="C113" t="s">
        <v>868</v>
      </c>
      <c r="D113" s="38" t="s">
        <v>957</v>
      </c>
      <c r="E113" s="105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8"/>
    </row>
    <row r="114" spans="1:47" x14ac:dyDescent="0.25">
      <c r="A114">
        <v>57072</v>
      </c>
      <c r="B114" t="s">
        <v>343</v>
      </c>
      <c r="C114" t="s">
        <v>414</v>
      </c>
      <c r="D114" s="38">
        <v>2002</v>
      </c>
      <c r="E114" s="105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343</v>
      </c>
      <c r="C115" t="s">
        <v>414</v>
      </c>
      <c r="D115" s="38" t="s">
        <v>415</v>
      </c>
      <c r="E115" s="105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343</v>
      </c>
      <c r="C116" t="s">
        <v>414</v>
      </c>
      <c r="D116" s="38" t="s">
        <v>415</v>
      </c>
      <c r="E116" s="105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8"/>
    </row>
    <row r="117" spans="1:47" x14ac:dyDescent="0.25">
      <c r="A117">
        <v>57825</v>
      </c>
      <c r="B117" t="s">
        <v>343</v>
      </c>
      <c r="C117" t="s">
        <v>878</v>
      </c>
      <c r="D117" s="38" t="s">
        <v>932</v>
      </c>
      <c r="E117" s="105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8"/>
    </row>
    <row r="118" spans="1:47" x14ac:dyDescent="0.25">
      <c r="A118">
        <v>57305</v>
      </c>
      <c r="B118" t="s">
        <v>343</v>
      </c>
      <c r="C118" t="s">
        <v>372</v>
      </c>
      <c r="D118" s="38" t="s">
        <v>372</v>
      </c>
      <c r="E118" s="105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343</v>
      </c>
      <c r="C119" t="s">
        <v>385</v>
      </c>
      <c r="D119" s="38" t="s">
        <v>429</v>
      </c>
      <c r="E119" s="105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343</v>
      </c>
      <c r="C120" t="s">
        <v>385</v>
      </c>
      <c r="D120" s="38" t="s">
        <v>954</v>
      </c>
      <c r="E120" s="105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343</v>
      </c>
      <c r="C121" t="s">
        <v>385</v>
      </c>
      <c r="D121" s="38" t="s">
        <v>401</v>
      </c>
      <c r="E121" s="105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343</v>
      </c>
      <c r="C122" t="s">
        <v>385</v>
      </c>
      <c r="D122" s="38" t="s">
        <v>930</v>
      </c>
      <c r="E122" s="105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343</v>
      </c>
      <c r="C123" t="s">
        <v>385</v>
      </c>
      <c r="D123" s="38" t="s">
        <v>958</v>
      </c>
      <c r="E123" s="105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343</v>
      </c>
      <c r="C124" t="s">
        <v>350</v>
      </c>
      <c r="D124" s="38" t="s">
        <v>949</v>
      </c>
      <c r="E124" s="105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343</v>
      </c>
      <c r="C125" t="s">
        <v>350</v>
      </c>
      <c r="D125" s="38" t="s">
        <v>949</v>
      </c>
      <c r="E125" s="105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343</v>
      </c>
      <c r="C126" t="s">
        <v>350</v>
      </c>
      <c r="D126" s="38" t="s">
        <v>949</v>
      </c>
      <c r="E126" s="105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343</v>
      </c>
      <c r="C127" t="s">
        <v>350</v>
      </c>
      <c r="D127" s="38" t="s">
        <v>949</v>
      </c>
      <c r="E127" s="105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343</v>
      </c>
      <c r="C128" t="s">
        <v>350</v>
      </c>
      <c r="D128" s="38" t="s">
        <v>933</v>
      </c>
      <c r="E128" s="105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343</v>
      </c>
      <c r="C129" t="s">
        <v>350</v>
      </c>
      <c r="D129" s="38" t="s">
        <v>933</v>
      </c>
      <c r="E129" s="105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343</v>
      </c>
      <c r="C130" t="s">
        <v>350</v>
      </c>
      <c r="D130" s="38" t="s">
        <v>933</v>
      </c>
      <c r="E130" s="105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343</v>
      </c>
      <c r="C131" t="s">
        <v>350</v>
      </c>
      <c r="D131" s="38" t="s">
        <v>933</v>
      </c>
      <c r="E131" s="105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343</v>
      </c>
      <c r="C132" t="s">
        <v>350</v>
      </c>
      <c r="D132" s="38" t="s">
        <v>933</v>
      </c>
      <c r="E132" s="105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343</v>
      </c>
      <c r="C133" t="s">
        <v>350</v>
      </c>
      <c r="D133" s="38" t="s">
        <v>933</v>
      </c>
      <c r="E133" s="105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343</v>
      </c>
      <c r="C134" t="s">
        <v>350</v>
      </c>
      <c r="D134" s="38" t="s">
        <v>933</v>
      </c>
      <c r="E134" s="105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343</v>
      </c>
      <c r="C135" t="s">
        <v>350</v>
      </c>
      <c r="D135" s="38" t="s">
        <v>933</v>
      </c>
      <c r="E135" s="105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343</v>
      </c>
      <c r="C136" t="s">
        <v>350</v>
      </c>
      <c r="D136" s="38" t="s">
        <v>933</v>
      </c>
      <c r="E136" s="105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343</v>
      </c>
      <c r="C137" t="s">
        <v>350</v>
      </c>
      <c r="D137" s="38" t="s">
        <v>933</v>
      </c>
      <c r="E137" s="105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343</v>
      </c>
      <c r="C138" t="s">
        <v>350</v>
      </c>
      <c r="D138" s="38" t="s">
        <v>933</v>
      </c>
      <c r="E138" s="105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343</v>
      </c>
      <c r="C139" t="s">
        <v>350</v>
      </c>
      <c r="D139" s="38" t="s">
        <v>933</v>
      </c>
      <c r="E139" s="105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343</v>
      </c>
      <c r="C140" t="s">
        <v>350</v>
      </c>
      <c r="D140" s="38" t="s">
        <v>933</v>
      </c>
      <c r="E140" s="105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343</v>
      </c>
      <c r="C141" t="s">
        <v>350</v>
      </c>
      <c r="D141" s="38" t="s">
        <v>933</v>
      </c>
      <c r="E141" s="105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343</v>
      </c>
      <c r="C142" t="s">
        <v>350</v>
      </c>
      <c r="D142" s="38" t="s">
        <v>410</v>
      </c>
      <c r="E142" s="105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343</v>
      </c>
      <c r="C143" t="s">
        <v>350</v>
      </c>
      <c r="D143" s="38" t="s">
        <v>410</v>
      </c>
      <c r="E143" s="105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343</v>
      </c>
      <c r="C144" t="s">
        <v>350</v>
      </c>
      <c r="D144" s="38" t="s">
        <v>904</v>
      </c>
      <c r="E144" s="105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343</v>
      </c>
      <c r="C145" t="s">
        <v>350</v>
      </c>
      <c r="D145" s="38" t="s">
        <v>934</v>
      </c>
      <c r="E145" s="105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343</v>
      </c>
      <c r="C146" t="s">
        <v>350</v>
      </c>
      <c r="D146" s="38" t="s">
        <v>934</v>
      </c>
      <c r="E146" s="105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343</v>
      </c>
      <c r="C147" t="s">
        <v>350</v>
      </c>
      <c r="D147" s="38" t="s">
        <v>817</v>
      </c>
      <c r="E147" s="105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343</v>
      </c>
      <c r="C148" t="s">
        <v>350</v>
      </c>
      <c r="D148" s="38" t="s">
        <v>817</v>
      </c>
      <c r="E148" s="105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343</v>
      </c>
      <c r="C149" t="s">
        <v>350</v>
      </c>
      <c r="D149" s="38" t="s">
        <v>817</v>
      </c>
      <c r="E149" s="105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343</v>
      </c>
      <c r="C150" t="s">
        <v>350</v>
      </c>
      <c r="D150" s="38" t="s">
        <v>404</v>
      </c>
      <c r="E150" s="105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343</v>
      </c>
      <c r="C151" t="s">
        <v>350</v>
      </c>
      <c r="D151" s="38" t="s">
        <v>404</v>
      </c>
      <c r="E151" s="105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343</v>
      </c>
      <c r="C152" t="s">
        <v>350</v>
      </c>
      <c r="D152" s="38" t="s">
        <v>404</v>
      </c>
      <c r="E152" s="105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343</v>
      </c>
      <c r="C153" t="s">
        <v>350</v>
      </c>
      <c r="D153" s="38" t="s">
        <v>404</v>
      </c>
      <c r="E153" s="105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343</v>
      </c>
      <c r="C154" t="s">
        <v>350</v>
      </c>
      <c r="D154" s="38" t="s">
        <v>404</v>
      </c>
      <c r="E154" s="105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343</v>
      </c>
      <c r="C155" t="s">
        <v>350</v>
      </c>
      <c r="D155" s="38" t="s">
        <v>978</v>
      </c>
      <c r="E155" s="105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343</v>
      </c>
      <c r="C156" t="s">
        <v>350</v>
      </c>
      <c r="D156" s="38" t="s">
        <v>978</v>
      </c>
      <c r="E156" s="105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343</v>
      </c>
      <c r="C157" t="s">
        <v>350</v>
      </c>
      <c r="D157" s="38" t="s">
        <v>978</v>
      </c>
      <c r="E157" s="105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343</v>
      </c>
      <c r="C158" t="s">
        <v>350</v>
      </c>
      <c r="D158" s="38" t="s">
        <v>978</v>
      </c>
      <c r="E158" s="105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343</v>
      </c>
      <c r="C159" t="s">
        <v>350</v>
      </c>
      <c r="D159" s="38" t="s">
        <v>960</v>
      </c>
      <c r="E159" s="105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343</v>
      </c>
      <c r="C160" t="s">
        <v>350</v>
      </c>
      <c r="D160" s="38" t="s">
        <v>960</v>
      </c>
      <c r="E160" s="105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343</v>
      </c>
      <c r="C161" t="s">
        <v>350</v>
      </c>
      <c r="D161" s="38" t="s">
        <v>412</v>
      </c>
      <c r="E161" s="105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343</v>
      </c>
      <c r="C162" t="s">
        <v>350</v>
      </c>
      <c r="D162" s="38" t="s">
        <v>412</v>
      </c>
      <c r="E162" s="105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343</v>
      </c>
      <c r="C163" t="s">
        <v>350</v>
      </c>
      <c r="D163" s="38" t="s">
        <v>412</v>
      </c>
      <c r="E163" s="105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343</v>
      </c>
      <c r="C164" t="s">
        <v>350</v>
      </c>
      <c r="D164" s="38" t="s">
        <v>412</v>
      </c>
      <c r="E164" s="105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343</v>
      </c>
      <c r="C165" t="s">
        <v>350</v>
      </c>
      <c r="D165" s="38" t="s">
        <v>939</v>
      </c>
      <c r="E165" s="105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343</v>
      </c>
      <c r="C166" t="s">
        <v>350</v>
      </c>
      <c r="D166" s="38" t="s">
        <v>357</v>
      </c>
      <c r="E166" s="105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343</v>
      </c>
      <c r="C167" t="s">
        <v>350</v>
      </c>
      <c r="D167" s="38" t="s">
        <v>357</v>
      </c>
      <c r="E167" s="105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343</v>
      </c>
      <c r="C168" t="s">
        <v>350</v>
      </c>
      <c r="D168" s="38" t="s">
        <v>357</v>
      </c>
      <c r="E168" s="105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343</v>
      </c>
      <c r="C169" t="s">
        <v>350</v>
      </c>
      <c r="D169" s="38" t="s">
        <v>357</v>
      </c>
      <c r="E169" s="105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343</v>
      </c>
      <c r="C170" t="s">
        <v>350</v>
      </c>
      <c r="D170" s="38" t="s">
        <v>357</v>
      </c>
      <c r="E170" s="105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343</v>
      </c>
      <c r="C171" t="s">
        <v>350</v>
      </c>
      <c r="D171" s="38" t="s">
        <v>357</v>
      </c>
      <c r="E171" s="105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343</v>
      </c>
      <c r="C172" t="s">
        <v>350</v>
      </c>
      <c r="D172" s="38" t="s">
        <v>357</v>
      </c>
      <c r="E172" s="105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343</v>
      </c>
      <c r="C173" t="s">
        <v>350</v>
      </c>
      <c r="D173" s="38" t="s">
        <v>357</v>
      </c>
      <c r="E173" s="105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343</v>
      </c>
      <c r="C174" t="s">
        <v>350</v>
      </c>
      <c r="D174" s="38" t="s">
        <v>938</v>
      </c>
      <c r="E174" s="105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343</v>
      </c>
      <c r="C175" t="s">
        <v>350</v>
      </c>
      <c r="D175" s="38" t="s">
        <v>362</v>
      </c>
      <c r="E175" s="10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343</v>
      </c>
      <c r="C176" t="s">
        <v>350</v>
      </c>
      <c r="D176" s="38" t="s">
        <v>362</v>
      </c>
      <c r="E176" s="105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343</v>
      </c>
      <c r="C177" t="s">
        <v>350</v>
      </c>
      <c r="D177" s="38" t="s">
        <v>362</v>
      </c>
      <c r="E177" s="105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343</v>
      </c>
      <c r="C178" t="s">
        <v>350</v>
      </c>
      <c r="D178" s="38" t="s">
        <v>362</v>
      </c>
      <c r="E178" s="105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343</v>
      </c>
      <c r="C179" t="s">
        <v>350</v>
      </c>
      <c r="D179" s="38" t="s">
        <v>362</v>
      </c>
      <c r="E179" s="105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343</v>
      </c>
      <c r="C180" t="s">
        <v>350</v>
      </c>
      <c r="D180" s="38" t="s">
        <v>362</v>
      </c>
      <c r="E180" s="105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343</v>
      </c>
      <c r="C181" t="s">
        <v>350</v>
      </c>
      <c r="D181" s="38" t="s">
        <v>362</v>
      </c>
      <c r="E181" s="105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343</v>
      </c>
      <c r="C182" t="s">
        <v>350</v>
      </c>
      <c r="D182" s="38" t="s">
        <v>362</v>
      </c>
      <c r="E182" s="105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343</v>
      </c>
      <c r="C183" t="s">
        <v>350</v>
      </c>
      <c r="D183" s="38" t="s">
        <v>362</v>
      </c>
      <c r="E183" s="105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343</v>
      </c>
      <c r="C184" t="s">
        <v>350</v>
      </c>
      <c r="D184" s="38" t="s">
        <v>362</v>
      </c>
      <c r="E184" s="105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343</v>
      </c>
      <c r="C185" t="s">
        <v>836</v>
      </c>
      <c r="D185" s="38" t="s">
        <v>988</v>
      </c>
      <c r="E185" s="105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343</v>
      </c>
      <c r="C186" t="s">
        <v>836</v>
      </c>
      <c r="D186" s="38" t="s">
        <v>933</v>
      </c>
      <c r="E186" s="105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343</v>
      </c>
      <c r="C187" t="s">
        <v>836</v>
      </c>
      <c r="D187" s="38" t="s">
        <v>817</v>
      </c>
      <c r="E187" s="105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343</v>
      </c>
      <c r="C188" t="s">
        <v>850</v>
      </c>
      <c r="D188" s="38" t="s">
        <v>945</v>
      </c>
      <c r="E188" s="105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343</v>
      </c>
      <c r="C189" t="s">
        <v>850</v>
      </c>
      <c r="D189" s="38" t="s">
        <v>817</v>
      </c>
      <c r="E189" s="105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343</v>
      </c>
      <c r="C190" t="s">
        <v>850</v>
      </c>
      <c r="D190" s="38" t="s">
        <v>817</v>
      </c>
      <c r="E190" s="105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343</v>
      </c>
      <c r="C191" t="s">
        <v>850</v>
      </c>
      <c r="D191" s="38" t="s">
        <v>968</v>
      </c>
      <c r="E191" s="105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343</v>
      </c>
      <c r="C192" t="s">
        <v>850</v>
      </c>
      <c r="D192" s="38" t="s">
        <v>956</v>
      </c>
      <c r="E192" s="105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343</v>
      </c>
      <c r="C193" t="s">
        <v>850</v>
      </c>
      <c r="D193" s="38" t="s">
        <v>956</v>
      </c>
      <c r="E193" s="105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343</v>
      </c>
      <c r="C194" t="s">
        <v>894</v>
      </c>
      <c r="D194" s="38" t="s">
        <v>975</v>
      </c>
      <c r="E194" s="105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343</v>
      </c>
      <c r="C195" t="s">
        <v>876</v>
      </c>
      <c r="D195" s="38" t="s">
        <v>991</v>
      </c>
      <c r="E195" s="105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343</v>
      </c>
      <c r="C196" t="s">
        <v>876</v>
      </c>
      <c r="D196" s="38" t="s">
        <v>877</v>
      </c>
      <c r="E196" s="105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343</v>
      </c>
      <c r="C197" t="s">
        <v>826</v>
      </c>
      <c r="D197" s="38" t="s">
        <v>817</v>
      </c>
      <c r="E197" s="105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343</v>
      </c>
      <c r="C198" t="s">
        <v>343</v>
      </c>
      <c r="D198" s="38" t="s">
        <v>817</v>
      </c>
      <c r="E198" s="105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343</v>
      </c>
      <c r="C199" t="s">
        <v>821</v>
      </c>
      <c r="D199" s="38" t="s">
        <v>984</v>
      </c>
      <c r="E199" s="105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343</v>
      </c>
      <c r="C200" t="s">
        <v>821</v>
      </c>
      <c r="D200" s="38" t="s">
        <v>927</v>
      </c>
      <c r="E200" s="105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343</v>
      </c>
      <c r="C201" t="s">
        <v>853</v>
      </c>
      <c r="D201" s="38" t="s">
        <v>932</v>
      </c>
      <c r="E201" s="105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343</v>
      </c>
      <c r="C202" t="s">
        <v>830</v>
      </c>
      <c r="D202" s="38" t="s">
        <v>931</v>
      </c>
      <c r="E202" s="105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343</v>
      </c>
      <c r="C203" t="s">
        <v>398</v>
      </c>
      <c r="D203" s="38">
        <v>3814</v>
      </c>
      <c r="E203" s="105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343</v>
      </c>
      <c r="C204" t="s">
        <v>398</v>
      </c>
      <c r="D204" s="38">
        <v>3814</v>
      </c>
      <c r="E204" s="105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343</v>
      </c>
      <c r="C205" t="s">
        <v>398</v>
      </c>
      <c r="D205" s="38">
        <v>3814</v>
      </c>
      <c r="E205" s="105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343</v>
      </c>
      <c r="C206" t="s">
        <v>398</v>
      </c>
      <c r="D206" s="38">
        <v>3817</v>
      </c>
      <c r="E206" s="105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343</v>
      </c>
      <c r="C207" t="s">
        <v>398</v>
      </c>
      <c r="D207" s="38">
        <v>3831</v>
      </c>
      <c r="E207" s="105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343</v>
      </c>
      <c r="C208" t="s">
        <v>398</v>
      </c>
      <c r="D208" s="38">
        <v>6814</v>
      </c>
      <c r="E208" s="105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343</v>
      </c>
      <c r="C209" t="s">
        <v>398</v>
      </c>
      <c r="D209" s="38">
        <v>6814</v>
      </c>
      <c r="E209" s="105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343</v>
      </c>
      <c r="C210" t="s">
        <v>398</v>
      </c>
      <c r="D210" s="38" t="s">
        <v>817</v>
      </c>
      <c r="E210" s="105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343</v>
      </c>
      <c r="C211" t="s">
        <v>828</v>
      </c>
      <c r="D211" s="38">
        <v>3814</v>
      </c>
      <c r="E211" s="105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343</v>
      </c>
      <c r="C212" t="s">
        <v>875</v>
      </c>
      <c r="D212" s="38" t="s">
        <v>965</v>
      </c>
      <c r="E212" s="105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343</v>
      </c>
      <c r="C213" t="s">
        <v>344</v>
      </c>
      <c r="D213" s="38" t="s">
        <v>932</v>
      </c>
      <c r="E213" s="105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343</v>
      </c>
      <c r="C214" t="s">
        <v>833</v>
      </c>
      <c r="D214" s="38" t="s">
        <v>834</v>
      </c>
      <c r="E214" s="105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343</v>
      </c>
      <c r="C215" t="s">
        <v>833</v>
      </c>
      <c r="D215" s="38" t="s">
        <v>834</v>
      </c>
      <c r="E215" s="105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343</v>
      </c>
      <c r="C216" t="s">
        <v>833</v>
      </c>
      <c r="D216" s="38" t="s">
        <v>834</v>
      </c>
      <c r="E216" s="105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343</v>
      </c>
      <c r="C217" t="s">
        <v>833</v>
      </c>
      <c r="D217" s="38" t="s">
        <v>834</v>
      </c>
      <c r="E217" s="105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343</v>
      </c>
      <c r="C218" t="s">
        <v>833</v>
      </c>
      <c r="D218" s="38" t="s">
        <v>834</v>
      </c>
      <c r="E218" s="105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343</v>
      </c>
      <c r="C219" t="s">
        <v>833</v>
      </c>
      <c r="D219" s="38" t="s">
        <v>834</v>
      </c>
      <c r="E219" s="105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343</v>
      </c>
      <c r="C220" t="s">
        <v>892</v>
      </c>
      <c r="D220" s="38" t="s">
        <v>973</v>
      </c>
      <c r="E220" s="105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343</v>
      </c>
      <c r="C221" t="s">
        <v>346</v>
      </c>
      <c r="D221" s="38">
        <v>4</v>
      </c>
      <c r="E221" s="105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343</v>
      </c>
      <c r="C222" t="s">
        <v>346</v>
      </c>
      <c r="D222" s="38">
        <v>425</v>
      </c>
      <c r="E222" s="105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343</v>
      </c>
      <c r="C223" t="s">
        <v>346</v>
      </c>
      <c r="D223" s="38">
        <v>500</v>
      </c>
      <c r="E223" s="105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343</v>
      </c>
      <c r="C224" t="s">
        <v>346</v>
      </c>
      <c r="D224" s="38">
        <v>574</v>
      </c>
      <c r="E224" s="105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343</v>
      </c>
      <c r="C225" t="s">
        <v>346</v>
      </c>
      <c r="D225" s="38">
        <v>574</v>
      </c>
      <c r="E225" s="105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343</v>
      </c>
      <c r="C226" t="s">
        <v>346</v>
      </c>
      <c r="D226" s="38">
        <v>2000</v>
      </c>
      <c r="E226" s="105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343</v>
      </c>
      <c r="C227" t="s">
        <v>346</v>
      </c>
      <c r="D227" s="38" t="s">
        <v>929</v>
      </c>
      <c r="E227" s="105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343</v>
      </c>
      <c r="C228" t="s">
        <v>346</v>
      </c>
      <c r="D228" s="38" t="s">
        <v>969</v>
      </c>
      <c r="E228" s="105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343</v>
      </c>
      <c r="C229" t="s">
        <v>346</v>
      </c>
      <c r="D229" s="38" t="s">
        <v>422</v>
      </c>
      <c r="E229" s="105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343</v>
      </c>
      <c r="C230" t="s">
        <v>346</v>
      </c>
      <c r="D230" s="38" t="s">
        <v>982</v>
      </c>
      <c r="E230" s="105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343</v>
      </c>
      <c r="C231" t="s">
        <v>346</v>
      </c>
      <c r="D231" s="38" t="s">
        <v>360</v>
      </c>
      <c r="E231" s="105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343</v>
      </c>
      <c r="C232" t="s">
        <v>346</v>
      </c>
      <c r="D232" s="38" t="s">
        <v>360</v>
      </c>
      <c r="E232" s="105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343</v>
      </c>
      <c r="C233" t="s">
        <v>346</v>
      </c>
      <c r="D233" s="38" t="s">
        <v>360</v>
      </c>
      <c r="E233" s="105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343</v>
      </c>
      <c r="C234" t="s">
        <v>346</v>
      </c>
      <c r="D234" s="38" t="s">
        <v>347</v>
      </c>
      <c r="E234" s="105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343</v>
      </c>
      <c r="C235" t="s">
        <v>346</v>
      </c>
      <c r="D235" s="38" t="s">
        <v>347</v>
      </c>
      <c r="E235" s="105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343</v>
      </c>
      <c r="C236" t="s">
        <v>346</v>
      </c>
      <c r="D236" s="38" t="s">
        <v>347</v>
      </c>
      <c r="E236" s="105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343</v>
      </c>
      <c r="C237" t="s">
        <v>346</v>
      </c>
      <c r="D237" s="38" t="s">
        <v>347</v>
      </c>
      <c r="E237" s="105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343</v>
      </c>
      <c r="C238" t="s">
        <v>346</v>
      </c>
      <c r="D238" s="38" t="s">
        <v>347</v>
      </c>
      <c r="E238" s="105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343</v>
      </c>
      <c r="C239" t="s">
        <v>346</v>
      </c>
      <c r="D239" s="38" t="s">
        <v>347</v>
      </c>
      <c r="E239" s="105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343</v>
      </c>
      <c r="C240" t="s">
        <v>346</v>
      </c>
      <c r="D240" s="38" t="s">
        <v>347</v>
      </c>
      <c r="E240" s="105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343</v>
      </c>
      <c r="C241" t="s">
        <v>346</v>
      </c>
      <c r="D241" s="38" t="s">
        <v>347</v>
      </c>
      <c r="E241" s="105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343</v>
      </c>
      <c r="C242" t="s">
        <v>346</v>
      </c>
      <c r="D242" s="38" t="s">
        <v>347</v>
      </c>
      <c r="E242" s="105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343</v>
      </c>
      <c r="C243" t="s">
        <v>346</v>
      </c>
      <c r="D243" s="38" t="s">
        <v>347</v>
      </c>
      <c r="E243" s="105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343</v>
      </c>
      <c r="C244" t="s">
        <v>346</v>
      </c>
      <c r="D244" s="38" t="s">
        <v>936</v>
      </c>
      <c r="E244" s="105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343</v>
      </c>
      <c r="C245" t="s">
        <v>346</v>
      </c>
      <c r="D245" s="38" t="s">
        <v>936</v>
      </c>
      <c r="E245" s="105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343</v>
      </c>
      <c r="C246" t="s">
        <v>346</v>
      </c>
      <c r="D246" s="38" t="s">
        <v>936</v>
      </c>
      <c r="E246" s="105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343</v>
      </c>
      <c r="C247" t="s">
        <v>346</v>
      </c>
      <c r="D247" s="38" t="s">
        <v>951</v>
      </c>
      <c r="E247" s="105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343</v>
      </c>
      <c r="C248" t="s">
        <v>346</v>
      </c>
      <c r="D248" s="38" t="s">
        <v>885</v>
      </c>
      <c r="E248" s="105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343</v>
      </c>
      <c r="C249" t="s">
        <v>346</v>
      </c>
      <c r="D249" s="38" t="s">
        <v>885</v>
      </c>
      <c r="E249" s="105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343</v>
      </c>
      <c r="C250" t="s">
        <v>346</v>
      </c>
      <c r="D250" s="38" t="s">
        <v>959</v>
      </c>
      <c r="E250" s="105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343</v>
      </c>
      <c r="C251" t="s">
        <v>346</v>
      </c>
      <c r="D251" s="38" t="s">
        <v>880</v>
      </c>
      <c r="E251" s="105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343</v>
      </c>
      <c r="C252" t="s">
        <v>346</v>
      </c>
      <c r="D252" s="38" t="s">
        <v>987</v>
      </c>
      <c r="E252" s="105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343</v>
      </c>
      <c r="C253" t="s">
        <v>346</v>
      </c>
      <c r="D253" s="38" t="s">
        <v>400</v>
      </c>
      <c r="E253" s="105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343</v>
      </c>
      <c r="C254" t="s">
        <v>346</v>
      </c>
      <c r="D254" s="38" t="s">
        <v>400</v>
      </c>
      <c r="E254" s="105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343</v>
      </c>
      <c r="C255" t="s">
        <v>346</v>
      </c>
      <c r="D255" s="38" t="s">
        <v>400</v>
      </c>
      <c r="E255" s="105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343</v>
      </c>
      <c r="C256" t="s">
        <v>346</v>
      </c>
      <c r="D256" s="38" t="s">
        <v>400</v>
      </c>
      <c r="E256" s="105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343</v>
      </c>
      <c r="C257" t="s">
        <v>346</v>
      </c>
      <c r="D257" s="38" t="s">
        <v>400</v>
      </c>
      <c r="E257" s="105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343</v>
      </c>
      <c r="C258" t="s">
        <v>346</v>
      </c>
      <c r="D258" s="38" t="s">
        <v>400</v>
      </c>
      <c r="E258" s="105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343</v>
      </c>
      <c r="C259" t="s">
        <v>346</v>
      </c>
      <c r="D259" s="38" t="s">
        <v>400</v>
      </c>
      <c r="E259" s="105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343</v>
      </c>
      <c r="C260" t="s">
        <v>346</v>
      </c>
      <c r="D260" s="38" t="s">
        <v>400</v>
      </c>
      <c r="E260" s="105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343</v>
      </c>
      <c r="C261" t="s">
        <v>346</v>
      </c>
      <c r="D261" s="38" t="s">
        <v>400</v>
      </c>
      <c r="E261" s="105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343</v>
      </c>
      <c r="C262" t="s">
        <v>346</v>
      </c>
      <c r="D262" s="38" t="s">
        <v>400</v>
      </c>
      <c r="E262" s="105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343</v>
      </c>
      <c r="C263" t="s">
        <v>346</v>
      </c>
      <c r="D263" s="38" t="s">
        <v>400</v>
      </c>
      <c r="E263" s="105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343</v>
      </c>
      <c r="C264" t="s">
        <v>346</v>
      </c>
      <c r="D264" s="38" t="s">
        <v>400</v>
      </c>
      <c r="E264" s="105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343</v>
      </c>
      <c r="C265" t="s">
        <v>346</v>
      </c>
      <c r="D265" s="38" t="s">
        <v>400</v>
      </c>
      <c r="E265" s="105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343</v>
      </c>
      <c r="C266" t="s">
        <v>346</v>
      </c>
      <c r="D266" s="38" t="s">
        <v>400</v>
      </c>
      <c r="E266" s="105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343</v>
      </c>
      <c r="C267" t="s">
        <v>346</v>
      </c>
      <c r="D267" s="38" t="s">
        <v>400</v>
      </c>
      <c r="E267" s="105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343</v>
      </c>
      <c r="C268" t="s">
        <v>346</v>
      </c>
      <c r="D268" s="38" t="s">
        <v>400</v>
      </c>
      <c r="E268" s="105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343</v>
      </c>
      <c r="C269" t="s">
        <v>346</v>
      </c>
      <c r="D269" s="38" t="s">
        <v>400</v>
      </c>
      <c r="E269" s="105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343</v>
      </c>
      <c r="C270" t="s">
        <v>346</v>
      </c>
      <c r="D270" s="38" t="s">
        <v>400</v>
      </c>
      <c r="E270" s="105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343</v>
      </c>
      <c r="C271" t="s">
        <v>346</v>
      </c>
      <c r="D271" s="38" t="s">
        <v>400</v>
      </c>
      <c r="E271" s="105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343</v>
      </c>
      <c r="C272" t="s">
        <v>346</v>
      </c>
      <c r="D272" s="38" t="s">
        <v>400</v>
      </c>
      <c r="E272" s="105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343</v>
      </c>
      <c r="C273" t="s">
        <v>346</v>
      </c>
      <c r="D273" s="38" t="s">
        <v>963</v>
      </c>
      <c r="E273" s="105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343</v>
      </c>
      <c r="C274" t="s">
        <v>346</v>
      </c>
      <c r="D274" s="38" t="s">
        <v>952</v>
      </c>
      <c r="E274" s="105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343</v>
      </c>
      <c r="C275" t="s">
        <v>346</v>
      </c>
      <c r="D275" s="38" t="s">
        <v>952</v>
      </c>
      <c r="E275" s="105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343</v>
      </c>
      <c r="C276" t="s">
        <v>346</v>
      </c>
      <c r="D276" s="38" t="s">
        <v>925</v>
      </c>
      <c r="E276" s="105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343</v>
      </c>
      <c r="C277" t="s">
        <v>346</v>
      </c>
      <c r="D277" s="38" t="s">
        <v>925</v>
      </c>
      <c r="E277" s="105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343</v>
      </c>
      <c r="C278" t="s">
        <v>346</v>
      </c>
      <c r="D278" s="38" t="s">
        <v>370</v>
      </c>
      <c r="E278" s="105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343</v>
      </c>
      <c r="C279" t="s">
        <v>346</v>
      </c>
      <c r="D279" s="38" t="s">
        <v>964</v>
      </c>
      <c r="E279" s="105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343</v>
      </c>
      <c r="C280" t="s">
        <v>346</v>
      </c>
      <c r="D280" s="38" t="s">
        <v>964</v>
      </c>
      <c r="E280" s="105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343</v>
      </c>
      <c r="C281" t="s">
        <v>346</v>
      </c>
      <c r="D281" s="38" t="s">
        <v>368</v>
      </c>
      <c r="E281" s="105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343</v>
      </c>
      <c r="C282" t="s">
        <v>346</v>
      </c>
      <c r="D282" s="38" t="s">
        <v>368</v>
      </c>
      <c r="E282" s="105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343</v>
      </c>
      <c r="C283" t="s">
        <v>346</v>
      </c>
      <c r="D283" s="38" t="s">
        <v>368</v>
      </c>
      <c r="E283" s="105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343</v>
      </c>
      <c r="C284" t="s">
        <v>346</v>
      </c>
      <c r="D284" s="38" t="s">
        <v>992</v>
      </c>
      <c r="E284" s="105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343</v>
      </c>
      <c r="C285" t="s">
        <v>346</v>
      </c>
      <c r="D285" s="38" t="s">
        <v>966</v>
      </c>
      <c r="E285" s="105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343</v>
      </c>
      <c r="C286" t="s">
        <v>346</v>
      </c>
      <c r="D286" s="38" t="s">
        <v>981</v>
      </c>
      <c r="E286" s="105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343</v>
      </c>
      <c r="C287" t="s">
        <v>346</v>
      </c>
      <c r="D287" s="38" t="s">
        <v>941</v>
      </c>
      <c r="E287" s="105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343</v>
      </c>
      <c r="C288" t="s">
        <v>346</v>
      </c>
      <c r="D288" s="38" t="s">
        <v>980</v>
      </c>
      <c r="E288" s="105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343</v>
      </c>
      <c r="C289" t="s">
        <v>346</v>
      </c>
      <c r="D289" s="38" t="s">
        <v>979</v>
      </c>
      <c r="E289" s="105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343</v>
      </c>
      <c r="C290" t="s">
        <v>346</v>
      </c>
      <c r="D290" s="38" t="s">
        <v>990</v>
      </c>
      <c r="E290" s="105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343</v>
      </c>
      <c r="C291" t="s">
        <v>346</v>
      </c>
      <c r="D291" s="38" t="s">
        <v>990</v>
      </c>
      <c r="E291" s="105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343</v>
      </c>
      <c r="C292" t="s">
        <v>346</v>
      </c>
      <c r="D292" s="38" t="s">
        <v>917</v>
      </c>
      <c r="E292" s="105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343</v>
      </c>
      <c r="C293" t="s">
        <v>346</v>
      </c>
      <c r="D293" s="38" t="s">
        <v>946</v>
      </c>
      <c r="E293" s="105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343</v>
      </c>
      <c r="C294" t="s">
        <v>346</v>
      </c>
      <c r="D294" s="38" t="s">
        <v>946</v>
      </c>
      <c r="E294" s="105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343</v>
      </c>
      <c r="C295" t="s">
        <v>346</v>
      </c>
      <c r="D295" s="38" t="s">
        <v>986</v>
      </c>
      <c r="E295" s="105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343</v>
      </c>
      <c r="C296" t="s">
        <v>346</v>
      </c>
      <c r="D296" s="38" t="s">
        <v>817</v>
      </c>
      <c r="E296" s="105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343</v>
      </c>
      <c r="C297" t="s">
        <v>346</v>
      </c>
      <c r="D297" s="38" t="s">
        <v>817</v>
      </c>
      <c r="E297" s="105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343</v>
      </c>
      <c r="C298" t="s">
        <v>346</v>
      </c>
      <c r="D298" s="38" t="s">
        <v>817</v>
      </c>
      <c r="E298" s="105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343</v>
      </c>
      <c r="C299" t="s">
        <v>346</v>
      </c>
      <c r="D299" s="38" t="s">
        <v>817</v>
      </c>
      <c r="E299" s="105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343</v>
      </c>
      <c r="C300" t="s">
        <v>346</v>
      </c>
      <c r="D300" s="38" t="s">
        <v>817</v>
      </c>
      <c r="E300" s="105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343</v>
      </c>
      <c r="C301" t="s">
        <v>346</v>
      </c>
      <c r="D301" s="38" t="s">
        <v>817</v>
      </c>
      <c r="E301" s="105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343</v>
      </c>
      <c r="C302" t="s">
        <v>346</v>
      </c>
      <c r="D302" s="38" t="s">
        <v>970</v>
      </c>
      <c r="E302" s="105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343</v>
      </c>
      <c r="C303" t="s">
        <v>346</v>
      </c>
      <c r="D303" s="38" t="s">
        <v>943</v>
      </c>
      <c r="E303" s="105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343</v>
      </c>
      <c r="C304" t="s">
        <v>346</v>
      </c>
      <c r="D304" s="38" t="s">
        <v>425</v>
      </c>
      <c r="E304" s="105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343</v>
      </c>
      <c r="C305" t="s">
        <v>346</v>
      </c>
      <c r="D305" s="38" t="s">
        <v>380</v>
      </c>
      <c r="E305" s="105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343</v>
      </c>
      <c r="C306" t="s">
        <v>346</v>
      </c>
      <c r="D306" s="38" t="s">
        <v>380</v>
      </c>
      <c r="E306" s="105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343</v>
      </c>
      <c r="C307" t="s">
        <v>346</v>
      </c>
      <c r="D307" s="38" t="s">
        <v>937</v>
      </c>
      <c r="E307" s="105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343</v>
      </c>
      <c r="C308" t="s">
        <v>896</v>
      </c>
      <c r="D308" s="38">
        <v>500</v>
      </c>
      <c r="E308" s="105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343</v>
      </c>
      <c r="C309" t="s">
        <v>896</v>
      </c>
      <c r="D309" s="38" t="s">
        <v>394</v>
      </c>
      <c r="E309" s="105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343</v>
      </c>
      <c r="C310" t="s">
        <v>896</v>
      </c>
      <c r="D310" s="38" t="s">
        <v>347</v>
      </c>
      <c r="E310" s="105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343</v>
      </c>
      <c r="C311" t="s">
        <v>896</v>
      </c>
      <c r="D311" s="38" t="s">
        <v>880</v>
      </c>
      <c r="E311" s="105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343</v>
      </c>
      <c r="C312" t="s">
        <v>896</v>
      </c>
      <c r="D312" s="38" t="s">
        <v>369</v>
      </c>
      <c r="E312" s="105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343</v>
      </c>
      <c r="C313" t="s">
        <v>916</v>
      </c>
      <c r="D313" s="38" t="s">
        <v>983</v>
      </c>
      <c r="E313" s="105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343</v>
      </c>
      <c r="D314" s="38" t="s">
        <v>932</v>
      </c>
      <c r="E314" s="105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" priority="6">
      <formula>$K2=TRUE</formula>
    </cfRule>
    <cfRule type="expression" dxfId="0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2025-01-30T06:07:19Z</dcterms:modified>
  <cp:category/>
  <cp:contentStatus/>
</cp:coreProperties>
</file>