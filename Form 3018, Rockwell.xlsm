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yth\Documents\"/>
    </mc:Choice>
  </mc:AlternateContent>
  <xr:revisionPtr revIDLastSave="0" documentId="8_{C51EAB85-C502-4227-B44B-04E6AB97CD6C}" xr6:coauthVersionLast="47" xr6:coauthVersionMax="47" xr10:uidLastSave="{00000000-0000-0000-0000-000000000000}"/>
  <bookViews>
    <workbookView xWindow="-120" yWindow="-120" windowWidth="29040" windowHeight="15840" activeTab="1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J57" i="29" l="1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used,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<sst xmlns="http://schemas.openxmlformats.org/spreadsheetml/2006/main" count="2548" uniqueCount="1156">
  <si>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</si>
  <si>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</si>
  <si>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</si>
  <si>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</si>
  <si>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</si>
  <si>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</si>
  <si>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</si>
  <si>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</si>
  <si>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</si>
  <si>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</si>
  <si>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</si>
  <si>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</si>
  <si>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</si>
  <si>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</si>
  <si>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</si>
  <si>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</si>
  <si>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</si>
  <si>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</si>
  <si>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</si>
  <si>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</si>
  <si>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</si>
  <si>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</si>
  <si>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</si>
  <si>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</si>
  <si>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</si>
  <si>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</si>
  <si>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</si>
  <si>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</si>
  <si>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</si>
  <si>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</si>
  <si>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</si>
  <si>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</si>
  <si>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</si>
  <si>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</si>
  <si>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</si>
  <si>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</si>
  <si>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</si>
  <si>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</si>
  <si>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</si>
  <si>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</si>
  <si>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</si>
  <si>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</si>
  <si>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</si>
  <si>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</si>
  <si>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</si>
  <si>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</si>
  <si>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</si>
  <si>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</si>
  <si>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</si>
  <si>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</si>
  <si>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</si>
  <si>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</si>
  <si>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</si>
  <si>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</si>
  <si>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</si>
  <si>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</si>
  <si>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</si>
  <si>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</si>
  <si>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</si>
  <si>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</si>
  <si>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</si>
  <si>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</si>
  <si>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</si>
  <si>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</si>
  <si>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</si>
  <si>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</si>
  <si>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</si>
  <si>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</si>
  <si>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</si>
  <si>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</si>
  <si>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</si>
  <si>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</si>
  <si>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</si>
  <si>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</si>
  <si>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</si>
  <si>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</si>
  <si>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</si>
  <si>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</si>
  <si>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</si>
  <si>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</si>
  <si>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</si>
  <si>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</si>
  <si>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</si>
  <si>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</si>
  <si>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</si>
  <si>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</si>
  <si>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</si>
  <si>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</si>
  <si>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</si>
  <si>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</si>
  <si>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</si>
  <si>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</si>
  <si>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</si>
  <si>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</si>
  <si>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</si>
  <si>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</si>
  <si>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</si>
  <si>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</si>
  <si>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</si>
  <si>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</si>
  <si>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</si>
  <si>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</si>
  <si>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</si>
  <si>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</si>
  <si>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</si>
  <si>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</si>
  <si>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</si>
  <si>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</si>
  <si>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</si>
  <si>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</si>
  <si>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</si>
  <si>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</si>
  <si>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</si>
  <si>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</si>
  <si>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</si>
  <si>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</si>
  <si>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</si>
  <si>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</si>
  <si>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</si>
  <si>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</si>
  <si>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</si>
  <si>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</si>
  <si>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</si>
  <si>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</si>
  <si>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</si>
  <si>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</si>
  <si>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</si>
  <si>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</si>
  <si>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</si>
  <si>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</si>
  <si>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</si>
  <si>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</si>
  <si>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</si>
  <si>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</si>
  <si>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</si>
  <si>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</si>
  <si>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</si>
  <si>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</si>
  <si>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</si>
  <si>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</si>
  <si>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</si>
  <si>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</si>
  <si>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</si>
  <si>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</si>
  <si>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</si>
  <si>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</si>
  <si>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</si>
  <si>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</si>
  <si>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</si>
  <si>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</si>
  <si>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</si>
  <si>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</si>
  <si>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</si>
  <si>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</si>
  <si>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</si>
  <si>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</si>
  <si>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</si>
  <si>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</si>
  <si>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</si>
  <si>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</si>
  <si>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</si>
  <si>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</si>
  <si>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</si>
  <si>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</si>
  <si>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</si>
  <si>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</si>
  <si>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</si>
  <si>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</si>
  <si>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</si>
  <si>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</si>
  <si>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</si>
  <si>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</si>
  <si>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</si>
  <si>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</si>
  <si>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</si>
  <si>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</si>
  <si>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</si>
  <si>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</si>
  <si>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</si>
  <si>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</si>
  <si>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</si>
  <si>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</si>
  <si>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</si>
  <si>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</si>
  <si>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</si>
  <si>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</si>
  <si>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</si>
  <si>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</si>
  <si>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</si>
  <si>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</si>
  <si>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</si>
  <si>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</si>
  <si>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</si>
  <si>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</si>
  <si>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</si>
  <si>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</si>
  <si>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</si>
  <si>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</si>
  <si>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</si>
  <si>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</si>
  <si>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</si>
  <si>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</si>
  <si>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</si>
  <si>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</si>
  <si>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</si>
  <si>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</si>
  <si>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</si>
  <si>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</si>
  <si>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</si>
  <si>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</si>
  <si>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</si>
  <si>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</si>
  <si>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</si>
  <si>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</si>
  <si>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</si>
  <si>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</si>
  <si>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</si>
  <si>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</si>
  <si>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</si>
  <si>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</si>
  <si>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</si>
  <si>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</si>
  <si>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</si>
  <si>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</si>
  <si>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</si>
  <si>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</si>
  <si>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</si>
  <si>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</si>
  <si>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</si>
  <si>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</si>
  <si>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</si>
  <si>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</si>
  <si>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</si>
  <si>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</si>
  <si>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</si>
  <si>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</si>
  <si>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</si>
  <si>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</si>
  <si>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</si>
  <si>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</si>
  <si>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</si>
  <si>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</si>
  <si>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</si>
  <si>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</si>
  <si>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</si>
  <si>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</si>
  <si>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</si>
  <si>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</si>
  <si>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</si>
  <si>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</si>
  <si>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</si>
  <si>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</si>
  <si>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</si>
  <si>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</si>
  <si>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</si>
  <si>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</si>
  <si>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</si>
  <si>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</si>
  <si>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</si>
  <si>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</si>
  <si>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</si>
  <si>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</si>
  <si>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</si>
  <si>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</si>
  <si>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</si>
  <si>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</si>
  <si>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</si>
  <si>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</si>
  <si>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</si>
  <si>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</si>
  <si>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</si>
  <si>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</si>
  <si>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</si>
  <si>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</si>
  <si>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</si>
  <si>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</si>
  <si>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</si>
  <si>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</si>
  <si>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</si>
  <si>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</si>
  <si>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</si>
  <si>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</si>
  <si>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</si>
  <si>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</si>
  <si>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</si>
  <si>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</si>
  <si>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</si>
  <si>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</si>
  <si>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</si>
  <si>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</si>
  <si>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</si>
  <si>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</si>
  <si>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</si>
  <si>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</si>
  <si>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</si>
  <si>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</si>
  <si>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</si>
  <si>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</si>
  <si>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</si>
  <si>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</si>
  <si>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</si>
  <si>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</si>
  <si>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</si>
  <si>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</si>
  <si>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</si>
  <si>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</si>
  <si>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</si>
  <si>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</si>
  <si>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</si>
  <si>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</si>
  <si>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</si>
  <si>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</si>
  <si>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</si>
  <si>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</si>
  <si>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</si>
  <si>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</si>
  <si>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</si>
  <si>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</si>
  <si>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</si>
  <si>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</si>
  <si>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</si>
  <si>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</si>
  <si>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</si>
  <si>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</si>
  <si>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</si>
  <si>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</si>
  <si>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</si>
  <si>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</si>
  <si>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</si>
  <si>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</si>
  <si>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</si>
  <si>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</si>
  <si>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</si>
  <si>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</si>
  <si>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</si>
  <si>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</si>
  <si>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</si>
  <si>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</si>
  <si>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</si>
  <si>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</si>
  <si>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</si>
  <si>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</si>
  <si>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</si>
  <si>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</si>
  <si>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</si>
  <si>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</si>
  <si>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</si>
  <si>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</si>
  <si>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</si>
  <si>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</si>
  <si>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</si>
  <si>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</si>
  <si>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</si>
  <si>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</si>
  <si>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</si>
  <si>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</si>
  <si>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</si>
  <si>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</si>
  <si>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</si>
  <si>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</si>
  <si>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</si>
  <si>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</si>
  <si>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</si>
  <si>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</si>
  <si>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</si>
  <si>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</si>
  <si>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</si>
  <si>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</si>
  <si>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</si>
  <si>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</si>
  <si>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</si>
  <si>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</si>
  <si>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</si>
  <si>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</si>
  <si>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</si>
  <si>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</si>
  <si>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</si>
  <si>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</si>
  <si>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</si>
  <si>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</si>
  <si>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</si>
  <si>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</si>
  <si>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</si>
  <si>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</si>
  <si>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</si>
  <si>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</si>
  <si>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</si>
  <si>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</si>
  <si>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</si>
  <si>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</si>
  <si>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</si>
  <si>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</si>
  <si>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</si>
  <si>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</si>
  <si>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</si>
  <si>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</si>
  <si>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</si>
  <si>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</si>
  <si>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</si>
  <si>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</si>
  <si>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</si>
  <si>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</si>
  <si>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</si>
  <si>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</si>
  <si>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</si>
  <si>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</si>
  <si>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</si>
  <si>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</si>
  <si>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</si>
  <si>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</si>
  <si>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</si>
  <si>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</si>
  <si>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</si>
  <si>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</si>
  <si>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</si>
  <si>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</si>
  <si>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</si>
  <si>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</si>
  <si>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</si>
  <si>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</si>
  <si>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</si>
  <si>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</si>
  <si>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</si>
  <si>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</si>
  <si>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</si>
  <si>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</si>
  <si>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</si>
  <si>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</si>
  <si>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</si>
  <si>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</si>
  <si>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</si>
  <si>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</si>
  <si>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</si>
  <si>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</si>
  <si>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</si>
  <si>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</si>
  <si>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</si>
  <si>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</si>
  <si>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</si>
  <si>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</si>
  <si>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</si>
  <si>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</si>
  <si>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</si>
  <si>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</si>
  <si>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</si>
  <si>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</si>
  <si>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</si>
  <si>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</si>
  <si>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</si>
  <si>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</si>
  <si>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</si>
  <si>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</si>
  <si>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</si>
  <si>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</si>
  <si>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</si>
  <si>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</si>
  <si>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</si>
  <si>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</si>
  <si>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</si>
  <si>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</si>
  <si>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</si>
  <si>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</si>
  <si>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</si>
  <si>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</si>
  <si>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</si>
  <si>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</si>
  <si>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</si>
  <si>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</si>
  <si>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</si>
  <si>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</si>
  <si>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</si>
  <si>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</si>
  <si>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</si>
  <si>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</si>
  <si>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</si>
  <si>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</si>
  <si>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</si>
  <si>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</si>
  <si>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</si>
  <si>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</si>
  <si>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</si>
  <si>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</si>
  <si>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</si>
  <si>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</si>
  <si>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</si>
  <si>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</si>
  <si>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</si>
  <si>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</si>
  <si>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</si>
  <si>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</si>
  <si>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</si>
  <si>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</si>
  <si>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</si>
  <si>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</si>
  <si>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</si>
  <si>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</si>
  <si>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</si>
  <si>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</si>
  <si>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</si>
  <si>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</si>
  <si>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</si>
  <si>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</si>
  <si>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</si>
  <si>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</si>
  <si>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</si>
  <si>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</si>
  <si>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</si>
  <si>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</si>
  <si>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</si>
  <si>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</si>
  <si>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</si>
  <si>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</si>
  <si>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</si>
  <si>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</si>
  <si>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</si>
  <si>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</si>
  <si>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</si>
  <si>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</si>
  <si>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</si>
  <si>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</si>
  <si>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</si>
  <si>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</si>
  <si>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</si>
  <si>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</si>
  <si>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</si>
  <si>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</si>
  <si>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</si>
  <si>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</si>
  <si>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</si>
  <si>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</si>
  <si>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</si>
  <si>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</si>
  <si>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</si>
  <si>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</si>
  <si>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</si>
  <si>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</si>
  <si>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</si>
  <si>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</si>
  <si>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</si>
  <si>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</si>
  <si>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</si>
  <si>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</si>
  <si>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</si>
  <si>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</si>
  <si>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</si>
  <si>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</si>
  <si>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</si>
  <si>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</si>
  <si>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</si>
  <si>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</si>
  <si>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</si>
  <si>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</si>
  <si>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</si>
  <si>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</si>
  <si>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</si>
  <si>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</si>
  <si>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</si>
  <si>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</si>
  <si>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</si>
  <si>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</si>
  <si>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</si>
  <si>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</si>
  <si>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</si>
  <si>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</si>
  <si>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</si>
  <si>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</si>
  <si>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</si>
  <si>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</si>
  <si>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</si>
  <si>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</si>
  <si>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</si>
  <si>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</si>
  <si>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</si>
  <si>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</si>
  <si>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</si>
  <si>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</si>
  <si>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</si>
  <si>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</si>
  <si>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</si>
  <si>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</si>
  <si>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</si>
  <si>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</si>
  <si>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</si>
  <si>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</si>
  <si>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</si>
  <si>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</si>
  <si>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</si>
  <si>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</si>
  <si>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</si>
  <si>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</si>
  <si>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</si>
  <si>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</si>
  <si>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</si>
  <si>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</si>
  <si>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</si>
  <si>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</si>
  <si>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</si>
  <si>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</si>
  <si>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</si>
  <si>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</si>
  <si>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</si>
  <si>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</si>
  <si>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</si>
  <si>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</si>
  <si>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</si>
  <si>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</si>
  <si>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</si>
  <si>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</si>
  <si>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</si>
  <si>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</si>
  <si>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</si>
  <si>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</si>
  <si>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</si>
  <si>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</si>
  <si>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</si>
  <si>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</si>
  <si>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</si>
  <si>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</si>
  <si>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</si>
  <si>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</si>
  <si>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</si>
  <si>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</si>
  <si>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</si>
  <si>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</si>
  <si>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</si>
  <si>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</si>
  <si>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</si>
  <si>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</si>
  <si>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</si>
  <si>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</si>
  <si>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</si>
  <si>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</si>
  <si>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</si>
  <si>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</si>
  <si>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</si>
  <si>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</si>
  <si>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</si>
  <si>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</si>
  <si>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</si>
  <si>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</si>
  <si>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</si>
  <si>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</si>
  <si>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</si>
  <si>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</si>
  <si>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</si>
  <si>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</si>
  <si>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</si>
  <si>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</si>
  <si>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</si>
  <si>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</si>
  <si>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</si>
  <si>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</si>
  <si>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</si>
  <si>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</si>
  <si>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</si>
  <si>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</si>
  <si>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</si>
  <si>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</si>
  <si>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</si>
  <si>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</si>
  <si>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</si>
  <si>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</si>
  <si>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</si>
  <si>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</si>
  <si>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</si>
  <si>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</si>
  <si>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</si>
  <si>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</si>
  <si>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</si>
  <si>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</si>
  <si>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</si>
  <si>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</si>
  <si>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</si>
  <si>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</si>
  <si>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</si>
  <si>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</si>
  <si>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</si>
  <si>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</si>
  <si>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</si>
  <si>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</si>
  <si>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</si>
  <si>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</si>
  <si>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</si>
  <si>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</si>
  <si>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</si>
  <si>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</si>
  <si>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</si>
  <si>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</si>
  <si>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</si>
  <si>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</si>
  <si>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</si>
  <si>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</si>
  <si>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</si>
  <si>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</si>
  <si>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</si>
  <si>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</si>
  <si>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</si>
  <si>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</si>
  <si>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</si>
  <si>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</si>
  <si>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</si>
  <si>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</si>
  <si>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</si>
  <si>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</si>
  <si>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</si>
  <si>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</si>
  <si>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</si>
  <si>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</si>
  <si>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</si>
  <si>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</si>
  <si>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</si>
  <si>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</si>
  <si>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</si>
  <si>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</si>
  <si>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</si>
  <si>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</si>
  <si>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</si>
  <si>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</si>
  <si>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</si>
  <si>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</si>
  <si>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</si>
  <si>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</si>
  <si>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</si>
  <si>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</si>
  <si>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</si>
  <si>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</si>
  <si>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</si>
  <si>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</si>
  <si>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</si>
  <si>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</si>
  <si>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</si>
  <si>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</si>
  <si>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</si>
  <si>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</si>
  <si>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</si>
  <si>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</si>
  <si>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</si>
  <si>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</si>
  <si>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</si>
  <si>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</si>
  <si>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</si>
  <si>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</si>
  <si>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</si>
  <si>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</si>
  <si>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</si>
  <si>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</si>
  <si>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</si>
  <si>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</si>
  <si>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</si>
  <si>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</si>
  <si>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</si>
  <si>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</si>
  <si>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</si>
  <si>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</si>
  <si>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</si>
  <si>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</si>
  <si>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</si>
  <si>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</si>
  <si>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</si>
  <si>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</si>
  <si>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</si>
  <si>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</si>
  <si>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</si>
  <si>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</si>
  <si>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</si>
  <si>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</si>
  <si>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</si>
  <si>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</si>
  <si>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</si>
  <si>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</si>
  <si>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</si>
  <si>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</si>
  <si>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</si>
  <si>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</si>
  <si>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</si>
  <si>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</si>
  <si>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</si>
  <si>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</si>
  <si>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</si>
  <si>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</si>
  <si>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</si>
  <si>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</si>
  <si>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</si>
  <si>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</si>
  <si>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</si>
  <si>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</si>
  <si>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</si>
  <si>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</si>
  <si>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</si>
  <si>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</si>
  <si>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</si>
  <si>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</si>
  <si>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</si>
  <si>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</si>
  <si>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</si>
  <si>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</si>
  <si>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</si>
  <si>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</si>
  <si>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</si>
  <si>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</si>
  <si>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</si>
  <si>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</si>
  <si>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</si>
  <si>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</si>
  <si>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</si>
  <si>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</si>
  <si>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</si>
  <si>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</si>
  <si>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</si>
  <si>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</si>
  <si>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</si>
  <si>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</si>
  <si>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</si>
  <si>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</si>
  <si>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</si>
  <si>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</si>
  <si>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</si>
  <si>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</si>
  <si>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</si>
  <si>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</si>
  <si>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</si>
  <si>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</si>
  <si>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</si>
  <si>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</si>
  <si>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</si>
  <si>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</si>
  <si>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</si>
  <si>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</si>
  <si>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</si>
  <si>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</si>
  <si>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</si>
  <si>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</si>
  <si>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</si>
  <si>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</si>
  <si>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</si>
  <si>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</si>
  <si>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</si>
  <si>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</si>
  <si>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</si>
  <si>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</si>
  <si>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</si>
  <si>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</si>
  <si>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</si>
  <si>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</si>
  <si>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</si>
  <si>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</si>
  <si>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</si>
  <si>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</si>
  <si>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</si>
  <si>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</si>
  <si>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</si>
  <si>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</si>
  <si>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</si>
  <si>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</si>
  <si>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</si>
  <si>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</si>
  <si>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</si>
  <si>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</si>
  <si>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</si>
  <si>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</si>
  <si>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</si>
  <si>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</si>
  <si>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</si>
  <si>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</si>
  <si>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</si>
  <si>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</si>
  <si>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</si>
  <si>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</si>
  <si>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</si>
  <si>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</si>
  <si>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</si>
  <si>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</si>
  <si>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</si>
  <si>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</si>
  <si>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</si>
  <si>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</si>
  <si>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</si>
  <si>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</si>
  <si>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</si>
  <si>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</si>
  <si>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</si>
  <si>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</si>
  <si>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</si>
  <si>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</si>
  <si>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</si>
  <si>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</si>
  <si>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</si>
  <si>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</si>
  <si>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</si>
  <si>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</si>
  <si>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</si>
  <si>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</si>
  <si>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</si>
  <si>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</si>
  <si>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</si>
  <si>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</si>
  <si>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</si>
  <si>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</si>
  <si>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</si>
  <si>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</si>
  <si>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</si>
  <si>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</si>
  <si>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</si>
  <si>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</si>
  <si>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</si>
  <si>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</si>
  <si>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</si>
  <si>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</si>
  <si>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</si>
  <si>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</si>
  <si>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</si>
  <si>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</si>
  <si>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</si>
  <si>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</si>
  <si>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</si>
  <si>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</si>
  <si>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</si>
  <si>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</si>
  <si>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</si>
  <si>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</si>
  <si>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</si>
  <si>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</si>
  <si>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</si>
  <si>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</si>
  <si>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</si>
  <si>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</si>
  <si>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</si>
  <si>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</si>
  <si>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</si>
  <si>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</si>
  <si>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</si>
  <si>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</si>
  <si>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</si>
  <si>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</si>
  <si>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</si>
  <si>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</si>
  <si>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</si>
  <si>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</si>
  <si>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</si>
  <si>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</si>
  <si>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</si>
  <si>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</si>
  <si>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</si>
  <si>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</si>
  <si>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</si>
  <si>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</si>
  <si>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</si>
  <si>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</si>
  <si>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</si>
  <si>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</si>
  <si>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</si>
  <si>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</si>
  <si>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</si>
  <si>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</si>
  <si>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</si>
  <si>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</si>
  <si>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</si>
  <si>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</si>
  <si>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</si>
  <si>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</si>
  <si>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</si>
  <si>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</si>
  <si>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</si>
  <si>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</si>
  <si>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</si>
  <si>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</si>
  <si>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</si>
  <si>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</si>
  <si>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</si>
  <si>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</si>
  <si>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</si>
  <si>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</si>
  <si>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</si>
  <si>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</si>
  <si>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</si>
  <si>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</si>
  <si>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</si>
  <si>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</si>
  <si>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</si>
  <si>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</si>
  <si>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</si>
  <si>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</si>
  <si>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</si>
  <si>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</si>
  <si>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</si>
  <si>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</si>
  <si>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</si>
  <si>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</si>
  <si>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</si>
  <si>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</si>
  <si>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</si>
  <si>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</si>
  <si>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</si>
  <si>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</si>
  <si>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</si>
  <si>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</si>
  <si>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</si>
  <si>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</si>
  <si>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</si>
  <si>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</si>
  <si>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</si>
  <si>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</si>
  <si>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</si>
  <si>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</si>
  <si>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</si>
  <si>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</si>
  <si>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</si>
  <si>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</si>
  <si>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</si>
  <si>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</si>
  <si>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</si>
  <si>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</si>
  <si>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</si>
  <si>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</si>
  <si>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</si>
  <si>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</si>
  <si>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</si>
  <si>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</si>
  <si>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</si>
  <si>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</si>
  <si>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</si>
  <si>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</si>
  <si>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</si>
  <si>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</si>
  <si>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</si>
  <si>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</si>
  <si>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</si>
  <si>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</si>
  <si>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</si>
  <si>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</si>
  <si>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</si>
  <si>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</si>
  <si>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</si>
  <si>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</si>
  <si>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</si>
  <si>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</si>
  <si>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</si>
  <si>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</si>
  <si>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</si>
  <si>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</si>
  <si>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</si>
  <si>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</si>
  <si>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</si>
  <si>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</si>
  <si>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</si>
  <si>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</si>
  <si>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</si>
  <si>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</si>
  <si>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</si>
  <si>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</si>
  <si>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</si>
  <si>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</si>
  <si>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</si>
  <si>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</si>
  <si>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</si>
  <si>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</si>
  <si>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</si>
  <si>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</si>
  <si>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</si>
  <si>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</si>
  <si>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</si>
  <si>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</si>
  <si>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</si>
  <si>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</si>
  <si>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</si>
  <si>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</si>
  <si>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</si>
  <si>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</si>
  <si>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</si>
  <si>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</si>
  <si>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</si>
  <si>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</si>
  <si>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</si>
  <si>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</si>
  <si>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</si>
  <si>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</si>
  <si>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</si>
  <si>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</si>
  <si>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</si>
  <si>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</si>
  <si>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</si>
  <si>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</si>
  <si>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</si>
  <si>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</si>
  <si>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</si>
  <si>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</si>
  <si>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</si>
  <si>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</si>
  <si>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</si>
  <si>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</si>
  <si>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</si>
  <si>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</si>
  <si>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</si>
  <si>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</si>
  <si>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</si>
  <si>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</si>
  <si>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</si>
  <si>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</si>
  <si>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</si>
  <si>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</si>
  <si>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</si>
  <si>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</si>
  <si>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</si>
  <si>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</si>
  <si>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</si>
  <si>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</si>
  <si>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</si>
  <si>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</si>
  <si>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</si>
  <si>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</si>
  <si>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</si>
  <si>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</si>
  <si>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</si>
  <si>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</si>
  <si>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</si>
  <si>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</si>
  <si>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</si>
  <si>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</si>
  <si>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</si>
  <si>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</si>
  <si>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</si>
  <si>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</si>
  <si>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</si>
  <si>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</si>
  <si>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</si>
  <si>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</si>
  <si>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</si>
  <si>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</si>
  <si>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</si>
  <si>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</si>
  <si>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</si>
  <si>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</si>
  <si>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</si>
  <si>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</si>
  <si>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</si>
  <si>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</si>
  <si>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</si>
  <si>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</si>
  <si>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</si>
  <si>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Beta</t>
  </si>
  <si>
    <t>Added Data Import button, bug fix for Print Anyway functionality, and set order number as default filename on Save As.</t>
  </si>
  <si>
    <t>R</t>
  </si>
  <si>
    <t>Merged macros from Beta and R using git (the 'ort' Strategy) . Expanded regex (Worksheet!A1) to allow "revisions" in order number (Worksheet!D3). Added uncertainties for HRMW.</t>
  </si>
  <si>
    <t>S</t>
  </si>
  <si>
    <t>Unlocked cell: Worksheet!G3. Restored formulas in Worksheet!B18:B44. Re-implemented A2LA checkbox. Made formatting consistent between AF and AL certs.</t>
  </si>
  <si>
    <t>T</t>
  </si>
  <si>
    <t>U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</si>
  <si>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</si>
  <si>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</si>
  <si>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</si>
  <si>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</si>
  <si>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</si>
  <si>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</si>
  <si>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</si>
  <si>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</si>
  <si>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Reformatted certs (asterisks, column widths). Updated RegExMatch() to REGEXTEST(). Improved data validation for AF Worksheet!B46:O47. Import Data now uses toast instead of message box.  Added 2 new UUTs. Fixed AL comment issue. Removed "Insert Comments in Certs"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</si>
</sst>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2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used,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view="pageBreakPreview" zoomScaleNormal="100" zoomScaleSheetLayoutView="100" workbookViewId="0">
      <selection activeCell="F22" sqref="F22"/>
    </sheetView>
  </sheetViews>
  <sheetFormatPr defaultRowHeight="1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>
      <c r="A1" s="98"/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7" t="s">
        <v>1</v>
      </c>
      <c r="Q1" s="127"/>
      <c r="R1" s="127"/>
      <c r="S1" s="127"/>
      <c r="W1" t="s">
        <v>2</v>
      </c>
    </row>
    <row r="2" spans="1:32" ht="26.25">
      <c r="A2" s="79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>
      <c r="C3" s="4" t="s">
        <v>7</v>
      </c>
      <c r="D3" s="122"/>
      <c r="E3" s="122"/>
      <c r="F3" s="91" t="s">
        <v>8</v>
      </c>
      <c r="G3" s="125"/>
      <c r="H3" s="125"/>
      <c r="K3" s="4" t="s">
        <v>9</v>
      </c>
      <c r="L3" s="117" t="s">
        <v>10</v>
      </c>
      <c r="N3" s="134"/>
      <c r="O3" s="134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>
      <c r="C4" s="4" t="s">
        <v>13</v>
      </c>
      <c r="D4" s="123"/>
      <c r="E4" s="123"/>
      <c r="F4" s="90" t="s">
        <v>14</v>
      </c>
      <c r="G4" s="125"/>
      <c r="H4" s="125"/>
      <c r="K4" s="92" t="str">
        <f>IFERROR(VLOOKUP($D$4,Table1[],2,FALSE),"")</f>
        <v/>
      </c>
      <c r="L4" s="19"/>
      <c r="N4" s="135"/>
      <c r="O4" s="135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>
      <c r="C5" s="4" t="s">
        <v>17</v>
      </c>
      <c r="D5" s="120"/>
      <c r="E5" s="120"/>
      <c r="F5" s="90" t="s">
        <v>18</v>
      </c>
      <c r="G5" s="125"/>
      <c r="H5" s="125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>
      <c r="C6" s="4" t="s">
        <v>22</v>
      </c>
      <c r="D6" s="124"/>
      <c r="E6" s="124"/>
      <c r="F6" s="90" t="s">
        <v>23</v>
      </c>
      <c r="G6" s="125"/>
      <c r="H6" s="125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>
      <c r="C7" s="4" t="s">
        <v>28</v>
      </c>
      <c r="D7" s="124"/>
      <c r="E7" s="124"/>
      <c r="F7" s="4" t="s">
        <v>29</v>
      </c>
      <c r="G7" s="125"/>
      <c r="H7" s="125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>
      <c r="C8" s="4" t="s">
        <v>33</v>
      </c>
      <c r="D8" s="119"/>
      <c r="E8" s="119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>
      <c r="C9" s="4" t="s">
        <v>37</v>
      </c>
      <c r="D9" s="120"/>
      <c r="E9" s="120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>
      <c r="B10" s="136" t="s">
        <v>41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>
      <c r="B13" s="136" t="s">
        <v>41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>
      <c r="B16" s="141" t="s">
        <v>52</v>
      </c>
      <c r="C16" s="141"/>
      <c r="D16" s="141" t="s">
        <v>53</v>
      </c>
      <c r="E16" s="141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40"/>
      <c r="T17" s="14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>
      <c r="A18" s="4" t="str">
        <f>IFERROR(VLOOKUP(B18,Thresholds[],2,FALSE),"")</f>
        <v/>
      </c>
      <c r="B18" s="111" t="str">
        <f>IF(F$14="","",F$14)</f>
        <v/>
      </c>
      <c r="C18" s="62"/>
      <c r="D18" s="142"/>
      <c r="E18" s="143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>
      <c r="A19" s="4" t="str">
        <f>IFERROR(VLOOKUP(B19,Thresholds[],3,FALSE),"")</f>
        <v/>
      </c>
      <c r="B19" s="111" t="str">
        <f>IF(F$14="","",F$14)</f>
        <v/>
      </c>
      <c r="C19" s="62"/>
      <c r="D19" s="142"/>
      <c r="E19" s="143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>
      <c r="A20" s="4" t="str">
        <f>IFERROR(VLOOKUP(B20,Thresholds[],4,FALSE),"")</f>
        <v/>
      </c>
      <c r="B20" s="111" t="str">
        <f>IF(F$14="","",F$14)</f>
        <v/>
      </c>
      <c r="C20" s="62"/>
      <c r="D20" s="142"/>
      <c r="E20" s="143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>
      <c r="A21" s="99"/>
      <c r="B21" s="112"/>
      <c r="C21" s="100"/>
      <c r="D21" s="131"/>
      <c r="E21" s="13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>
      <c r="A22" s="4" t="str">
        <f>IFERROR(VLOOKUP(B22,Thresholds[],2,FALSE),"")</f>
        <v/>
      </c>
      <c r="B22" s="111" t="str">
        <f>IF(G$14="","",G$14)</f>
        <v/>
      </c>
      <c r="C22" s="62"/>
      <c r="D22" s="126"/>
      <c r="E22" s="126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>
      <c r="A23" s="4" t="str">
        <f>IFERROR(VLOOKUP(B23,Thresholds[],3,FALSE),"")</f>
        <v/>
      </c>
      <c r="B23" s="111" t="str">
        <f>IF(G$14="","",G$14)</f>
        <v/>
      </c>
      <c r="C23" s="62"/>
      <c r="D23" s="126"/>
      <c r="E23" s="126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>
      <c r="A24" s="4" t="str">
        <f>IFERROR(VLOOKUP(B24,Thresholds[],4,FALSE),"")</f>
        <v/>
      </c>
      <c r="B24" s="111" t="str">
        <f>IF(G$14="","",G$14)</f>
        <v/>
      </c>
      <c r="C24" s="62"/>
      <c r="D24" s="126"/>
      <c r="E24" s="126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>
      <c r="A25" s="4"/>
      <c r="B25" s="113"/>
      <c r="C25" s="100"/>
      <c r="D25" s="131"/>
      <c r="E25" s="13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>
      <c r="A26" s="4" t="str">
        <f>IFERROR(VLOOKUP(B26,Thresholds[],2,FALSE),"")</f>
        <v/>
      </c>
      <c r="B26" s="111" t="str">
        <f>IF(H$14="","",H$14)</f>
        <v/>
      </c>
      <c r="C26" s="62"/>
      <c r="D26" s="126"/>
      <c r="E26" s="126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>
      <c r="A27" s="4" t="str">
        <f>IFERROR(VLOOKUP(B27,Thresholds[],3,FALSE),"")</f>
        <v/>
      </c>
      <c r="B27" s="111" t="str">
        <f>IF(H$14="","",H$14)</f>
        <v/>
      </c>
      <c r="C27" s="62"/>
      <c r="D27" s="126"/>
      <c r="E27" s="126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>
      <c r="A28" s="4" t="str">
        <f>IFERROR(VLOOKUP(B28,Thresholds[],4,FALSE),"")</f>
        <v/>
      </c>
      <c r="B28" s="111" t="str">
        <f>IF(H$14="","",H$14)</f>
        <v/>
      </c>
      <c r="C28" s="62"/>
      <c r="D28" s="126"/>
      <c r="E28" s="126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>
      <c r="A29" s="4"/>
      <c r="B29" s="113"/>
      <c r="C29" s="100"/>
      <c r="D29" s="131"/>
      <c r="E29" s="13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>
      <c r="A30" s="4" t="str">
        <f>IFERROR(VLOOKUP(B30,Thresholds[],2,FALSE),"")</f>
        <v/>
      </c>
      <c r="B30" s="111" t="str">
        <f>IF(I$14="","",I$14)</f>
        <v/>
      </c>
      <c r="C30" s="62"/>
      <c r="D30" s="126"/>
      <c r="E30" s="126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>
      <c r="A31" s="4" t="str">
        <f>IFERROR(VLOOKUP(B31,Thresholds[],3,FALSE),"")</f>
        <v/>
      </c>
      <c r="B31" s="111" t="str">
        <f>IF(I$14="","",I$14)</f>
        <v/>
      </c>
      <c r="C31" s="62"/>
      <c r="D31" s="126"/>
      <c r="E31" s="126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>
      <c r="A32" s="4" t="str">
        <f>IFERROR(VLOOKUP(B32,Thresholds[],4,FALSE),"")</f>
        <v/>
      </c>
      <c r="B32" s="111" t="str">
        <f>IF(I$14="","",I$14)</f>
        <v/>
      </c>
      <c r="C32" s="62"/>
      <c r="D32" s="126"/>
      <c r="E32" s="126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>
      <c r="A33" s="4"/>
      <c r="B33" s="113"/>
      <c r="C33" s="100"/>
      <c r="D33" s="131"/>
      <c r="E33" s="13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>
      <c r="A34" s="4" t="str">
        <f>IFERROR(VLOOKUP(B34,Thresholds[],2,FALSE),"")</f>
        <v/>
      </c>
      <c r="B34" s="111" t="str">
        <f>IF(J$14="","",J$14)</f>
        <v/>
      </c>
      <c r="C34" s="62"/>
      <c r="D34" s="126"/>
      <c r="E34" s="126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>
      <c r="A35" s="4" t="str">
        <f>IFERROR(VLOOKUP(B35,Thresholds[],3,FALSE),"")</f>
        <v/>
      </c>
      <c r="B35" s="111" t="str">
        <f>IF(J$14="","",J$14)</f>
        <v/>
      </c>
      <c r="C35" s="62"/>
      <c r="D35" s="126"/>
      <c r="E35" s="126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>
      <c r="A36" s="4" t="str">
        <f>IFERROR(VLOOKUP(B36,Thresholds[],4,FALSE),"")</f>
        <v/>
      </c>
      <c r="B36" s="111" t="str">
        <f>IF(J$14="","",J$14)</f>
        <v/>
      </c>
      <c r="C36" s="62"/>
      <c r="D36" s="126"/>
      <c r="E36" s="126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>
      <c r="A37" s="4"/>
      <c r="B37" s="113"/>
      <c r="C37" s="100"/>
      <c r="D37" s="131"/>
      <c r="E37" s="13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>
      <c r="A38" s="4" t="str">
        <f>IFERROR(VLOOKUP(B38,Thresholds[],2,FALSE),"")</f>
        <v/>
      </c>
      <c r="B38" s="111" t="str">
        <f>IF(K$14="","",K$14)</f>
        <v/>
      </c>
      <c r="C38" s="62"/>
      <c r="D38" s="126"/>
      <c r="E38" s="126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>
      <c r="A39" s="4" t="str">
        <f>IFERROR(VLOOKUP(B39,Thresholds[],3,FALSE),"")</f>
        <v/>
      </c>
      <c r="B39" s="111" t="str">
        <f>IF(K$14="","",K$14)</f>
        <v/>
      </c>
      <c r="C39" s="62"/>
      <c r="D39" s="126"/>
      <c r="E39" s="126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>
      <c r="A40" s="4" t="str">
        <f>IFERROR(VLOOKUP(B40,Thresholds[],4,FALSE),"")</f>
        <v/>
      </c>
      <c r="B40" s="111" t="str">
        <f>IF(K$14="","",K$14)</f>
        <v/>
      </c>
      <c r="C40" s="62"/>
      <c r="D40" s="126"/>
      <c r="E40" s="126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>
      <c r="A41" s="4"/>
      <c r="B41" s="113"/>
      <c r="C41" s="100"/>
      <c r="D41" s="131"/>
      <c r="E41" s="13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>
      <c r="A42" s="4" t="str">
        <f>IFERROR(VLOOKUP(B42,Thresholds[],2,FALSE),"")</f>
        <v/>
      </c>
      <c r="B42" s="111" t="str">
        <f>IF(L$14="","",L$14)</f>
        <v/>
      </c>
      <c r="C42" s="62"/>
      <c r="D42" s="126"/>
      <c r="E42" s="126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>
      <c r="A43" s="4" t="str">
        <f>IFERROR(VLOOKUP(B43,Thresholds[],3,FALSE),"")</f>
        <v/>
      </c>
      <c r="B43" s="111" t="str">
        <f>IF(L$14="","",L$14)</f>
        <v/>
      </c>
      <c r="C43" s="62"/>
      <c r="D43" s="126"/>
      <c r="E43" s="126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>
      <c r="A44" s="4" t="str">
        <f>IFERROR(VLOOKUP(B44,Thresholds[],4,FALSE),"")</f>
        <v/>
      </c>
      <c r="B44" s="111" t="str">
        <f>IF(L$14="","",L$14)</f>
        <v/>
      </c>
      <c r="C44" s="62"/>
      <c r="D44" s="126"/>
      <c r="E44" s="126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>
      <c r="A46" t="s">
        <v>88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89</v>
      </c>
      <c r="O46" s="121" t="str">
        <f>IFERROR(VLOOKUP(B46,DropDowns!H13:I15,2,FALSE),"")</f>
        <v/>
      </c>
      <c r="P46" s="121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>
      <c r="A47" s="4" t="s">
        <v>90</v>
      </c>
      <c r="B47" s="128"/>
      <c r="C47" s="129"/>
      <c r="D47" s="129"/>
      <c r="E47" s="129"/>
      <c r="F47" s="129"/>
      <c r="G47" s="129"/>
      <c r="H47" s="129"/>
      <c r="I47" s="129"/>
      <c r="J47" s="129"/>
      <c r="K47" s="129"/>
      <c r="L47" s="130"/>
      <c r="N47" t="s">
        <v>91</v>
      </c>
      <c r="O47" s="121" t="str">
        <f>IFERROR(VLOOKUP(B47,DropDowns!H3:I8,2,FALSE),"")</f>
        <v/>
      </c>
      <c r="P47" s="121"/>
    </row>
    <row r="48" spans="1:39">
      <c r="B48" s="80"/>
      <c r="G48" s="4"/>
    </row>
    <row r="52" spans="15:18" ht="14.25" customHeight="1"/>
    <row r="53" spans="15:18" ht="14.25" customHeight="1"/>
    <row r="54" spans="15:18" ht="14.25" customHeight="1"/>
    <row r="55" spans="15:18" ht="14.25" customHeight="1"/>
    <row r="56" spans="15:18" ht="14.25" customHeight="1"/>
    <row r="57" spans="15:18" ht="14.25" customHeight="1"/>
    <row r="58" spans="15:18" ht="14.25" customHeight="1"/>
    <row r="59" spans="15:18" ht="14.25" customHeight="1"/>
    <row r="60" spans="15:18" ht="14.25" customHeight="1"/>
    <row r="61" spans="15:18" ht="14.25" customHeight="1"/>
    <row r="62" spans="15:18" ht="14.25" customHeight="1">
      <c r="O62" s="2"/>
      <c r="P62" s="2"/>
      <c r="Q62" s="2"/>
      <c r="R62" s="2"/>
    </row>
    <row r="63" spans="15:18" ht="14.25" customHeight="1">
      <c r="O63" s="2"/>
      <c r="P63" s="2"/>
      <c r="Q63" s="2"/>
      <c r="R63" s="2"/>
    </row>
  </sheetData>
  <sheetProtection algorithmName="SHA-512" hashValue="0A+yO6Taqm48rBMSUE6rcbSbaTkSxcuSnbWa9Mlc/XCjKnFUAzvnSrg2pmCsDRGg3opDWS0k0WA0CGd+56n1vw==" saltValue="d8j06xy+U+ySw/MuEuZFYw==" spinCount="100000" sheet="1" selectLockedCells="1"/>
  <protectedRanges>
    <protectedRange sqref="G4:G6" name="address"/>
  </protectedRanges>
  <mergeCells count="53"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31:E31"/>
    <mergeCell ref="D32:E32"/>
    <mergeCell ref="D33:E33"/>
    <mergeCell ref="D34:E34"/>
    <mergeCell ref="D35:E35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lessThan" showInputMessage="1" showErrorMessage="1" sqref="N6" xr:uid="{C13D5D0F-8F51-423D-A468-73A663B73DDB}">
      <formula1>N7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>
      <c r="A1" s="27" t="str">
        <f>IF(C3,"A2LA","Blank")</f>
        <v>A2LA</v>
      </c>
    </row>
    <row r="2" spans="1:3" ht="87.75" customHeight="1">
      <c r="B2" s="27" t="e" vm="1">
        <v>#VALUE!</v>
      </c>
    </row>
    <row r="3" spans="1:3">
      <c r="C3" s="116" t="b">
        <v>1</v>
      </c>
    </row>
    <row r="5" spans="1:3" ht="16.5" customHeight="1"/>
    <row r="6" spans="1:3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/>
  <sheetData>
    <row r="1" spans="1:16">
      <c r="A1" s="109" t="s">
        <v>141</v>
      </c>
    </row>
    <row r="2" spans="1:16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 t="s">
        <v>133</v>
      </c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54" t="s">
        <v>134</v>
      </c>
      <c r="G6" s="154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114</v>
      </c>
      <c r="B56" s="147" t="s">
        <v>135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116</v>
      </c>
      <c r="B60" s="148" t="str">
        <f>Worksheet!O46</f>
        <v/>
      </c>
      <c r="C60" s="148"/>
    </row>
    <row r="61" spans="1:27" ht="12" customHeight="1">
      <c r="A61" s="145" t="str">
        <f>'CERT AL'!A61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8" spans="1:1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5">
      <c r="B78" s="54"/>
    </row>
    <row r="79" spans="1:1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/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54" t="s">
        <v>96</v>
      </c>
      <c r="G6" s="154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114</v>
      </c>
      <c r="B56" s="147" t="s">
        <v>115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116</v>
      </c>
      <c r="B60" s="148" t="str">
        <f>Worksheet!O47</f>
        <v/>
      </c>
      <c r="C60" s="148"/>
    </row>
    <row r="61" spans="1:27" ht="12" customHeight="1">
      <c r="A61" s="145" t="str">
        <f>IF(Worksheet!D11="YES",'CERT AL'!A89,"")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7" spans="1:16">
      <c r="A67" s="65" t="s">
        <v>117</v>
      </c>
    </row>
    <row r="68" spans="1:16">
      <c r="A68" s="144" t="s">
        <v>118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>
      <c r="A78" s="65" t="s">
        <v>119</v>
      </c>
    </row>
    <row r="79" spans="1:16" ht="15" customHeight="1">
      <c r="A79" s="144" t="s">
        <v>120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8" spans="1:16">
      <c r="A88" s="65" t="s">
        <v>130</v>
      </c>
    </row>
    <row r="89" spans="1:16">
      <c r="A89" s="144" t="s">
        <v>131</v>
      </c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</row>
    <row r="90" spans="1:16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B1:K1"/>
    <mergeCell ref="B2:K2"/>
    <mergeCell ref="B3:K3"/>
    <mergeCell ref="J11:K11"/>
    <mergeCell ref="J12:K12"/>
    <mergeCell ref="D4:I4"/>
    <mergeCell ref="E5:H5"/>
    <mergeCell ref="F6:G6"/>
    <mergeCell ref="A89:O90"/>
    <mergeCell ref="A61:M62"/>
    <mergeCell ref="A79:O86"/>
    <mergeCell ref="A68:O75"/>
    <mergeCell ref="B56:M58"/>
    <mergeCell ref="O56:AA58"/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1153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>
      <c r="B5" t="s">
        <v>152</v>
      </c>
      <c r="H5" t="s">
        <v>124</v>
      </c>
      <c r="I5" t="s">
        <v>150</v>
      </c>
      <c r="J5" t="s">
        <v>125</v>
      </c>
    </row>
    <row r="6" spans="2:35">
      <c r="H6" t="s">
        <v>126</v>
      </c>
      <c r="I6" t="s">
        <v>150</v>
      </c>
      <c r="J6" t="s">
        <v>127</v>
      </c>
    </row>
    <row r="7" spans="2:35">
      <c r="H7" t="s">
        <v>128</v>
      </c>
      <c r="I7" t="s">
        <v>153</v>
      </c>
      <c r="J7" t="s">
        <v>129</v>
      </c>
    </row>
    <row r="8" spans="2:35">
      <c r="H8" t="s">
        <v>154</v>
      </c>
      <c r="I8" t="s">
        <v>150</v>
      </c>
      <c r="J8" t="s">
        <v>132</v>
      </c>
    </row>
    <row r="10" spans="2:35">
      <c r="B10" s="109" t="s">
        <v>155</v>
      </c>
    </row>
    <row r="12" spans="2:3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1152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>
      <c r="B13" t="str">
        <v>HRBW</v>
      </c>
      <c r="H13" t="s">
        <v>136</v>
      </c>
      <c r="I13" t="s">
        <v>158</v>
      </c>
      <c r="J13" t="s">
        <v>135</v>
      </c>
    </row>
    <row r="14" spans="2:35">
      <c r="B14" t="str">
        <v>HRC</v>
      </c>
      <c r="H14" t="s">
        <v>137</v>
      </c>
      <c r="I14" t="s">
        <v>153</v>
      </c>
      <c r="J14" t="s">
        <v>138</v>
      </c>
    </row>
    <row r="15" spans="2:35">
      <c r="B15" t="str">
        <v>HREW</v>
      </c>
      <c r="H15" t="s">
        <v>139</v>
      </c>
      <c r="I15" t="s">
        <v>158</v>
      </c>
      <c r="J15" t="s">
        <v>140</v>
      </c>
    </row>
    <row r="16" spans="2:35">
      <c r="B16" t="str">
        <v>HRFW</v>
      </c>
      <c r="I16" t="s">
        <v>159</v>
      </c>
    </row>
    <row r="17" spans="2:14">
      <c r="B17" t="str">
        <v>HRHW</v>
      </c>
    </row>
    <row r="18" spans="2:14">
      <c r="B18" t="str">
        <v>HR15N</v>
      </c>
      <c r="D18" t="s">
        <v>160</v>
      </c>
      <c r="I18" t="s">
        <v>1154</v>
      </c>
    </row>
    <row r="19" spans="2:14" ht="15.75" thickBot="1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>
      <c r="E28" t="str">
        <v>China</v>
      </c>
      <c r="F28">
        <v>3814</v>
      </c>
      <c r="G28">
        <v>1247</v>
      </c>
      <c r="I28" t="str">
        <v>AERO-TECH ENGINEERING, INC.</v>
      </c>
    </row>
    <row r="29" spans="2:14">
      <c r="E29" t="str">
        <v>Clark</v>
      </c>
      <c r="F29">
        <v>3817</v>
      </c>
      <c r="G29">
        <v>1263</v>
      </c>
      <c r="I29" t="str">
        <v>ALBERTSON &amp; HEIN, INC.</v>
      </c>
    </row>
    <row r="30" spans="2:14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>
      <c r="E44" t="str">
        <v>ProCheck</v>
      </c>
      <c r="F44" t="str">
        <v>2002T</v>
      </c>
      <c r="G44">
        <v>1981</v>
      </c>
      <c r="I44" t="str">
        <v>BRALCO METALS</v>
      </c>
    </row>
    <row r="45" spans="5:9">
      <c r="E45" t="str">
        <v>Rams</v>
      </c>
      <c r="F45" t="str">
        <v>2003T</v>
      </c>
      <c r="G45">
        <v>1994</v>
      </c>
      <c r="I45" t="str">
        <v>BRIJ SYSTEMS, LLC</v>
      </c>
    </row>
    <row r="46" spans="5:9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>
      <c r="E49" t="str">
        <v>Shars</v>
      </c>
      <c r="F49" t="str">
        <v>3PR</v>
      </c>
      <c r="G49">
        <v>2279</v>
      </c>
      <c r="I49" t="str">
        <v>CARLSON COMPANY, INC.</v>
      </c>
    </row>
    <row r="50" spans="5:9">
      <c r="E50" t="str">
        <v>Spi</v>
      </c>
      <c r="F50" t="str">
        <v>3R</v>
      </c>
      <c r="G50">
        <v>2282</v>
      </c>
      <c r="I50" t="str">
        <v>CASTLE METALS</v>
      </c>
    </row>
    <row r="51" spans="5:9">
      <c r="E51" t="str">
        <v>Starrett</v>
      </c>
      <c r="F51" t="str">
        <v>3RJ</v>
      </c>
      <c r="G51">
        <v>2325</v>
      </c>
      <c r="I51" t="str">
        <v>CE MACHINE CO.</v>
      </c>
    </row>
    <row r="52" spans="5:9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>
      <c r="E58" t="str">
        <v>Wilson</v>
      </c>
      <c r="F58" t="str">
        <v>4JS</v>
      </c>
      <c r="G58">
        <v>3746</v>
      </c>
      <c r="I58" t="str">
        <v>CLARK MANUFACTURING</v>
      </c>
    </row>
    <row r="59" spans="5:9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>
      <c r="E62">
        <v>0</v>
      </c>
      <c r="F62" t="str">
        <v>4TT</v>
      </c>
      <c r="G62">
        <v>4385</v>
      </c>
      <c r="I62" t="str">
        <v>COMPLEXX MACHINING</v>
      </c>
    </row>
    <row r="63" spans="5:9">
      <c r="F63" t="str">
        <v>4TTBB</v>
      </c>
      <c r="G63">
        <v>4427</v>
      </c>
      <c r="I63" t="str">
        <v>COX MACHINE, INC - HARPER DIV</v>
      </c>
    </row>
    <row r="64" spans="5:9">
      <c r="F64" t="str">
        <v>504-T</v>
      </c>
      <c r="G64">
        <v>4783</v>
      </c>
      <c r="I64" t="str">
        <v>COX MACHINE, INC - WICHITA DIV</v>
      </c>
    </row>
    <row r="65" spans="6:9">
      <c r="F65" t="str">
        <v>524T</v>
      </c>
      <c r="G65">
        <v>4927</v>
      </c>
      <c r="I65" t="str">
        <v>CROSS MANUFACTURING - HAYS DIVISION</v>
      </c>
    </row>
    <row r="66" spans="6:9">
      <c r="F66" t="str">
        <v>5JR</v>
      </c>
      <c r="G66">
        <v>5042</v>
      </c>
      <c r="I66" t="str">
        <v>CROSS MFG., INC. LEWIS DIVISION</v>
      </c>
    </row>
    <row r="67" spans="6:9">
      <c r="F67" t="str">
        <v>5TTARB</v>
      </c>
      <c r="G67">
        <v>5216</v>
      </c>
      <c r="I67" t="str">
        <v>D &amp; D MACHINE, INC.</v>
      </c>
    </row>
    <row r="68" spans="6:9">
      <c r="F68" t="str">
        <v>670H</v>
      </c>
      <c r="G68">
        <v>5218</v>
      </c>
      <c r="I68" t="str">
        <v>D &amp; S MANUFACTURING</v>
      </c>
    </row>
    <row r="69" spans="6:9">
      <c r="F69" t="str">
        <v>900-387 DNT</v>
      </c>
      <c r="G69">
        <v>5282</v>
      </c>
      <c r="I69" t="str">
        <v>DIVERSIFIED SERVICES</v>
      </c>
    </row>
    <row r="70" spans="6:9">
      <c r="F70" t="str">
        <v>940-131</v>
      </c>
      <c r="G70">
        <v>5431</v>
      </c>
      <c r="I70" t="str">
        <v>D-J AEROSPACE, INC. PHILIPPINES</v>
      </c>
    </row>
    <row r="71" spans="6:9">
      <c r="F71" t="str">
        <v>A644T</v>
      </c>
      <c r="G71">
        <v>5531</v>
      </c>
      <c r="I71" t="str">
        <v>D-J ENGINEERING, INC.</v>
      </c>
    </row>
    <row r="72" spans="6:9">
      <c r="F72" t="str">
        <v>A656T</v>
      </c>
      <c r="G72">
        <v>5942</v>
      </c>
      <c r="I72" t="str">
        <v>D-J EXTRUDING</v>
      </c>
    </row>
    <row r="73" spans="6:9">
      <c r="F73" t="str">
        <v>AERM</v>
      </c>
      <c r="G73">
        <v>5966</v>
      </c>
      <c r="I73" t="str">
        <v>DL DYNAMIC LLC</v>
      </c>
    </row>
    <row r="74" spans="6:9">
      <c r="F74" t="str">
        <v>AT130</v>
      </c>
      <c r="G74">
        <v>6532</v>
      </c>
      <c r="I74" t="str">
        <v>DYNAMIC N/C L.L.C.</v>
      </c>
    </row>
    <row r="75" spans="6:9">
      <c r="F75" t="str">
        <v>AT130R</v>
      </c>
      <c r="G75">
        <v>6561</v>
      </c>
      <c r="I75" t="str">
        <v>ELECTROMECH TECHNOLOGIES</v>
      </c>
    </row>
    <row r="76" spans="6:9">
      <c r="F76" t="str">
        <v>AT130RDS</v>
      </c>
      <c r="G76">
        <v>6579</v>
      </c>
      <c r="I76" t="str">
        <v>ELECTRO-METHODS, INC.</v>
      </c>
    </row>
    <row r="77" spans="6:9">
      <c r="F77" t="str">
        <v>AT130SRDS</v>
      </c>
      <c r="G77">
        <v>6589</v>
      </c>
      <c r="I77" t="str">
        <v>ELEMENT WICHITA</v>
      </c>
    </row>
    <row r="78" spans="6:9">
      <c r="F78" t="str">
        <v>ATS130HD</v>
      </c>
      <c r="G78">
        <v>6602</v>
      </c>
      <c r="I78" t="str">
        <v>ETEZAZI INDUSTRIES</v>
      </c>
    </row>
    <row r="79" spans="6:9">
      <c r="F79" t="str">
        <v>B503-R</v>
      </c>
      <c r="G79">
        <v>6603</v>
      </c>
      <c r="I79" t="str">
        <v>EXACTA AEROSPACE, INC.</v>
      </c>
    </row>
    <row r="80" spans="6:9">
      <c r="F80" t="str">
        <v>B523T</v>
      </c>
      <c r="G80">
        <v>6607</v>
      </c>
      <c r="I80" t="str">
        <v>EXCEL INDUSTRIES</v>
      </c>
    </row>
    <row r="81" spans="6:9">
      <c r="F81" t="str">
        <v>BT130R</v>
      </c>
      <c r="G81">
        <v>6608</v>
      </c>
      <c r="I81" t="str">
        <v>FASTENAIR, LLC</v>
      </c>
    </row>
    <row r="82" spans="6:9">
      <c r="F82" t="str">
        <v>C12A</v>
      </c>
      <c r="G82">
        <v>6624</v>
      </c>
      <c r="I82" t="str">
        <v>FIGEAC AERO</v>
      </c>
    </row>
    <row r="83" spans="6:9">
      <c r="F83" t="str">
        <v>C12AR</v>
      </c>
      <c r="G83">
        <v>6627</v>
      </c>
      <c r="I83" t="str">
        <v>FMW INC.</v>
      </c>
    </row>
    <row r="84" spans="6:9">
      <c r="F84" t="str">
        <v>C505R</v>
      </c>
      <c r="G84">
        <v>6761</v>
      </c>
      <c r="I84" t="str">
        <v>FREEMAN COMPANY</v>
      </c>
    </row>
    <row r="85" spans="6:9">
      <c r="F85" t="str">
        <v>C523-S</v>
      </c>
      <c r="G85">
        <v>6911</v>
      </c>
      <c r="I85" t="str">
        <v>GABRIEL NATOLITANO</v>
      </c>
    </row>
    <row r="86" spans="6:9">
      <c r="F86" t="str">
        <v>CE3R</v>
      </c>
      <c r="G86">
        <v>7013</v>
      </c>
      <c r="I86" t="str">
        <v>GARMIN</v>
      </c>
    </row>
    <row r="87" spans="6:9">
      <c r="F87" t="str">
        <v>Clark CR-1</v>
      </c>
      <c r="G87">
        <v>7039</v>
      </c>
      <c r="I87" t="str">
        <v>GKN PRECISION MACHINING, INC.</v>
      </c>
    </row>
    <row r="88" spans="6:9">
      <c r="F88" t="str">
        <v>CPT</v>
      </c>
      <c r="G88">
        <v>7196</v>
      </c>
      <c r="I88" t="str">
        <v>GLOBE ENGINEERING CO.</v>
      </c>
    </row>
    <row r="89" spans="6:9">
      <c r="F89" t="str">
        <v>CPTXL</v>
      </c>
      <c r="G89">
        <v>7215</v>
      </c>
      <c r="I89" t="str">
        <v>GODDARD MACHINE</v>
      </c>
    </row>
    <row r="90" spans="6:9">
      <c r="F90" t="str">
        <v>CR-3a</v>
      </c>
      <c r="G90">
        <v>7235</v>
      </c>
      <c r="I90" t="str">
        <v>H &amp; R PARTS CO., INC.</v>
      </c>
    </row>
    <row r="91" spans="6:9">
      <c r="F91" t="str">
        <v>CR-3e</v>
      </c>
      <c r="G91">
        <v>7313</v>
      </c>
      <c r="I91" t="str">
        <v>H.M. DUNN AEROSYSTEMS</v>
      </c>
    </row>
    <row r="92" spans="6:9">
      <c r="F92" t="str">
        <v>CR-8</v>
      </c>
      <c r="G92">
        <v>7326</v>
      </c>
      <c r="I92" t="str">
        <v>HARLOW AEROSTRUCTURES LLC</v>
      </c>
    </row>
    <row r="93" spans="6:9">
      <c r="F93" t="str">
        <v>CRX-3</v>
      </c>
      <c r="G93">
        <v>7336</v>
      </c>
      <c r="I93" t="str">
        <v>HUSQVARNA FORESTRY PRODUCTS</v>
      </c>
    </row>
    <row r="94" spans="6:9">
      <c r="F94" t="str">
        <v>CV-600A</v>
      </c>
      <c r="G94">
        <v>7363</v>
      </c>
      <c r="I94" t="str">
        <v>INTEGRATED COMPONENTS, INC.</v>
      </c>
    </row>
    <row r="95" spans="6:9">
      <c r="F95" t="str">
        <v>CV-600MBDL</v>
      </c>
      <c r="G95">
        <v>7549</v>
      </c>
      <c r="I95" t="str">
        <v>JOHNSON CONTROLS-YORK</v>
      </c>
    </row>
    <row r="96" spans="6:9">
      <c r="F96" t="str">
        <v>DCR-12</v>
      </c>
      <c r="G96">
        <v>7597</v>
      </c>
      <c r="I96" t="str">
        <v>JOHNSON GAGE &amp; INSPECTION, INC.</v>
      </c>
    </row>
    <row r="97" spans="6:9">
      <c r="F97" t="str">
        <v>DCR-8</v>
      </c>
      <c r="G97">
        <v>7692</v>
      </c>
      <c r="I97" t="str">
        <v>KANSAS GUN DRILLING, INC.</v>
      </c>
    </row>
    <row r="98" spans="6:9">
      <c r="F98" t="str">
        <v>DRM8</v>
      </c>
      <c r="G98">
        <v>7710</v>
      </c>
      <c r="I98" t="str">
        <v>KISER MANUFACTURING CO., INC.</v>
      </c>
    </row>
    <row r="99" spans="6:9">
      <c r="F99" t="str">
        <v>Dsr-8</v>
      </c>
      <c r="G99">
        <v>7734</v>
      </c>
      <c r="I99" t="str">
        <v>KMG TOOL &amp; MACHINE</v>
      </c>
    </row>
    <row r="100" spans="6:9">
      <c r="F100" t="str">
        <v>GENERIC 164</v>
      </c>
      <c r="G100">
        <v>7772</v>
      </c>
      <c r="I100" t="str">
        <v>KOCH-GLITSCH LP</v>
      </c>
    </row>
    <row r="101" spans="6:9">
      <c r="F101" t="str">
        <v>GENERIC 574</v>
      </c>
      <c r="G101">
        <v>7799</v>
      </c>
      <c r="I101" t="str">
        <v>L S INDUSTRIES</v>
      </c>
    </row>
    <row r="102" spans="6:9">
      <c r="F102" t="str">
        <v>HR-100</v>
      </c>
      <c r="G102">
        <v>7869</v>
      </c>
      <c r="I102" t="str">
        <v>LIGHTNING AEROSPACE LLC</v>
      </c>
    </row>
    <row r="103" spans="6:9">
      <c r="F103" t="str">
        <v>HR-150</v>
      </c>
      <c r="G103">
        <v>7960</v>
      </c>
      <c r="I103" t="str">
        <v>LMI AEROSPACE ESTHNER</v>
      </c>
    </row>
    <row r="104" spans="6:9">
      <c r="F104" t="str">
        <v>HR-150A</v>
      </c>
      <c r="G104">
        <v>8092</v>
      </c>
      <c r="I104" t="str">
        <v>LMI AEROSPACE HILLSIDE</v>
      </c>
    </row>
    <row r="105" spans="6:9">
      <c r="F105" t="str">
        <v>HR-200</v>
      </c>
      <c r="G105">
        <v>8535</v>
      </c>
      <c r="I105" t="str">
        <v>LYONS MANUFACTURING</v>
      </c>
    </row>
    <row r="106" spans="6:9">
      <c r="F106" t="str">
        <v>HR-300</v>
      </c>
      <c r="G106">
        <v>8556</v>
      </c>
      <c r="I106" t="str">
        <v>MANUFACTURING DEVELOPMENT, INC.</v>
      </c>
    </row>
    <row r="107" spans="6:9">
      <c r="F107" t="str">
        <v>HR-521</v>
      </c>
      <c r="G107">
        <v>8975</v>
      </c>
      <c r="I107" t="str">
        <v>MANUFACTURING SOLUTIONS</v>
      </c>
    </row>
    <row r="108" spans="6:9">
      <c r="F108" t="str">
        <v>HRM-45DT</v>
      </c>
      <c r="G108">
        <v>9287</v>
      </c>
      <c r="I108" t="str">
        <v>MARTINREA RIVERSIDE, LLC</v>
      </c>
    </row>
    <row r="109" spans="6:9">
      <c r="F109" t="str">
        <v>I-4S</v>
      </c>
      <c r="G109">
        <v>9321</v>
      </c>
      <c r="I109" t="str">
        <v>MAX AEROSTRUCTURES, LLC</v>
      </c>
    </row>
    <row r="110" spans="6:9">
      <c r="F110" t="str">
        <v>II</v>
      </c>
      <c r="G110">
        <v>9329</v>
      </c>
      <c r="I110" t="str">
        <v>MAYNARD INC.</v>
      </c>
    </row>
    <row r="111" spans="6:9">
      <c r="F111" t="str">
        <v>Indentron</v>
      </c>
      <c r="G111">
        <v>9688</v>
      </c>
      <c r="I111" t="str">
        <v>MAYNARD INC. - WICHITA DIV.</v>
      </c>
    </row>
    <row r="112" spans="6:9">
      <c r="F112" t="str">
        <v>Indentron NI-300C</v>
      </c>
      <c r="G112">
        <v>9873</v>
      </c>
      <c r="I112" t="str">
        <v>McGINTY MACHINE CO., INC.</v>
      </c>
    </row>
    <row r="113" spans="6:9">
      <c r="F113" t="str">
        <v>ISH-BRV-U</v>
      </c>
      <c r="G113">
        <v>9927</v>
      </c>
      <c r="I113" t="str">
        <v>MERRITT PREFERRED COMPONENTS, INC.</v>
      </c>
    </row>
    <row r="114" spans="6:9">
      <c r="F114" t="str">
        <v>M-51ST</v>
      </c>
      <c r="G114">
        <v>9949</v>
      </c>
      <c r="I114" t="str">
        <v>METAL ARTS MACHINE CO. LLC</v>
      </c>
    </row>
    <row r="115" spans="6:9">
      <c r="F115" t="str">
        <v>M51ST 9120-251</v>
      </c>
      <c r="G115">
        <v>10549</v>
      </c>
      <c r="I115" t="str">
        <v>METAL FINISHING CO.</v>
      </c>
    </row>
    <row r="116" spans="6:9">
      <c r="F116" t="str">
        <v>ME-2</v>
      </c>
      <c r="G116">
        <v>10573</v>
      </c>
      <c r="I116" t="str">
        <v>METAL FINISHING CO. -McLean</v>
      </c>
    </row>
    <row r="117" spans="6:9">
      <c r="F117" t="str">
        <v>Misawa Seiki</v>
      </c>
      <c r="G117">
        <v>10624</v>
      </c>
      <c r="I117" t="str">
        <v>METAL FORMING INC.</v>
      </c>
    </row>
    <row r="118" spans="6:9">
      <c r="F118" t="str">
        <v>MZ</v>
      </c>
      <c r="G118">
        <v>10936</v>
      </c>
      <c r="I118" t="str">
        <v>METALFORM INDUSTRIES, INC.</v>
      </c>
    </row>
    <row r="119" spans="6:9">
      <c r="F119" t="str">
        <v>NI-300C</v>
      </c>
      <c r="G119">
        <v>11326</v>
      </c>
      <c r="I119" t="str">
        <v>MFCO HEAT TREAT - HARRY LOCATION</v>
      </c>
    </row>
    <row r="120" spans="6:9">
      <c r="F120" t="str">
        <v>NI-400C</v>
      </c>
      <c r="G120">
        <v>13187</v>
      </c>
      <c r="I120" t="str">
        <v>MFCO-Aluminum Heat Treatment- Murdock</v>
      </c>
    </row>
    <row r="121" spans="6:9">
      <c r="F121" t="str">
        <v>NI-600</v>
      </c>
      <c r="G121">
        <v>13205</v>
      </c>
      <c r="I121" t="str">
        <v>Michael Moore</v>
      </c>
    </row>
    <row r="122" spans="6:9">
      <c r="F122" t="str">
        <v>NI-600C</v>
      </c>
      <c r="G122">
        <v>13696</v>
      </c>
      <c r="I122" t="str">
        <v>MICO MACHINE COMPANY</v>
      </c>
    </row>
    <row r="123" spans="6:9">
      <c r="F123" t="str">
        <v>NRSL</v>
      </c>
      <c r="G123">
        <v>14301</v>
      </c>
      <c r="I123" t="str">
        <v>MILLENNIUM MACHINE &amp; TOOL INC.</v>
      </c>
    </row>
    <row r="124" spans="6:9">
      <c r="F124" t="str">
        <v>P526T</v>
      </c>
      <c r="G124">
        <v>14326</v>
      </c>
      <c r="I124" t="str">
        <v>MILLING PRECISION TOOL</v>
      </c>
    </row>
    <row r="125" spans="6:9">
      <c r="F125" t="str">
        <v>PHT-6005</v>
      </c>
      <c r="G125">
        <v>14348</v>
      </c>
      <c r="I125" t="str">
        <v>MPM, INC.</v>
      </c>
    </row>
    <row r="126" spans="6:9">
      <c r="F126" t="str">
        <v>Portable</v>
      </c>
      <c r="G126">
        <v>14358</v>
      </c>
      <c r="I126" t="str">
        <v>NATOMA MANUFACTURING, LLC</v>
      </c>
    </row>
    <row r="127" spans="6:9">
      <c r="F127" t="str">
        <v>R2150-1</v>
      </c>
      <c r="G127">
        <v>14366</v>
      </c>
      <c r="I127" t="str">
        <v>NIAR - QUALITY CONTROL &amp; STRAIN GAGE LAB</v>
      </c>
    </row>
    <row r="128" spans="6:9">
      <c r="F128" t="str">
        <v>R574T</v>
      </c>
      <c r="G128">
        <v>15382</v>
      </c>
      <c r="I128" t="str">
        <v>NIAR WERX MRO</v>
      </c>
    </row>
    <row r="129" spans="6:9">
      <c r="F129" t="str">
        <v>RB2000</v>
      </c>
      <c r="G129">
        <v>15424</v>
      </c>
      <c r="I129" t="str">
        <v>NWI KANSAS CITY LLC</v>
      </c>
    </row>
    <row r="130" spans="6:9">
      <c r="F130" t="str">
        <v>RH-150</v>
      </c>
      <c r="G130">
        <v>16452</v>
      </c>
      <c r="I130" t="str">
        <v>NWI WICHITA LLC</v>
      </c>
    </row>
    <row r="131" spans="6:9">
      <c r="F131" t="str">
        <v>RH2150</v>
      </c>
      <c r="G131">
        <v>16502</v>
      </c>
      <c r="I131" t="str">
        <v>OMNI AEROSPACE - WICHITA DIVISION</v>
      </c>
    </row>
    <row r="132" spans="6:9">
      <c r="F132" t="str">
        <v>RH-45</v>
      </c>
      <c r="G132">
        <v>16870</v>
      </c>
      <c r="I132" t="str">
        <v>ORIZON AEROSTRUCTURES PROCESSING</v>
      </c>
    </row>
    <row r="133" spans="6:9">
      <c r="F133" t="str">
        <v>RPT1</v>
      </c>
      <c r="G133">
        <v>17527</v>
      </c>
      <c r="I133" t="str">
        <v>OXWELL, INC.</v>
      </c>
    </row>
    <row r="134" spans="6:9">
      <c r="F134" t="str">
        <v>RPT2</v>
      </c>
      <c r="G134">
        <v>17549</v>
      </c>
      <c r="I134" t="str">
        <v>PERFEKTA, INC.</v>
      </c>
    </row>
    <row r="135" spans="6:9">
      <c r="F135" t="str">
        <v>RSD Mag</v>
      </c>
      <c r="G135">
        <v>17557</v>
      </c>
      <c r="I135" t="str">
        <v>PRECISION PRODUCTS</v>
      </c>
    </row>
    <row r="136" spans="6:9">
      <c r="F136" t="str">
        <v>TH550</v>
      </c>
      <c r="G136">
        <v>20257</v>
      </c>
      <c r="I136" t="str">
        <v>PRECISION TOOL IMPROVEMENTS CO.</v>
      </c>
    </row>
    <row r="137" spans="6:9">
      <c r="F137" t="str">
        <v>Tru-Blue II</v>
      </c>
      <c r="G137">
        <v>20638</v>
      </c>
      <c r="I137" t="str">
        <v>PREMIER PROCESSING</v>
      </c>
    </row>
    <row r="138" spans="6:9">
      <c r="F138" t="str">
        <v>Versitron</v>
      </c>
      <c r="G138">
        <v>22098</v>
      </c>
      <c r="I138" t="str">
        <v>PRODUCT MANUFACTURING CORPORATION</v>
      </c>
    </row>
    <row r="139" spans="6:9">
      <c r="F139" t="str">
        <v>WH2002T</v>
      </c>
      <c r="G139">
        <v>22603</v>
      </c>
      <c r="I139" t="str">
        <v>PRODUCT MANUFACTURING CORPORATION - PARK CITY</v>
      </c>
    </row>
    <row r="140" spans="6:9">
      <c r="F140" t="str">
        <v>Wilson Rockwell 2002T Automated</v>
      </c>
      <c r="G140">
        <v>25275</v>
      </c>
      <c r="I140" t="str">
        <v>PROFESSIONAL MACHINE &amp; TOOL</v>
      </c>
    </row>
    <row r="141" spans="6:9">
      <c r="G141">
        <v>30244</v>
      </c>
      <c r="I141" t="str">
        <v>PRYER AEROSPACE</v>
      </c>
    </row>
    <row r="142" spans="6:9">
      <c r="G142">
        <v>34497</v>
      </c>
      <c r="I142" t="str">
        <v>QUIK TEK MACHINING LLC</v>
      </c>
    </row>
    <row r="143" spans="6:9">
      <c r="G143">
        <v>38099</v>
      </c>
      <c r="I143" t="str">
        <v>R &amp; R AEROSPACE</v>
      </c>
    </row>
    <row r="144" spans="6:9">
      <c r="G144">
        <v>38699</v>
      </c>
      <c r="I144" t="str">
        <v>REGASA AEROSPACE, INC.</v>
      </c>
    </row>
    <row r="145" spans="7:9">
      <c r="G145">
        <v>39000</v>
      </c>
      <c r="I145" t="str">
        <v>RICKMAN MACHINE CO.</v>
      </c>
    </row>
    <row r="146" spans="7:9">
      <c r="G146">
        <v>39100</v>
      </c>
      <c r="I146" t="str">
        <v>S&amp;S MANUFACTURING, INC</v>
      </c>
    </row>
    <row r="147" spans="7:9">
      <c r="G147">
        <v>39200</v>
      </c>
      <c r="I147" t="str">
        <v>SHACKELFORD MACHINE</v>
      </c>
    </row>
    <row r="148" spans="7:9">
      <c r="G148">
        <v>45505</v>
      </c>
      <c r="I148" t="str">
        <v>SHIELD INDUSTRIES INC.</v>
      </c>
    </row>
    <row r="149" spans="7:9">
      <c r="G149">
        <v>74111</v>
      </c>
      <c r="I149" t="str">
        <v>SHUTTLE AEROSPACE, INC.</v>
      </c>
    </row>
    <row r="150" spans="7:9">
      <c r="G150">
        <v>74901</v>
      </c>
      <c r="I150" t="str">
        <v>SIMON J MACHINE TOOL LLC</v>
      </c>
    </row>
    <row r="151" spans="7:9">
      <c r="G151">
        <v>75712</v>
      </c>
      <c r="I151" t="str">
        <v>SINCLAIR &amp; SONS CUSTOM WELDING &amp; MACH.</v>
      </c>
    </row>
    <row r="152" spans="7:9">
      <c r="G152">
        <v>76309</v>
      </c>
      <c r="I152" t="str">
        <v>STRAIGHTLINE HDD</v>
      </c>
    </row>
    <row r="153" spans="7:9">
      <c r="G153">
        <v>78502</v>
      </c>
      <c r="I153" t="str">
        <v>SULLIVAN PRECISION METAL FINISHING</v>
      </c>
    </row>
    <row r="154" spans="7:9">
      <c r="G154">
        <v>80728</v>
      </c>
      <c r="I154" t="str">
        <v>SUNSHINE METALS, INC.</v>
      </c>
    </row>
    <row r="155" spans="7:9">
      <c r="G155">
        <v>81278</v>
      </c>
      <c r="I155" t="str">
        <v>SUPPLY TECHNOLOGIES LLC</v>
      </c>
    </row>
    <row r="156" spans="7:9">
      <c r="G156">
        <v>86086</v>
      </c>
      <c r="I156" t="str">
        <v>TAKAKO AMERICA CO., INC</v>
      </c>
    </row>
    <row r="157" spans="7:9">
      <c r="G157">
        <v>99188</v>
      </c>
      <c r="I157" t="str">
        <v>TECT - PARK CITY</v>
      </c>
    </row>
    <row r="158" spans="7:9">
      <c r="G158">
        <v>99242</v>
      </c>
      <c r="I158" t="str">
        <v>TECT AEROSPACE WELLINGTON</v>
      </c>
    </row>
    <row r="159" spans="7:9">
      <c r="G159">
        <v>124528</v>
      </c>
      <c r="I159" t="str">
        <v>TEXTRON AVIATION INC.</v>
      </c>
    </row>
    <row r="160" spans="7:9">
      <c r="G160">
        <v>160648</v>
      </c>
      <c r="I160" t="str">
        <v>THE BRADBURY COMPANY</v>
      </c>
    </row>
    <row r="161" spans="7:9">
      <c r="G161">
        <v>165185</v>
      </c>
      <c r="I161" t="str">
        <v>THYSSENKRUPP AEROSPACE - TMX</v>
      </c>
    </row>
    <row r="162" spans="7:9">
      <c r="G162">
        <v>165186</v>
      </c>
      <c r="I162" t="str">
        <v>TRAN AEROSPACE</v>
      </c>
    </row>
    <row r="163" spans="7:9">
      <c r="G163">
        <v>165279</v>
      </c>
      <c r="I163" t="str">
        <v>TRINITY PRECISION INC.</v>
      </c>
    </row>
    <row r="164" spans="7:9">
      <c r="G164">
        <v>174505</v>
      </c>
      <c r="I164" t="str">
        <v>TURBOCHARGER SOLUTIONS</v>
      </c>
    </row>
    <row r="165" spans="7:9">
      <c r="G165">
        <v>175446</v>
      </c>
      <c r="I165" t="str">
        <v>TW METALS, LLC - KANSAS DIVISION</v>
      </c>
    </row>
    <row r="166" spans="7:9">
      <c r="G166">
        <v>181576</v>
      </c>
      <c r="I166" t="str">
        <v>UNITED MACHINE COMPANY</v>
      </c>
    </row>
    <row r="167" spans="7:9">
      <c r="G167">
        <v>181584</v>
      </c>
      <c r="I167" t="str">
        <v>VANAM TOOL &amp; ENGINEERING</v>
      </c>
    </row>
    <row r="168" spans="7:9">
      <c r="G168">
        <v>181595</v>
      </c>
      <c r="I168" t="str">
        <v>WALDEN'S MACHINE, LLC</v>
      </c>
    </row>
    <row r="169" spans="7:9">
      <c r="G169">
        <v>181596</v>
      </c>
      <c r="I169" t="str">
        <v>WESCON CONTROLS</v>
      </c>
    </row>
    <row r="170" spans="7:9">
      <c r="G170">
        <v>181597</v>
      </c>
      <c r="I170" t="str">
        <v>WICHITA AEROSPACE SPARES, INC.</v>
      </c>
    </row>
    <row r="171" spans="7:9">
      <c r="G171">
        <v>181613</v>
      </c>
      <c r="I171" t="str">
        <v>WICHITA MACHINE PRODUCTS</v>
      </c>
    </row>
    <row r="172" spans="7:9">
      <c r="G172">
        <v>185637</v>
      </c>
      <c r="I172" t="str">
        <v>WILDE TOOL CO., INC.</v>
      </c>
    </row>
    <row r="173" spans="7:9">
      <c r="G173">
        <v>185674</v>
      </c>
      <c r="I173" t="str">
        <v>ZYXAXIS INC.</v>
      </c>
    </row>
    <row r="174" spans="7:9">
      <c r="G174">
        <v>185707</v>
      </c>
    </row>
    <row r="175" spans="7:9">
      <c r="G175">
        <v>185708</v>
      </c>
    </row>
    <row r="176" spans="7:9">
      <c r="G176">
        <v>191641</v>
      </c>
    </row>
    <row r="177" spans="7:7">
      <c r="G177">
        <v>191664</v>
      </c>
    </row>
    <row r="178" spans="7:7">
      <c r="G178">
        <v>195949</v>
      </c>
    </row>
    <row r="179" spans="7:7">
      <c r="G179">
        <v>216238</v>
      </c>
    </row>
    <row r="180" spans="7:7">
      <c r="G180">
        <v>216239</v>
      </c>
    </row>
    <row r="181" spans="7:7">
      <c r="G181">
        <v>221854</v>
      </c>
    </row>
    <row r="182" spans="7:7">
      <c r="G182">
        <v>231889</v>
      </c>
    </row>
    <row r="183" spans="7:7">
      <c r="G183">
        <v>271550</v>
      </c>
    </row>
    <row r="184" spans="7:7">
      <c r="G184">
        <v>671121</v>
      </c>
    </row>
    <row r="185" spans="7:7">
      <c r="G185">
        <v>931071</v>
      </c>
    </row>
    <row r="186" spans="7:7">
      <c r="G186">
        <v>961704</v>
      </c>
    </row>
    <row r="187" spans="7:7">
      <c r="G187">
        <v>971755</v>
      </c>
    </row>
    <row r="188" spans="7:7">
      <c r="G188">
        <v>992144</v>
      </c>
    </row>
    <row r="189" spans="7:7">
      <c r="G189">
        <v>2111719</v>
      </c>
    </row>
    <row r="190" spans="7:7">
      <c r="G190">
        <v>2131838</v>
      </c>
    </row>
    <row r="191" spans="7:7">
      <c r="G191">
        <v>2192283</v>
      </c>
    </row>
    <row r="192" spans="7:7">
      <c r="G192">
        <v>2192284</v>
      </c>
    </row>
    <row r="193" spans="7:7">
      <c r="G193">
        <v>2192285</v>
      </c>
    </row>
    <row r="194" spans="7:7">
      <c r="G194">
        <v>2192286</v>
      </c>
    </row>
    <row r="195" spans="7:7">
      <c r="G195">
        <v>9120251</v>
      </c>
    </row>
    <row r="196" spans="7:7">
      <c r="G196">
        <v>30061037</v>
      </c>
    </row>
    <row r="197" spans="7:7">
      <c r="G197">
        <v>60413007</v>
      </c>
    </row>
    <row r="198" spans="7:7">
      <c r="G198">
        <v>92418012</v>
      </c>
    </row>
    <row r="199" spans="7:7">
      <c r="G199">
        <v>94019101</v>
      </c>
    </row>
    <row r="200" spans="7:7">
      <c r="G200">
        <v>94265110</v>
      </c>
    </row>
    <row r="201" spans="7:7">
      <c r="G201">
        <v>94282110</v>
      </c>
    </row>
    <row r="202" spans="7:7">
      <c r="G202">
        <v>97325508</v>
      </c>
    </row>
    <row r="203" spans="7:7">
      <c r="G203">
        <v>97351607</v>
      </c>
    </row>
    <row r="204" spans="7:7">
      <c r="G204">
        <v>97352503</v>
      </c>
    </row>
    <row r="205" spans="7:7">
      <c r="G205">
        <v>97383408</v>
      </c>
    </row>
    <row r="206" spans="7:7">
      <c r="G206">
        <v>97394803</v>
      </c>
    </row>
    <row r="207" spans="7:7">
      <c r="G207">
        <v>97487903</v>
      </c>
    </row>
    <row r="208" spans="7:7">
      <c r="G208">
        <v>20050401004</v>
      </c>
    </row>
    <row r="209" spans="7:7">
      <c r="G209" t="str">
        <v>0001664</v>
      </c>
    </row>
    <row r="210" spans="7:7">
      <c r="G210" t="str">
        <v>0001671</v>
      </c>
    </row>
    <row r="211" spans="7:7">
      <c r="G211" t="str">
        <v>0063302</v>
      </c>
    </row>
    <row r="212" spans="7:7">
      <c r="G212" t="str">
        <v>0080302</v>
      </c>
    </row>
    <row r="213" spans="7:7">
      <c r="G213" t="str">
        <v>01351</v>
      </c>
    </row>
    <row r="214" spans="7:7">
      <c r="G214" t="str">
        <v>01367</v>
      </c>
    </row>
    <row r="215" spans="7:7">
      <c r="G215" t="str">
        <v>018</v>
      </c>
    </row>
    <row r="216" spans="7:7">
      <c r="G216" t="str">
        <v>01981404</v>
      </c>
    </row>
    <row r="217" spans="7:7">
      <c r="G217" t="str">
        <v>020901</v>
      </c>
    </row>
    <row r="218" spans="7:7">
      <c r="G218" t="str">
        <v>022697</v>
      </c>
    </row>
    <row r="219" spans="7:7">
      <c r="G219" t="str">
        <v>03448</v>
      </c>
    </row>
    <row r="220" spans="7:7">
      <c r="G220" t="str">
        <v>03753</v>
      </c>
    </row>
    <row r="221" spans="7:7">
      <c r="G221" t="str">
        <v>0420</v>
      </c>
    </row>
    <row r="222" spans="7:7">
      <c r="G222" t="str">
        <v>05523</v>
      </c>
    </row>
    <row r="223" spans="7:7">
      <c r="G223" t="str">
        <v>063284</v>
      </c>
    </row>
    <row r="224" spans="7:7">
      <c r="G224" t="str">
        <v>06611</v>
      </c>
    </row>
    <row r="225" spans="7:7">
      <c r="G225" t="str">
        <v>06616</v>
      </c>
    </row>
    <row r="226" spans="7:7">
      <c r="G226" t="str">
        <v>0693</v>
      </c>
    </row>
    <row r="227" spans="7:7">
      <c r="G227" t="str">
        <v>07664</v>
      </c>
    </row>
    <row r="228" spans="7:7">
      <c r="G228" t="str">
        <v>07677</v>
      </c>
    </row>
    <row r="229" spans="7:7">
      <c r="G229" t="str">
        <v>07731</v>
      </c>
    </row>
    <row r="230" spans="7:7">
      <c r="G230" t="str">
        <v>083654</v>
      </c>
    </row>
    <row r="231" spans="7:7">
      <c r="G231" t="str">
        <v>083656</v>
      </c>
    </row>
    <row r="232" spans="7:7">
      <c r="G232" t="str">
        <v>083657</v>
      </c>
    </row>
    <row r="233" spans="7:7">
      <c r="G233" t="str">
        <v>083751</v>
      </c>
    </row>
    <row r="234" spans="7:7">
      <c r="G234" t="str">
        <v>083752</v>
      </c>
    </row>
    <row r="235" spans="7:7">
      <c r="G235" t="str">
        <v>083754</v>
      </c>
    </row>
    <row r="236" spans="7:7">
      <c r="G236" t="str">
        <v>08801</v>
      </c>
    </row>
    <row r="237" spans="7:7">
      <c r="G237" t="str">
        <v>08815</v>
      </c>
    </row>
    <row r="238" spans="7:7">
      <c r="G238" t="str">
        <v>09834</v>
      </c>
    </row>
    <row r="239" spans="7:7">
      <c r="G239" t="str">
        <v>09853</v>
      </c>
    </row>
    <row r="240" spans="7:7">
      <c r="G240" t="str">
        <v>12-50082</v>
      </c>
    </row>
    <row r="241" spans="7:7">
      <c r="G241" t="str">
        <v>12-50130</v>
      </c>
    </row>
    <row r="242" spans="7:7">
      <c r="G242" t="str">
        <v>23-0100</v>
      </c>
    </row>
    <row r="243" spans="7:7">
      <c r="G243" t="str">
        <v>34197R</v>
      </c>
    </row>
    <row r="244" spans="7:7">
      <c r="G244" t="str">
        <v>344R</v>
      </c>
    </row>
    <row r="245" spans="7:7">
      <c r="G245" t="str">
        <v>3JR-4058</v>
      </c>
    </row>
    <row r="246" spans="7:7">
      <c r="G246" t="str">
        <v>3JR52</v>
      </c>
    </row>
    <row r="247" spans="7:7">
      <c r="G247" t="str">
        <v>3JR-7342</v>
      </c>
    </row>
    <row r="248" spans="7:7">
      <c r="G248" t="str">
        <v>3JR-97</v>
      </c>
    </row>
    <row r="249" spans="7:7">
      <c r="G249" t="str">
        <v>3JS-898</v>
      </c>
    </row>
    <row r="250" spans="7:7">
      <c r="G250" t="str">
        <v>3JSBB1416</v>
      </c>
    </row>
    <row r="251" spans="7:7">
      <c r="G251" t="str">
        <v>3PR2710</v>
      </c>
    </row>
    <row r="252" spans="7:7">
      <c r="G252" t="str">
        <v>3R1990</v>
      </c>
    </row>
    <row r="253" spans="7:7">
      <c r="G253" t="str">
        <v>40-100177</v>
      </c>
    </row>
    <row r="254" spans="7:7">
      <c r="G254" t="str">
        <v>40-100179   800007252</v>
      </c>
    </row>
    <row r="255" spans="7:7">
      <c r="G255" t="str">
        <v>40-100195</v>
      </c>
    </row>
    <row r="256" spans="7:7">
      <c r="G256" t="str">
        <v>4JR302</v>
      </c>
    </row>
    <row r="257" spans="7:7">
      <c r="G257" t="str">
        <v>4JR-3307</v>
      </c>
    </row>
    <row r="258" spans="7:7">
      <c r="G258" t="str">
        <v>4JR-3952</v>
      </c>
    </row>
    <row r="259" spans="7:7">
      <c r="G259" t="str">
        <v>4JR-4067</v>
      </c>
    </row>
    <row r="260" spans="7:7">
      <c r="G260" t="str">
        <v>4JR-4171</v>
      </c>
    </row>
    <row r="261" spans="7:7">
      <c r="G261" t="str">
        <v>4JR-4491</v>
      </c>
    </row>
    <row r="262" spans="7:7">
      <c r="G262" t="str">
        <v>4JR4833</v>
      </c>
    </row>
    <row r="263" spans="7:7">
      <c r="G263" t="str">
        <v>4JR634</v>
      </c>
    </row>
    <row r="264" spans="7:7">
      <c r="G264" t="str">
        <v>4JSBB-578</v>
      </c>
    </row>
    <row r="265" spans="7:7">
      <c r="G265" t="str">
        <v>574T-10-242149</v>
      </c>
    </row>
    <row r="266" spans="7:7">
      <c r="G266" t="str">
        <v>65074 (10031817)</v>
      </c>
    </row>
    <row r="267" spans="7:7">
      <c r="G267" t="str">
        <v>6633/41-7684</v>
      </c>
    </row>
    <row r="268" spans="7:7">
      <c r="G268" t="str">
        <v>6844/6668</v>
      </c>
    </row>
    <row r="269" spans="7:7">
      <c r="G269" t="str">
        <v>7678/7690</v>
      </c>
    </row>
    <row r="270" spans="7:7">
      <c r="G270" t="str">
        <v>81349 IV</v>
      </c>
    </row>
    <row r="271" spans="7:7">
      <c r="G271" t="str">
        <v>81D185</v>
      </c>
    </row>
    <row r="272" spans="7:7">
      <c r="G272" t="str">
        <v>9391/9392</v>
      </c>
    </row>
    <row r="273" spans="7:7">
      <c r="G273" t="str">
        <v>97352503  LSM-5-053</v>
      </c>
    </row>
    <row r="274" spans="7:7">
      <c r="G274" t="str">
        <v>A130701090</v>
      </c>
    </row>
    <row r="275" spans="7:7">
      <c r="G275" t="str">
        <v>BBC1835</v>
      </c>
    </row>
    <row r="276" spans="7:7">
      <c r="G276" t="str">
        <v>C2642</v>
      </c>
    </row>
    <row r="277" spans="7:7">
      <c r="G277" t="str">
        <v>C2643</v>
      </c>
    </row>
    <row r="278" spans="7:7">
      <c r="G278" t="str">
        <v>C2946</v>
      </c>
    </row>
    <row r="279" spans="7:7">
      <c r="G279" t="str">
        <v>C2995</v>
      </c>
    </row>
    <row r="280" spans="7:7">
      <c r="G280" t="str">
        <v>C3083</v>
      </c>
    </row>
    <row r="281" spans="7:7">
      <c r="G281" t="str">
        <v>C770</v>
      </c>
    </row>
    <row r="282" spans="7:7">
      <c r="G282" t="str">
        <v>CR 16390</v>
      </c>
    </row>
    <row r="283" spans="7:7">
      <c r="G283" t="str">
        <v>CR 9939</v>
      </c>
    </row>
    <row r="284" spans="7:7">
      <c r="G284" t="str">
        <v>CR0066</v>
      </c>
    </row>
    <row r="285" spans="7:7">
      <c r="G285" t="str">
        <v>CR0182</v>
      </c>
    </row>
    <row r="286" spans="7:7">
      <c r="G286" t="str">
        <v>CR0184</v>
      </c>
    </row>
    <row r="287" spans="7:7">
      <c r="G287" t="str">
        <v>CR0205</v>
      </c>
    </row>
    <row r="288" spans="7:7">
      <c r="G288" t="str">
        <v>CR04137</v>
      </c>
    </row>
    <row r="289" spans="7:7">
      <c r="G289" t="str">
        <v>CR-08204</v>
      </c>
    </row>
    <row r="290" spans="7:7">
      <c r="G290" t="str">
        <v>CR13312</v>
      </c>
    </row>
    <row r="291" spans="7:7">
      <c r="G291" t="str">
        <v>CR17401</v>
      </c>
    </row>
    <row r="292" spans="7:7">
      <c r="G292" t="str">
        <v>CR18439</v>
      </c>
    </row>
    <row r="293" spans="7:7">
      <c r="G293" t="str">
        <v>CR21530 W-CPI-7003</v>
      </c>
    </row>
    <row r="294" spans="7:7">
      <c r="G294" t="str">
        <v>CR21545 W-CPI-1600</v>
      </c>
    </row>
    <row r="295" spans="7:7">
      <c r="G295" t="str">
        <v>CR24614</v>
      </c>
    </row>
    <row r="296" spans="7:7">
      <c r="G296" t="str">
        <v>DC7894</v>
      </c>
    </row>
    <row r="297" spans="7:7">
      <c r="G297" t="str">
        <v>DN103</v>
      </c>
    </row>
    <row r="298" spans="7:7">
      <c r="G298" t="str">
        <v>DN597</v>
      </c>
    </row>
    <row r="299" spans="7:7">
      <c r="G299" t="str">
        <v>FW-M-0430</v>
      </c>
    </row>
    <row r="300" spans="7:7">
      <c r="G300" t="str">
        <v>FW-M-0539</v>
      </c>
    </row>
    <row r="301" spans="7:7">
      <c r="G301" t="str">
        <v>HT-0264</v>
      </c>
    </row>
    <row r="302" spans="7:7">
      <c r="G302" t="str">
        <v>HTC-001</v>
      </c>
    </row>
    <row r="303" spans="7:7">
      <c r="G303" t="str">
        <v>J15-4-40</v>
      </c>
    </row>
    <row r="304" spans="7:7">
      <c r="G304" t="str">
        <v>KMC-61</v>
      </c>
    </row>
    <row r="305" spans="7:7">
      <c r="G305" t="str">
        <v>L-10042A</v>
      </c>
    </row>
    <row r="306" spans="7:7">
      <c r="G306" t="str">
        <v>PH41010270037</v>
      </c>
    </row>
    <row r="307" spans="7:7">
      <c r="G307" t="str">
        <v>PMI-0438</v>
      </c>
    </row>
    <row r="308" spans="7:7">
      <c r="G308" t="str">
        <v>R1317</v>
      </c>
    </row>
    <row r="309" spans="7:7">
      <c r="G309" t="str">
        <v>R2000P1541</v>
      </c>
    </row>
    <row r="310" spans="7:7">
      <c r="G310" t="str">
        <v>R2000P9932</v>
      </c>
    </row>
    <row r="311" spans="7:7">
      <c r="G311" t="str">
        <v>R2K0001</v>
      </c>
    </row>
    <row r="312" spans="7:7">
      <c r="G312" t="str">
        <v>R2K-0099</v>
      </c>
    </row>
    <row r="313" spans="7:7">
      <c r="G313" t="str">
        <v>R2K-0152</v>
      </c>
    </row>
    <row r="314" spans="7:7">
      <c r="G314" t="str">
        <v>R500AQ3466</v>
      </c>
    </row>
    <row r="315" spans="7:7">
      <c r="G315" t="str">
        <v>R500DQ8062</v>
      </c>
    </row>
    <row r="316" spans="7:7">
      <c r="G316" t="str">
        <v>R574-00-0580</v>
      </c>
    </row>
    <row r="317" spans="7:7">
      <c r="G317" t="str">
        <v>R574-00-1246</v>
      </c>
    </row>
    <row r="318" spans="7:7">
      <c r="G318" t="str">
        <v>R574-00-1650</v>
      </c>
    </row>
    <row r="319" spans="7:7">
      <c r="G319" t="str">
        <v>S909701</v>
      </c>
    </row>
    <row r="320" spans="7:7">
      <c r="G320" t="str">
        <v>SEK011</v>
      </c>
    </row>
    <row r="321" spans="7:7">
      <c r="G321" t="str">
        <v>SEK050</v>
      </c>
    </row>
    <row r="322" spans="7:7">
      <c r="G322" t="str">
        <v>SEK060</v>
      </c>
    </row>
    <row r="323" spans="7:7">
      <c r="G323" t="str">
        <v>SEK1515</v>
      </c>
    </row>
    <row r="324" spans="7:7">
      <c r="G324" t="str">
        <v>SRA700</v>
      </c>
    </row>
    <row r="325" spans="7:7">
      <c r="G325" t="str">
        <v>TBD2</v>
      </c>
    </row>
    <row r="326" spans="7:7">
      <c r="G326" t="str">
        <v>TBD3</v>
      </c>
    </row>
    <row r="327" spans="7:7">
      <c r="G327" t="str">
        <v>W2K-0059</v>
      </c>
    </row>
    <row r="328" spans="7:7">
      <c r="G328" t="str">
        <v>W2K-0190</v>
      </c>
    </row>
    <row r="329" spans="7:7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 t="s">
        <v>65</v>
      </c>
      <c r="S3" t="s">
        <v>173</v>
      </c>
      <c r="T3" t="s">
        <v>174</v>
      </c>
      <c r="U3" t="s">
        <v>171</v>
      </c>
      <c r="W3" t="s">
        <v>65</v>
      </c>
      <c r="X3" t="s">
        <v>173</v>
      </c>
      <c r="Y3" t="s">
        <v>174</v>
      </c>
      <c r="Z3" t="s">
        <v>171</v>
      </c>
      <c r="AB3" t="s">
        <v>65</v>
      </c>
      <c r="AC3" t="s">
        <v>173</v>
      </c>
      <c r="AD3" t="s">
        <v>174</v>
      </c>
      <c r="AE3" t="s">
        <v>171</v>
      </c>
    </row>
    <row r="4" spans="1:31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  <c r="R4" t="s">
        <v>182</v>
      </c>
      <c r="S4">
        <v>0.31</v>
      </c>
      <c r="T4">
        <v>0</v>
      </c>
      <c r="U4" t="s">
        <v>181</v>
      </c>
      <c r="W4" t="s">
        <v>182</v>
      </c>
      <c r="X4">
        <v>0.32</v>
      </c>
      <c r="Y4">
        <v>0</v>
      </c>
      <c r="Z4" t="s">
        <v>181</v>
      </c>
      <c r="AB4" t="s">
        <v>182</v>
      </c>
      <c r="AC4">
        <v>0.2</v>
      </c>
      <c r="AD4">
        <v>0</v>
      </c>
      <c r="AE4" t="s">
        <v>181</v>
      </c>
    </row>
    <row r="5" spans="1:31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  <c r="R5" t="s">
        <v>186</v>
      </c>
      <c r="S5">
        <v>0.36</v>
      </c>
      <c r="T5">
        <v>0</v>
      </c>
      <c r="U5" t="s">
        <v>181</v>
      </c>
      <c r="W5" t="s">
        <v>186</v>
      </c>
      <c r="X5">
        <v>0.26</v>
      </c>
      <c r="Y5">
        <v>0</v>
      </c>
      <c r="Z5" t="s">
        <v>181</v>
      </c>
      <c r="AB5" t="s">
        <v>186</v>
      </c>
      <c r="AC5">
        <v>0.39</v>
      </c>
      <c r="AD5">
        <v>0</v>
      </c>
      <c r="AE5" t="s">
        <v>181</v>
      </c>
    </row>
    <row r="6" spans="1:31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  <c r="R6" t="s">
        <v>190</v>
      </c>
      <c r="S6">
        <v>0.39</v>
      </c>
      <c r="T6">
        <v>0</v>
      </c>
      <c r="U6" t="s">
        <v>181</v>
      </c>
      <c r="W6" t="s">
        <v>190</v>
      </c>
      <c r="X6">
        <v>0.34</v>
      </c>
      <c r="Y6">
        <v>0</v>
      </c>
      <c r="Z6" t="s">
        <v>181</v>
      </c>
      <c r="AB6" t="s">
        <v>190</v>
      </c>
      <c r="AC6">
        <v>0.32</v>
      </c>
      <c r="AD6">
        <v>0</v>
      </c>
      <c r="AE6" t="s">
        <v>181</v>
      </c>
    </row>
    <row r="7" spans="1:31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  <c r="R7" t="s">
        <v>194</v>
      </c>
      <c r="S7">
        <v>0.39</v>
      </c>
      <c r="T7">
        <v>0</v>
      </c>
      <c r="U7" t="s">
        <v>181</v>
      </c>
      <c r="W7" t="s">
        <v>194</v>
      </c>
      <c r="X7">
        <v>0.49</v>
      </c>
      <c r="Y7">
        <v>0</v>
      </c>
      <c r="Z7" t="s">
        <v>181</v>
      </c>
      <c r="AB7" t="s">
        <v>194</v>
      </c>
      <c r="AC7">
        <v>0.49</v>
      </c>
      <c r="AD7">
        <v>0</v>
      </c>
      <c r="AE7" t="s">
        <v>181</v>
      </c>
    </row>
    <row r="8" spans="1:31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  <c r="R8" t="s">
        <v>198</v>
      </c>
      <c r="S8">
        <v>0.28000000000000003</v>
      </c>
      <c r="T8">
        <v>0</v>
      </c>
      <c r="U8" t="s">
        <v>181</v>
      </c>
      <c r="W8" t="s">
        <v>198</v>
      </c>
      <c r="X8">
        <v>0.47</v>
      </c>
      <c r="Y8">
        <v>0</v>
      </c>
      <c r="Z8" t="s">
        <v>181</v>
      </c>
      <c r="AB8" t="s">
        <v>198</v>
      </c>
      <c r="AC8">
        <v>0.45</v>
      </c>
      <c r="AD8">
        <v>0</v>
      </c>
      <c r="AE8" t="s">
        <v>181</v>
      </c>
    </row>
    <row r="9" spans="1:31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  <c r="R9" t="s">
        <v>202</v>
      </c>
      <c r="S9">
        <v>0.45</v>
      </c>
      <c r="T9">
        <v>0</v>
      </c>
      <c r="U9" t="s">
        <v>181</v>
      </c>
      <c r="W9" t="s">
        <v>205</v>
      </c>
      <c r="X9">
        <v>0.42</v>
      </c>
      <c r="Y9">
        <v>0</v>
      </c>
      <c r="Z9" t="s">
        <v>181</v>
      </c>
      <c r="AB9" t="s">
        <v>202</v>
      </c>
      <c r="AC9">
        <v>0.36</v>
      </c>
      <c r="AD9">
        <v>0</v>
      </c>
      <c r="AE9" t="s">
        <v>181</v>
      </c>
    </row>
    <row r="10" spans="1:31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  <c r="R10" t="s">
        <v>205</v>
      </c>
      <c r="S10">
        <v>0.42</v>
      </c>
      <c r="T10">
        <v>0</v>
      </c>
      <c r="U10" t="s">
        <v>181</v>
      </c>
      <c r="W10" t="s">
        <v>209</v>
      </c>
      <c r="X10">
        <v>0.47</v>
      </c>
      <c r="Y10">
        <v>0</v>
      </c>
      <c r="Z10" t="s">
        <v>181</v>
      </c>
      <c r="AB10" t="s">
        <v>205</v>
      </c>
      <c r="AC10">
        <v>0.51</v>
      </c>
      <c r="AD10">
        <v>0</v>
      </c>
      <c r="AE10" t="s">
        <v>181</v>
      </c>
    </row>
    <row r="11" spans="1:31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  <c r="R11" t="s">
        <v>209</v>
      </c>
      <c r="S11">
        <v>0.3</v>
      </c>
      <c r="T11">
        <v>0</v>
      </c>
      <c r="U11" t="s">
        <v>181</v>
      </c>
      <c r="W11" t="s">
        <v>213</v>
      </c>
      <c r="X11">
        <v>0.25</v>
      </c>
      <c r="Y11">
        <v>0</v>
      </c>
      <c r="Z11" t="s">
        <v>181</v>
      </c>
      <c r="AB11" t="s">
        <v>209</v>
      </c>
      <c r="AC11">
        <v>0.54</v>
      </c>
      <c r="AD11">
        <v>0</v>
      </c>
      <c r="AE11" t="s">
        <v>181</v>
      </c>
    </row>
    <row r="12" spans="1:31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  <c r="R12" t="s">
        <v>213</v>
      </c>
      <c r="S12">
        <v>0.5</v>
      </c>
      <c r="T12">
        <v>0</v>
      </c>
      <c r="U12" t="s">
        <v>181</v>
      </c>
      <c r="W12" t="s">
        <v>217</v>
      </c>
      <c r="X12">
        <v>0.39</v>
      </c>
      <c r="Y12">
        <v>0</v>
      </c>
      <c r="Z12" t="s">
        <v>181</v>
      </c>
      <c r="AB12" t="s">
        <v>213</v>
      </c>
      <c r="AC12">
        <v>0.2</v>
      </c>
      <c r="AD12">
        <v>0</v>
      </c>
      <c r="AE12" t="s">
        <v>181</v>
      </c>
    </row>
    <row r="13" spans="1:31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  <c r="R13" t="s">
        <v>217</v>
      </c>
      <c r="S13">
        <v>0.45</v>
      </c>
      <c r="T13">
        <v>0</v>
      </c>
      <c r="U13" t="s">
        <v>181</v>
      </c>
      <c r="W13" t="s">
        <v>221</v>
      </c>
      <c r="X13">
        <v>0.64</v>
      </c>
      <c r="Y13">
        <v>0</v>
      </c>
      <c r="Z13" t="s">
        <v>181</v>
      </c>
      <c r="AB13" t="s">
        <v>217</v>
      </c>
      <c r="AC13">
        <v>0.31158530446307792</v>
      </c>
      <c r="AD13">
        <v>0</v>
      </c>
      <c r="AE13" t="s">
        <v>181</v>
      </c>
    </row>
    <row r="14" spans="1:31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  <c r="R14" t="s">
        <v>221</v>
      </c>
      <c r="S14">
        <v>0.57999999999999996</v>
      </c>
      <c r="T14">
        <v>0</v>
      </c>
      <c r="U14" t="s">
        <v>181</v>
      </c>
      <c r="W14" t="s">
        <v>225</v>
      </c>
      <c r="X14">
        <v>0.41</v>
      </c>
      <c r="Y14">
        <v>0</v>
      </c>
      <c r="Z14" t="s">
        <v>181</v>
      </c>
      <c r="AB14" t="s">
        <v>221</v>
      </c>
      <c r="AC14">
        <v>0.22</v>
      </c>
      <c r="AD14">
        <v>0</v>
      </c>
      <c r="AE14" t="s">
        <v>181</v>
      </c>
    </row>
    <row r="15" spans="1:31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  <c r="R15" t="s">
        <v>225</v>
      </c>
      <c r="S15">
        <v>0.7</v>
      </c>
      <c r="T15">
        <v>0</v>
      </c>
      <c r="U15" t="s">
        <v>181</v>
      </c>
      <c r="W15" t="s">
        <v>229</v>
      </c>
      <c r="Y15">
        <v>0</v>
      </c>
      <c r="Z15" t="s">
        <v>181</v>
      </c>
      <c r="AB15" t="s">
        <v>225</v>
      </c>
      <c r="AC15">
        <v>0.39</v>
      </c>
      <c r="AD15">
        <v>0</v>
      </c>
      <c r="AE15" t="s">
        <v>181</v>
      </c>
    </row>
    <row r="16" spans="1:31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  <c r="AB16" t="s">
        <v>229</v>
      </c>
      <c r="AD16">
        <v>0</v>
      </c>
      <c r="AE16" t="s">
        <v>181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44" workbookViewId="0">
      <selection activeCell="D66" sqref="D66"/>
    </sheetView>
  </sheetViews>
  <sheetFormatPr defaultRowHeight="1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>
      <c r="A66">
        <v>57298</v>
      </c>
      <c r="B66" t="s">
        <v>895</v>
      </c>
      <c r="C66" t="s">
        <v>889</v>
      </c>
      <c r="D66" s="38" t="s">
        <v>1151</v>
      </c>
      <c r="E66" s="95" t="s">
        <v>1150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>
      <c r="A108">
        <v>57461</v>
      </c>
      <c r="B108" t="s">
        <v>895</v>
      </c>
      <c r="C108" t="s">
        <v>1147</v>
      </c>
      <c r="D108" s="38" t="s">
        <v>1148</v>
      </c>
      <c r="E108" s="95" t="s">
        <v>1149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9"/>
  <sheetViews>
    <sheetView tabSelected="1" workbookViewId="0">
      <selection activeCell="E26" sqref="E26"/>
    </sheetView>
  </sheetViews>
  <sheetFormatPr defaultRowHeight="15"/>
  <cols>
    <col min="1" max="1" width="14.42578125" customWidth="1"/>
    <col min="2" max="2" width="165.5703125" customWidth="1"/>
  </cols>
  <sheetData>
    <row r="1" spans="1:4">
      <c r="A1" t="s">
        <v>1122</v>
      </c>
      <c r="B1" t="s">
        <v>1123</v>
      </c>
      <c r="C1" t="s">
        <v>1124</v>
      </c>
      <c r="D1" t="s">
        <v>1125</v>
      </c>
    </row>
    <row r="2" spans="1:4">
      <c r="A2" s="30">
        <v>42956</v>
      </c>
      <c r="B2" t="s">
        <v>1126</v>
      </c>
      <c r="C2" t="s">
        <v>1127</v>
      </c>
    </row>
    <row r="3" spans="1:4">
      <c r="A3" s="30">
        <v>42965</v>
      </c>
      <c r="B3" t="s">
        <v>1126</v>
      </c>
      <c r="C3" t="s">
        <v>1127</v>
      </c>
    </row>
    <row r="4" spans="1:4">
      <c r="A4" s="30">
        <v>42989</v>
      </c>
      <c r="B4" t="s">
        <v>1126</v>
      </c>
      <c r="C4" t="s">
        <v>1127</v>
      </c>
    </row>
    <row r="5" spans="1:4">
      <c r="A5" s="30">
        <v>42993</v>
      </c>
      <c r="B5" t="s">
        <v>1126</v>
      </c>
      <c r="C5" t="s">
        <v>1127</v>
      </c>
    </row>
    <row r="6" spans="1:4">
      <c r="A6" s="30">
        <v>42996</v>
      </c>
      <c r="B6" t="s">
        <v>1126</v>
      </c>
      <c r="C6" t="s">
        <v>1127</v>
      </c>
    </row>
    <row r="7" spans="1:4">
      <c r="A7" s="30">
        <v>42999</v>
      </c>
      <c r="B7" t="s">
        <v>1126</v>
      </c>
      <c r="C7" t="s">
        <v>1127</v>
      </c>
    </row>
    <row r="8" spans="1:4">
      <c r="A8" s="30">
        <v>43007</v>
      </c>
      <c r="B8" t="s">
        <v>1126</v>
      </c>
      <c r="C8" t="s">
        <v>1127</v>
      </c>
    </row>
    <row r="9" spans="1:4">
      <c r="A9" s="30">
        <v>43644</v>
      </c>
      <c r="B9" t="s">
        <v>1126</v>
      </c>
      <c r="C9" t="s">
        <v>1127</v>
      </c>
    </row>
    <row r="10" spans="1:4">
      <c r="A10" s="30">
        <v>44208</v>
      </c>
      <c r="B10" t="s">
        <v>1126</v>
      </c>
      <c r="C10" t="s">
        <v>1127</v>
      </c>
      <c r="D10" t="s">
        <v>1128</v>
      </c>
    </row>
    <row r="11" spans="1:4">
      <c r="A11" s="30">
        <v>45509</v>
      </c>
      <c r="B11" t="s">
        <v>1129</v>
      </c>
      <c r="C11" t="s">
        <v>1130</v>
      </c>
      <c r="D11" t="s">
        <v>1131</v>
      </c>
    </row>
    <row r="12" spans="1:4">
      <c r="A12" s="30">
        <v>45519</v>
      </c>
      <c r="B12" t="s">
        <v>1132</v>
      </c>
      <c r="C12" t="s">
        <v>1130</v>
      </c>
      <c r="D12" t="s">
        <v>1133</v>
      </c>
    </row>
    <row r="13" spans="1:4">
      <c r="A13" s="30">
        <v>45531</v>
      </c>
      <c r="B13" t="s">
        <v>1134</v>
      </c>
      <c r="C13" t="s">
        <v>1130</v>
      </c>
      <c r="D13" t="s">
        <v>1135</v>
      </c>
    </row>
    <row r="14" spans="1:4">
      <c r="A14" s="30">
        <v>45540</v>
      </c>
      <c r="B14" t="s">
        <v>1136</v>
      </c>
      <c r="C14" t="s">
        <v>1130</v>
      </c>
      <c r="D14" t="s">
        <v>1137</v>
      </c>
    </row>
    <row r="15" spans="1:4">
      <c r="A15" s="30">
        <v>45545</v>
      </c>
      <c r="B15" t="s">
        <v>1138</v>
      </c>
      <c r="C15" t="s">
        <v>1130</v>
      </c>
      <c r="D15" t="s">
        <v>1139</v>
      </c>
    </row>
    <row r="16" spans="1:4">
      <c r="A16" s="30">
        <v>45574</v>
      </c>
      <c r="B16" t="s">
        <v>1140</v>
      </c>
      <c r="C16" t="s">
        <v>1130</v>
      </c>
      <c r="D16" t="s">
        <v>1141</v>
      </c>
    </row>
    <row r="17" spans="1:4">
      <c r="A17" s="30">
        <v>45629</v>
      </c>
      <c r="B17" t="s">
        <v>1142</v>
      </c>
      <c r="C17" t="s">
        <v>1130</v>
      </c>
      <c r="D17" t="s">
        <v>1143</v>
      </c>
    </row>
    <row r="18" spans="1:4">
      <c r="A18" s="30">
        <v>45635</v>
      </c>
      <c r="B18" t="s">
        <v>1144</v>
      </c>
      <c r="C18" t="s">
        <v>1130</v>
      </c>
      <c r="D18" t="s">
        <v>1145</v>
      </c>
    </row>
    <row r="19" spans="1:4">
      <c r="A19" s="30">
        <v>45645</v>
      </c>
      <c r="B19" t="s">
        <v>1155</v>
      </c>
      <c r="C19" t="s">
        <v>1130</v>
      </c>
      <c r="D19" t="s">
        <v>1146</v>
      </c>
    </row>
  </sheetData>
  <sheetProtection algorithmName="SHA-512" hashValue="IOtxBBUpB32x66X5zArNOGkRoV4Mo6Xgpx43URs9c1ICgz0wm39t/NiHeXKZz3oZt2FmgrClNDPl7UduuxQr+w==" saltValue="9iY8IaFZTp2lllAMPbwMeg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234D313-B9DD-487F-B287-E0E6CAE0AD7D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1ed8a9e0-df63-4c43-b0d4-c670c11769ef"/>
    <ds:schemaRef ds:uri="a7c4c7f9-987c-475d-a26a-521e5d0f4dc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2025-01-23T08:09:32Z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