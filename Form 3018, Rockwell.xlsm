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T\"/>
    </mc:Choice>
  </mc:AlternateContent>
  <xr:revisionPtr revIDLastSave="0" documentId="8_{25629A07-7A0E-4E05-9862-F4C69298E06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1" r:id="rId1"/>
    <sheet name="CERT AL" sheetId="2" r:id="rId2"/>
    <sheet name="CERT AF" sheetId="7" r:id="rId3"/>
    <sheet name="Logo Page" sheetId="5" state="hidden" r:id="rId4"/>
    <sheet name="Filter Cert Data" sheetId="29" state="hidden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ERROR" hidden="1" xlm="1">#NAME?</definedName>
    <definedName name="_xleta.N" hidden="1" xlm="1">#NAME?</definedName>
    <definedName name="_xleta.NA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B60" i="2" s="1"/>
  <c r="O46" i="1"/>
  <c r="B60" i="7" s="1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1" i="1" l="1"/>
  <c r="A33" i="29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Q40" i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T40" i="1" l="1"/>
  <c r="Q43" i="1"/>
  <c r="J58" i="29" s="1"/>
  <c r="Q42" i="1"/>
  <c r="T42" i="1" s="1"/>
  <c r="T39" i="1"/>
  <c r="Q36" i="1"/>
  <c r="T36" i="1" s="1"/>
  <c r="T32" i="1"/>
  <c r="Q44" i="1"/>
  <c r="T44" i="1" s="1"/>
  <c r="Q35" i="1"/>
  <c r="T35" i="1" s="1"/>
  <c r="T34" i="1"/>
  <c r="T30" i="1"/>
  <c r="T31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J51" i="29"/>
  <c r="J57" i="29"/>
  <c r="A45" i="2" s="1" a="1"/>
  <c r="A45" i="2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J55" i="29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J53" i="29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J45" i="29"/>
  <c r="J47" i="29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J59" i="29" l="1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used,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<sst xmlns="http://schemas.openxmlformats.org/spreadsheetml/2006/main" count="2543" uniqueCount="1149">
  <si>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</si>
  <si>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</si>
  <si>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</si>
  <si>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</si>
  <si>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</si>
  <si>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</si>
  <si>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</si>
  <si>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</si>
  <si>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</si>
  <si>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</si>
  <si>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</si>
  <si>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</si>
  <si>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</si>
  <si>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</si>
  <si>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</si>
  <si>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</si>
  <si>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</si>
  <si>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</si>
  <si>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</si>
  <si>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</si>
  <si>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</si>
  <si>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</si>
  <si>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</si>
  <si>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</si>
  <si>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</si>
  <si>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</si>
  <si>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</si>
  <si>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</si>
  <si>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</si>
  <si>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</si>
  <si>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</si>
  <si>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</si>
  <si>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</si>
  <si>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</si>
  <si>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</si>
  <si>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</si>
  <si>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</si>
  <si>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</si>
  <si>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</si>
  <si>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</si>
  <si>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</si>
  <si>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</si>
  <si>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</si>
  <si>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</si>
  <si>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</si>
  <si>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</si>
  <si>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</si>
  <si>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</si>
  <si>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</si>
  <si>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</si>
  <si>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</si>
  <si>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</si>
  <si>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</si>
  <si>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</si>
  <si>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</si>
  <si>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</si>
  <si>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</si>
  <si>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</si>
  <si>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</si>
  <si>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</si>
  <si>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</si>
  <si>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</si>
  <si>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</si>
  <si>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</si>
  <si>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</si>
  <si>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</si>
  <si>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</si>
  <si>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</si>
  <si>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</si>
  <si>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</si>
  <si>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</si>
  <si>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</si>
  <si>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</si>
  <si>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</si>
  <si>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</si>
  <si>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</si>
  <si>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</si>
  <si>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</si>
  <si>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</si>
  <si>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</si>
  <si>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</si>
  <si>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</si>
  <si>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</si>
  <si>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</si>
  <si>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</si>
  <si>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</si>
  <si>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</si>
  <si>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</si>
  <si>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</si>
  <si>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</si>
  <si>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</si>
  <si>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</si>
  <si>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</si>
  <si>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</si>
  <si>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</si>
  <si>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</si>
  <si>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</si>
  <si>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</si>
  <si>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</si>
  <si>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</si>
  <si>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</si>
  <si>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</si>
  <si>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</si>
  <si>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</si>
  <si>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</si>
  <si>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</si>
  <si>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</si>
  <si>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</si>
  <si>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</si>
  <si>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</si>
  <si>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</si>
  <si>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</si>
  <si>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</si>
  <si>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</si>
  <si>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</si>
  <si>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</si>
  <si>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</si>
  <si>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</si>
  <si>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</si>
  <si>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</si>
  <si>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</si>
  <si>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</si>
  <si>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</si>
  <si>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</si>
  <si>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</si>
  <si>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</si>
  <si>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</si>
  <si>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</si>
  <si>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</si>
  <si>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</si>
  <si>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</si>
  <si>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</si>
  <si>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</si>
  <si>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</si>
  <si>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</si>
  <si>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</si>
  <si>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</si>
  <si>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</si>
  <si>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</si>
  <si>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</si>
  <si>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</si>
  <si>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</si>
  <si>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</si>
  <si>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</si>
  <si>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</si>
  <si>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</si>
  <si>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</si>
  <si>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</si>
  <si>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</si>
  <si>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</si>
  <si>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</si>
  <si>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</si>
  <si>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</si>
  <si>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</si>
  <si>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</si>
  <si>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</si>
  <si>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</si>
  <si>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</si>
  <si>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</si>
  <si>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</si>
  <si>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</si>
  <si>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</si>
  <si>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</si>
  <si>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filtered Address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</si>
  <si>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</si>
  <si>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</si>
  <si>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</si>
  <si>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</si>
  <si>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</si>
  <si>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</si>
  <si>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</si>
  <si>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</si>
  <si>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</si>
  <si>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</si>
  <si>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</si>
  <si>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</si>
  <si>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</si>
  <si>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</si>
  <si>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</si>
  <si>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</si>
  <si>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</si>
  <si>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</si>
  <si>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</si>
  <si>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</si>
  <si>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</si>
  <si>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</si>
  <si>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</si>
  <si>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</si>
  <si>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</si>
  <si>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</si>
  <si>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</si>
  <si>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</si>
  <si>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</si>
  <si>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</si>
  <si>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</si>
  <si>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</si>
  <si>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</si>
  <si>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</si>
  <si>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</si>
  <si>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</si>
  <si>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</si>
  <si>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</si>
  <si>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</si>
  <si>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</si>
  <si>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</si>
  <si>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</si>
  <si>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</si>
  <si>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</si>
  <si>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</si>
  <si>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</si>
  <si>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</si>
  <si>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</si>
  <si>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</si>
  <si>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</si>
  <si>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</si>
  <si>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</si>
  <si>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</si>
  <si>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</si>
  <si>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</si>
  <si>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</si>
  <si>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</si>
  <si>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</si>
  <si>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</si>
  <si>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</si>
  <si>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</si>
  <si>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</si>
  <si>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</si>
  <si>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</si>
  <si>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</si>
  <si>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</si>
  <si>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</si>
  <si>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</si>
  <si>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</si>
  <si>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</si>
  <si>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</si>
  <si>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</si>
  <si>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</si>
  <si>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</si>
  <si>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</si>
  <si>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</si>
  <si>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</si>
  <si>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</si>
  <si>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</si>
  <si>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</si>
  <si>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</si>
  <si>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</si>
  <si>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</si>
  <si>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</si>
  <si>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</si>
  <si>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</si>
  <si>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</si>
  <si>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</si>
  <si>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</si>
  <si>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</si>
  <si>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</si>
  <si>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</si>
  <si>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</si>
  <si>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</si>
  <si>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</si>
  <si>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</si>
  <si>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</si>
  <si>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</si>
  <si>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</si>
  <si>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</si>
  <si>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</si>
  <si>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</si>
  <si>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</si>
  <si>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</si>
  <si>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</si>
  <si>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</si>
  <si>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</si>
  <si>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</si>
  <si>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</si>
  <si>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</si>
  <si>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</si>
  <si>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</si>
  <si>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</si>
  <si>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</si>
  <si>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</si>
  <si>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</si>
  <si>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</si>
  <si>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</si>
  <si>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</si>
  <si>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</si>
  <si>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</si>
  <si>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</si>
  <si>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</si>
  <si>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</si>
  <si>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</si>
  <si>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</si>
  <si>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</si>
  <si>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</si>
  <si>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</si>
  <si>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</si>
  <si>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</si>
  <si>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</si>
  <si>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</si>
  <si>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</si>
  <si>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</si>
  <si>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</si>
  <si>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</si>
  <si>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</si>
  <si>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</si>
  <si>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</si>
  <si>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</si>
  <si>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</si>
  <si>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</si>
  <si>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</si>
  <si>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</si>
  <si>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</si>
  <si>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</si>
  <si>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</si>
  <si>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</si>
  <si>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</si>
  <si>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</si>
  <si>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</si>
  <si>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</si>
  <si>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</si>
  <si>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</si>
  <si>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</si>
  <si>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</si>
  <si>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</si>
  <si>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</si>
  <si>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</si>
  <si>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</si>
  <si>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</si>
  <si>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</si>
  <si>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</si>
  <si>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</si>
  <si>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</si>
  <si>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</si>
  <si>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</si>
  <si>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</si>
  <si>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</si>
  <si>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</si>
  <si>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</si>
  <si>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</si>
  <si>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</si>
  <si>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</si>
  <si>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</si>
  <si>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</si>
  <si>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</si>
  <si>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</si>
  <si>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</si>
  <si>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</si>
  <si>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</si>
  <si>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</si>
  <si>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</si>
  <si>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</si>
  <si>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</si>
  <si>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</si>
  <si>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</si>
  <si>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</si>
  <si>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</si>
  <si>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</si>
  <si>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</si>
  <si>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</si>
  <si>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</si>
  <si>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</si>
  <si>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</si>
  <si>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</si>
  <si>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</si>
  <si>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</si>
  <si>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</si>
  <si>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</si>
  <si>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</si>
  <si>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</si>
  <si>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</si>
  <si>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</si>
  <si>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</si>
  <si>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</si>
  <si>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</si>
  <si>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</si>
  <si>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</si>
  <si>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</si>
  <si>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</si>
  <si>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</si>
  <si>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</si>
  <si>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</si>
  <si>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</si>
  <si>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</si>
  <si>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</si>
  <si>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</si>
  <si>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</si>
  <si>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</si>
  <si>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</si>
  <si>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</si>
  <si>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</si>
  <si>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</si>
  <si>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</si>
  <si>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</si>
  <si>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</si>
  <si>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</si>
  <si>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</si>
  <si>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</si>
  <si>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</si>
  <si>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</si>
  <si>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</si>
  <si>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</si>
  <si>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</si>
  <si>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</si>
  <si>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</si>
  <si>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</si>
  <si>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</si>
  <si>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</si>
  <si>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</si>
  <si>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</si>
  <si>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</si>
  <si>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</si>
  <si>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</si>
  <si>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</si>
  <si>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</si>
  <si>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</si>
  <si>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</si>
  <si>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</si>
  <si>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</si>
  <si>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</si>
  <si>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</si>
  <si>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</si>
  <si>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</si>
  <si>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</si>
  <si>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</si>
  <si>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</si>
  <si>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</si>
  <si>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</si>
  <si>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</si>
  <si>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</si>
  <si>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</si>
  <si>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</si>
  <si>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</si>
  <si>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</si>
  <si>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</si>
  <si>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</si>
  <si>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</si>
  <si>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</si>
  <si>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</si>
  <si>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</si>
  <si>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</si>
  <si>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</si>
  <si>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</si>
  <si>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</si>
  <si>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</si>
  <si>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</si>
  <si>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</si>
  <si>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</si>
  <si>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</si>
  <si>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</si>
  <si>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</si>
  <si>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</si>
  <si>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</si>
  <si>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</si>
  <si>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</si>
  <si>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</si>
  <si>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</si>
  <si>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</si>
  <si>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</si>
  <si>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</si>
  <si>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</si>
  <si>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</si>
  <si>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</si>
  <si>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</si>
  <si>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</si>
  <si>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</si>
  <si>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</si>
  <si>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</si>
  <si>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</si>
  <si>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</si>
  <si>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</si>
  <si>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</si>
  <si>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</si>
  <si>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</si>
  <si>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</si>
  <si>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</si>
  <si>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</si>
  <si>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</si>
  <si>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</si>
  <si>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</si>
  <si>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</si>
  <si>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</si>
  <si>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</si>
  <si>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</si>
  <si>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</si>
  <si>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</si>
  <si>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</si>
  <si>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</si>
  <si>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</si>
  <si>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</si>
  <si>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</si>
  <si>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</si>
  <si>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</si>
  <si>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</si>
  <si>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</si>
  <si>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</si>
  <si>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</si>
  <si>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</si>
  <si>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</si>
  <si>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</si>
  <si>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</si>
  <si>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</si>
  <si>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</si>
  <si>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</si>
  <si>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</si>
  <si>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</si>
  <si>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</si>
  <si>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</si>
  <si>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</si>
  <si>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</si>
  <si>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</si>
  <si>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</si>
  <si>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</si>
  <si>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</si>
  <si>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</si>
  <si>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</si>
  <si>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</si>
  <si>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</si>
  <si>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</si>
  <si>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</si>
  <si>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</si>
  <si>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</si>
  <si>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</si>
  <si>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</si>
  <si>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</si>
  <si>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</si>
  <si>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</si>
  <si>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</si>
  <si>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</si>
  <si>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</si>
  <si>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</si>
  <si>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</si>
  <si>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</si>
  <si>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</si>
  <si>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</si>
  <si>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</si>
  <si>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</si>
  <si>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</si>
  <si>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</si>
  <si>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</si>
  <si>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</si>
  <si>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</si>
  <si>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</si>
  <si>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</si>
  <si>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</si>
  <si>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</si>
  <si>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</si>
  <si>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</si>
  <si>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</si>
  <si>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</si>
  <si>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</si>
  <si>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</si>
  <si>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</si>
  <si>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</si>
  <si>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</si>
  <si>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</si>
  <si>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</si>
  <si>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</si>
  <si>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</si>
  <si>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</si>
  <si>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</si>
  <si>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</si>
  <si>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</si>
  <si>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</si>
  <si>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</si>
  <si>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</si>
  <si>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</si>
  <si>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</si>
  <si>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</si>
  <si>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</si>
  <si>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</si>
  <si>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</si>
  <si>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</si>
  <si>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</si>
  <si>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</si>
  <si>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</si>
  <si>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</si>
  <si>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</si>
  <si>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</si>
  <si>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</si>
  <si>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</si>
  <si>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</si>
  <si>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</si>
  <si>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</si>
  <si>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</si>
  <si>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</si>
  <si>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</si>
  <si>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</si>
  <si>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</si>
  <si>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</si>
  <si>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</si>
  <si>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</si>
  <si>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</si>
  <si>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</si>
  <si>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</si>
  <si>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</si>
  <si>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</si>
  <si>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</si>
  <si>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</si>
  <si>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</si>
  <si>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</si>
  <si>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</si>
  <si>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</si>
  <si>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</si>
  <si>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</si>
  <si>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</si>
  <si>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</si>
  <si>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</si>
  <si>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</si>
  <si>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</si>
  <si>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</si>
  <si>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</si>
  <si>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</si>
  <si>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</si>
  <si>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</si>
  <si>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</si>
  <si>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</si>
  <si>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</si>
  <si>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</si>
  <si>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</si>
  <si>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</si>
  <si>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</si>
  <si>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</si>
  <si>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</si>
  <si>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</si>
  <si>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</si>
  <si>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</si>
  <si>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</si>
  <si>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</si>
  <si>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</si>
  <si>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</si>
  <si>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</si>
  <si>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</si>
  <si>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</si>
  <si>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</si>
  <si>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</si>
  <si>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</si>
  <si>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</si>
  <si>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</si>
  <si>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</si>
  <si>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</si>
  <si>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</si>
  <si>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</si>
  <si>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</si>
  <si>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</si>
  <si>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</si>
  <si>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</si>
  <si>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</si>
  <si>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</si>
  <si>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</si>
  <si>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</si>
  <si>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</si>
  <si>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</si>
  <si>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</si>
  <si>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</si>
  <si>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</si>
  <si>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</si>
  <si>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</si>
  <si>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</si>
  <si>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</si>
  <si>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</si>
  <si>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</si>
  <si>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</si>
  <si>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</si>
  <si>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</si>
  <si>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</si>
  <si>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</si>
  <si>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</si>
  <si>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</si>
  <si>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</si>
  <si>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</si>
  <si>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</si>
  <si>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</si>
  <si>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</si>
  <si>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</si>
  <si>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</si>
  <si>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</si>
  <si>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</si>
  <si>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</si>
  <si>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</si>
  <si>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</si>
  <si>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</si>
  <si>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</si>
  <si>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</si>
  <si>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</si>
  <si>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</si>
  <si>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</si>
  <si>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</si>
  <si>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</si>
  <si>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</si>
  <si>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</si>
  <si>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</si>
  <si>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</si>
  <si>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</si>
  <si>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</si>
  <si>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</si>
  <si>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</si>
  <si>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</si>
  <si>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</si>
  <si>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</si>
  <si>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</si>
  <si>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</si>
  <si>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</si>
  <si>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</si>
  <si>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</si>
  <si>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</si>
  <si>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</si>
  <si>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</si>
  <si>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</si>
  <si>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</si>
  <si>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</si>
  <si>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</si>
  <si>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</si>
  <si>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</si>
  <si>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</si>
  <si>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</si>
  <si>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</si>
  <si>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</si>
  <si>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</si>
  <si>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</si>
  <si>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</si>
  <si>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</si>
  <si>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</si>
  <si>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</si>
  <si>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</si>
  <si>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</si>
  <si>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</si>
  <si>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</si>
  <si>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</si>
  <si>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</si>
  <si>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</si>
  <si>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</si>
  <si>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</si>
  <si>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</si>
  <si>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</si>
  <si>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</si>
  <si>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</si>
  <si>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</si>
  <si>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</si>
  <si>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</si>
  <si>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</si>
  <si>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</si>
  <si>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</si>
  <si>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</si>
  <si>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</si>
  <si>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</si>
  <si>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</si>
  <si>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</si>
  <si>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</si>
  <si>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</si>
  <si>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</si>
  <si>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</si>
  <si>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</si>
  <si>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</si>
  <si>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</si>
  <si>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</si>
  <si>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</si>
  <si>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</si>
  <si>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</si>
  <si>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</si>
  <si>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</si>
  <si>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</si>
  <si>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</si>
  <si>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</si>
  <si>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</si>
  <si>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</si>
  <si>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</si>
  <si>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</si>
  <si>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</si>
  <si>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</si>
  <si>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</si>
  <si>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</si>
  <si>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</si>
  <si>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</si>
  <si>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</si>
  <si>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</si>
  <si>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</si>
  <si>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</si>
  <si>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</si>
  <si>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</si>
  <si>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</si>
  <si>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</si>
  <si>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</si>
  <si>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</si>
  <si>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</si>
  <si>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</si>
  <si>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</si>
  <si>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</si>
  <si>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</si>
  <si>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</si>
  <si>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</si>
  <si>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</si>
  <si>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</si>
  <si>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</si>
  <si>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</si>
  <si>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</si>
  <si>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</si>
  <si>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</si>
  <si>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</si>
  <si>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</si>
  <si>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</si>
  <si>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</si>
  <si>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</si>
  <si>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</si>
  <si>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</si>
  <si>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</si>
  <si>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</si>
  <si>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</si>
  <si>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</si>
  <si>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</si>
  <si>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</si>
  <si>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</si>
  <si>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</si>
  <si>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</si>
  <si>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</si>
  <si>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</si>
  <si>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</si>
  <si>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</si>
  <si>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</si>
  <si>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</si>
  <si>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</si>
  <si>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</si>
  <si>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</si>
  <si>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</si>
  <si>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</si>
  <si>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</si>
  <si>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</si>
  <si>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</si>
  <si>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</si>
  <si>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</si>
  <si>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</si>
  <si>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</si>
  <si>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</si>
  <si>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</si>
  <si>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</si>
  <si>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</si>
  <si>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</si>
  <si>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</si>
  <si>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</si>
  <si>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</si>
  <si>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</si>
  <si>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</si>
  <si>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</si>
  <si>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</si>
  <si>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</si>
  <si>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</si>
  <si>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</si>
  <si>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</si>
  <si>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</si>
  <si>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</si>
  <si>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</si>
  <si>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</si>
  <si>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</si>
  <si>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</si>
  <si>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</si>
  <si>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</si>
  <si>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</si>
  <si>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</si>
  <si>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</si>
  <si>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</si>
  <si>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</si>
  <si>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</si>
  <si>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</si>
  <si>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</si>
  <si>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</si>
  <si>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</si>
  <si>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</si>
  <si>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</si>
  <si>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</si>
  <si>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</si>
  <si>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</si>
  <si>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</si>
  <si>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</si>
  <si>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</si>
  <si>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</si>
  <si>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</si>
  <si>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</si>
  <si>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</si>
  <si>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</si>
  <si>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</si>
  <si>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</si>
  <si>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</si>
  <si>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</si>
  <si>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</si>
  <si>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</si>
  <si>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</si>
  <si>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</si>
  <si>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</si>
  <si>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</si>
  <si>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</si>
  <si>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</si>
  <si>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</si>
  <si>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</si>
  <si>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</si>
  <si>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</si>
  <si>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</si>
  <si>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</si>
  <si>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</si>
  <si>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</si>
  <si>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</si>
  <si>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</si>
  <si>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</si>
  <si>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</si>
  <si>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</si>
  <si>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</si>
  <si>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</si>
  <si>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</si>
  <si>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</si>
  <si>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</si>
  <si>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</si>
  <si>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</si>
  <si>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</si>
  <si>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</si>
  <si>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</si>
  <si>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</si>
  <si>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</si>
  <si>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</si>
  <si>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</si>
  <si>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</si>
  <si>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</si>
  <si>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</si>
  <si>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</si>
  <si>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</si>
  <si>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</si>
  <si>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</si>
  <si>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</si>
  <si>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</si>
  <si>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</si>
  <si>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</si>
  <si>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</si>
  <si>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</si>
  <si>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</si>
  <si>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</si>
  <si>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</si>
  <si>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</si>
  <si>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</si>
  <si>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</si>
  <si>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</si>
  <si>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</si>
  <si>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</si>
  <si>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</si>
  <si>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</si>
  <si>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</si>
  <si>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</si>
  <si>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</si>
  <si>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</si>
  <si>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</si>
  <si>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</si>
  <si>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</si>
  <si>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</si>
  <si>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</si>
  <si>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</si>
  <si>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</si>
  <si>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</si>
  <si>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</si>
  <si>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</si>
  <si>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</si>
  <si>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</si>
  <si>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</si>
  <si>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</si>
  <si>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</si>
  <si>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</si>
  <si>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</si>
  <si>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</si>
  <si>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</si>
  <si>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</si>
  <si>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</si>
  <si>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</si>
  <si>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</si>
  <si>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</si>
  <si>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</si>
  <si>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</si>
  <si>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</si>
  <si>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</si>
  <si>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</si>
  <si>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</si>
  <si>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</si>
  <si>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</si>
  <si>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</si>
  <si>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</si>
  <si>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</si>
  <si>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</si>
  <si>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</si>
  <si>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</si>
  <si>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</si>
  <si>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</si>
  <si>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</si>
  <si>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</si>
  <si>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</si>
  <si>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</si>
  <si>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</si>
  <si>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</si>
  <si>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</si>
  <si>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</si>
  <si>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</si>
  <si>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</si>
  <si>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</si>
  <si>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</si>
  <si>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</si>
  <si>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</si>
  <si>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</si>
  <si>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</si>
  <si>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</si>
  <si>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</si>
  <si>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</si>
  <si>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</si>
  <si>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</si>
  <si>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</si>
  <si>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</si>
  <si>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</si>
  <si>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</si>
  <si>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</si>
  <si>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</si>
  <si>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</si>
  <si>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</si>
  <si>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</si>
  <si>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</si>
  <si>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</si>
  <si>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</si>
  <si>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</si>
  <si>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</si>
  <si>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</si>
  <si>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</si>
  <si>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</si>
  <si>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</si>
  <si>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</si>
  <si>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</si>
  <si>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</si>
  <si>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</si>
  <si>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</si>
  <si>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</si>
  <si>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</si>
  <si>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</si>
  <si>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</si>
  <si>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</si>
  <si>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</si>
  <si>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</si>
  <si>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</si>
  <si>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</si>
  <si>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</si>
  <si>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</si>
  <si>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</si>
  <si>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</si>
  <si>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</si>
  <si>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</si>
  <si>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</si>
  <si>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</si>
  <si>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</si>
  <si>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</si>
  <si>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</si>
  <si>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</si>
  <si>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</si>
  <si>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</si>
  <si>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</si>
  <si>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</si>
  <si>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</si>
  <si>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</si>
  <si>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</si>
  <si>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</si>
  <si>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</si>
  <si>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</si>
  <si>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</si>
  <si>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</si>
  <si>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</si>
  <si>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</si>
  <si>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</si>
  <si>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</si>
  <si>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</si>
  <si>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</si>
  <si>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</si>
  <si>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</si>
  <si>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</si>
  <si>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</si>
  <si>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</si>
  <si>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</si>
  <si>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</si>
  <si>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</si>
  <si>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</si>
  <si>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</si>
  <si>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</si>
  <si>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</si>
  <si>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</si>
  <si>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</si>
  <si>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</si>
  <si>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</si>
  <si>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</si>
  <si>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</si>
  <si>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</si>
  <si>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</si>
  <si>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</si>
  <si>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</si>
  <si>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</si>
  <si>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</si>
  <si>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</si>
  <si>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</si>
  <si>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</si>
  <si>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</si>
  <si>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</si>
  <si>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</si>
  <si>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</si>
  <si>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</si>
  <si>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</si>
  <si>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</si>
  <si>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</si>
  <si>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</si>
  <si>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</si>
  <si>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</si>
  <si>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</si>
  <si>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</si>
  <si>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</si>
  <si>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</si>
  <si>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</si>
  <si>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</si>
  <si>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</si>
  <si>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</si>
  <si>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</si>
  <si>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</si>
  <si>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</si>
  <si>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</si>
  <si>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</si>
  <si>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</si>
  <si>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</si>
  <si>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</si>
  <si>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</si>
  <si>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</si>
  <si>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</si>
  <si>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</si>
  <si>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</si>
  <si>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</si>
  <si>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</si>
  <si>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</si>
  <si>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</si>
  <si>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</si>
  <si>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</si>
  <si>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</si>
  <si>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</si>
  <si>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</si>
  <si>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</si>
  <si>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</si>
  <si>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</si>
  <si>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</si>
  <si>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</si>
  <si>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</si>
  <si>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</si>
  <si>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</si>
  <si>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Beta</t>
  </si>
  <si>
    <t>Added Data Import button, bug fix for Print Anyway functionality, and set order number as default filename on Save As.</t>
  </si>
  <si>
    <t>R</t>
  </si>
  <si>
    <t>Merged macros from Beta and R using git (the 'ort' Strategy) . Expanded regex (Worksheet!A1) to allow "revisions" in order number (Worksheet!D3). Added uncertainties for HRMW.</t>
  </si>
  <si>
    <t>S</t>
  </si>
  <si>
    <t>Unlocked cell: Worksheet!G3. Restored formulas in Worksheet!B18:B44. Re-implemented A2LA checkbox. Made formatting consistent between AF and AL certs.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</si>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</sst>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'Logo Page'!$C$3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90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98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used,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tabSelected="1" view="pageBreakPreview" zoomScaleNormal="100" zoomScaleSheetLayoutView="100" workbookViewId="0">
      <selection activeCell="P50" sqref="P50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6" t="b" cm="1">
        <f t="array" ref="A1">RegExMatch(D3,"^(56561-)?\d{6}(\.\d{2})?(-\d{2})?(R\d{1,2})?$")</f>
        <v>0</v>
      </c>
      <c r="B1" s="136" t="s">
        <v>0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2" t="s">
        <v>1</v>
      </c>
      <c r="Q1" s="132"/>
      <c r="R1" s="132"/>
      <c r="S1" s="132"/>
      <c r="W1" t="s">
        <v>2</v>
      </c>
    </row>
    <row r="2" spans="1:32" ht="26.25" x14ac:dyDescent="0.4">
      <c r="A2" s="80"/>
      <c r="B2" s="137" t="s">
        <v>3</v>
      </c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79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3"/>
      <c r="E3" s="82"/>
      <c r="F3" s="97" t="s">
        <v>8</v>
      </c>
      <c r="G3" s="99"/>
      <c r="K3" s="4" t="s">
        <v>9</v>
      </c>
      <c r="L3" s="56" t="s">
        <v>10</v>
      </c>
      <c r="N3" s="138"/>
      <c r="O3" s="138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 x14ac:dyDescent="0.25">
      <c r="C4" s="4" t="s">
        <v>13</v>
      </c>
      <c r="D4" s="98"/>
      <c r="E4" s="82"/>
      <c r="F4" s="96" t="s">
        <v>14</v>
      </c>
      <c r="G4" s="99"/>
      <c r="K4" s="100" t="str">
        <f>IFERROR(VLOOKUP($D$4,Table1[],2,FALSE),"")</f>
        <v/>
      </c>
      <c r="L4" s="19"/>
      <c r="N4" s="139"/>
      <c r="O4" s="139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23"/>
    </row>
    <row r="5" spans="1:32" ht="15.75" x14ac:dyDescent="0.25">
      <c r="C5" s="4" t="s">
        <v>17</v>
      </c>
      <c r="D5" s="94"/>
      <c r="E5" s="82"/>
      <c r="F5" s="96" t="s">
        <v>18</v>
      </c>
      <c r="G5" s="99"/>
      <c r="K5" s="100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 x14ac:dyDescent="0.25">
      <c r="C6" s="4" t="s">
        <v>22</v>
      </c>
      <c r="D6" s="95"/>
      <c r="E6" s="82"/>
      <c r="F6" s="96" t="s">
        <v>23</v>
      </c>
      <c r="G6" s="99"/>
      <c r="I6" t="s">
        <v>24</v>
      </c>
      <c r="K6" s="100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 x14ac:dyDescent="0.25">
      <c r="C7" s="4" t="s">
        <v>28</v>
      </c>
      <c r="D7" s="85"/>
      <c r="F7" s="4" t="s">
        <v>29</v>
      </c>
      <c r="G7" s="57"/>
      <c r="I7" s="86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 x14ac:dyDescent="0.25">
      <c r="C8" s="4" t="s">
        <v>33</v>
      </c>
      <c r="D8" s="61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 x14ac:dyDescent="0.25">
      <c r="C9" s="4" t="s">
        <v>37</v>
      </c>
      <c r="D9" s="56"/>
      <c r="H9" t="s">
        <v>38</v>
      </c>
      <c r="J9" s="56"/>
      <c r="M9" s="4" t="s">
        <v>39</v>
      </c>
      <c r="N9" s="60"/>
      <c r="P9" s="64" t="s">
        <v>40</v>
      </c>
      <c r="U9" s="4"/>
    </row>
    <row r="10" spans="1:32" x14ac:dyDescent="0.25">
      <c r="B10" s="127" t="s">
        <v>41</v>
      </c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43</v>
      </c>
      <c r="D11" s="57"/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 x14ac:dyDescent="0.25">
      <c r="B13" s="127" t="s">
        <v>41</v>
      </c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 x14ac:dyDescent="0.25">
      <c r="B16" s="129" t="s">
        <v>52</v>
      </c>
      <c r="C16" s="129"/>
      <c r="D16" s="129" t="s">
        <v>53</v>
      </c>
      <c r="E16" s="129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25"/>
      <c r="T17" s="125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16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 x14ac:dyDescent="0.3">
      <c r="A18" s="4" t="str">
        <f>IFERROR(VLOOKUP(B18,Thresholds[],2,FALSE),"")</f>
        <v/>
      </c>
      <c r="B18" s="119" t="str">
        <f>IF(F$14="","",F$14)</f>
        <v/>
      </c>
      <c r="C18" s="62"/>
      <c r="D18" s="130"/>
      <c r="E18" s="131"/>
      <c r="F18" s="67"/>
      <c r="G18" s="67"/>
      <c r="H18" s="83"/>
      <c r="I18" s="84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19" t="str">
        <f>IF(F$14="","",F$14)</f>
        <v/>
      </c>
      <c r="C19" s="62"/>
      <c r="D19" s="130"/>
      <c r="E19" s="131"/>
      <c r="F19" s="67"/>
      <c r="G19" s="67"/>
      <c r="H19" s="83" t="str">
        <f>IF(AND(C19-C18&lt;5,C19&gt;0),"Too Close","")</f>
        <v/>
      </c>
      <c r="I19" s="84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19" t="str">
        <f>IF(F$14="","",F$14)</f>
        <v/>
      </c>
      <c r="C20" s="62"/>
      <c r="D20" s="130"/>
      <c r="E20" s="131"/>
      <c r="F20" s="67"/>
      <c r="G20" s="67"/>
      <c r="H20" s="83" t="str">
        <f>IF(AND(C20-C19&lt;5,C20&gt;0),"Too Close","")</f>
        <v/>
      </c>
      <c r="I20" s="84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7"/>
      <c r="B21" s="120"/>
      <c r="C21" s="108"/>
      <c r="D21" s="126"/>
      <c r="E21" s="126"/>
      <c r="F21" s="11"/>
      <c r="G21" s="11"/>
      <c r="H21" s="66"/>
      <c r="I21" s="84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19" t="str">
        <f>IF(G$14="","",G$14)</f>
        <v/>
      </c>
      <c r="C22" s="62"/>
      <c r="D22" s="128"/>
      <c r="E22" s="128"/>
      <c r="F22" s="67"/>
      <c r="G22" s="67"/>
      <c r="H22" s="83"/>
      <c r="I22" s="84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19" t="str">
        <f>IF(G$14="","",G$14)</f>
        <v/>
      </c>
      <c r="C23" s="62"/>
      <c r="D23" s="128"/>
      <c r="E23" s="128"/>
      <c r="F23" s="67"/>
      <c r="G23" s="67"/>
      <c r="H23" s="83" t="str">
        <f>IF(AND(C23-C22&lt;5,C23&gt;0),"Too Close","")</f>
        <v/>
      </c>
      <c r="I23" s="84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19" t="str">
        <f>IF(G$14="","",G$14)</f>
        <v/>
      </c>
      <c r="C24" s="62"/>
      <c r="D24" s="128"/>
      <c r="E24" s="128"/>
      <c r="F24" s="67"/>
      <c r="G24" s="67"/>
      <c r="H24" s="83" t="str">
        <f>IF(AND(C24-C23&lt;5,C24&gt;0),"Too Close","")</f>
        <v/>
      </c>
      <c r="I24" s="84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1"/>
      <c r="C25" s="108"/>
      <c r="D25" s="126"/>
      <c r="E25" s="126"/>
      <c r="F25" s="3"/>
      <c r="G25" s="3"/>
      <c r="H25" s="65"/>
      <c r="I25" s="84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19" t="str">
        <f>IF(H$14="","",H$14)</f>
        <v/>
      </c>
      <c r="C26" s="62"/>
      <c r="D26" s="128"/>
      <c r="E26" s="128"/>
      <c r="F26" s="67"/>
      <c r="G26" s="67"/>
      <c r="H26" s="83"/>
      <c r="I26" s="84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19" t="str">
        <f>IF(H$14="","",H$14)</f>
        <v/>
      </c>
      <c r="C27" s="62"/>
      <c r="D27" s="128"/>
      <c r="E27" s="128"/>
      <c r="F27" s="67"/>
      <c r="G27" s="67"/>
      <c r="H27" s="83" t="str">
        <f>IF(AND(C27-C26&lt;5,C27&gt;0),"Too Close","")</f>
        <v/>
      </c>
      <c r="I27" s="84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19" t="str">
        <f>IF(H$14="","",H$14)</f>
        <v/>
      </c>
      <c r="C28" s="62"/>
      <c r="D28" s="128"/>
      <c r="E28" s="128"/>
      <c r="F28" s="67"/>
      <c r="G28" s="67"/>
      <c r="H28" s="83" t="str">
        <f>IF(AND(C28-C27&lt;5,C28&gt;0),"Too Close","")</f>
        <v/>
      </c>
      <c r="I28" s="84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1"/>
      <c r="C29" s="108"/>
      <c r="D29" s="126"/>
      <c r="E29" s="126"/>
      <c r="F29" s="3"/>
      <c r="G29" s="3"/>
      <c r="H29" s="65"/>
      <c r="I29" s="84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19" t="str">
        <f>IF(I$14="","",I$14)</f>
        <v/>
      </c>
      <c r="C30" s="62"/>
      <c r="D30" s="128"/>
      <c r="E30" s="128"/>
      <c r="F30" s="67"/>
      <c r="G30" s="67"/>
      <c r="H30" s="83"/>
      <c r="I30" s="84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19" t="str">
        <f>IF(I$14="","",I$14)</f>
        <v/>
      </c>
      <c r="C31" s="62"/>
      <c r="D31" s="128"/>
      <c r="E31" s="128"/>
      <c r="F31" s="67"/>
      <c r="G31" s="67"/>
      <c r="H31" s="83" t="str">
        <f>IF(AND(C31-C30&lt;5,C31&gt;0),"Too Close","")</f>
        <v/>
      </c>
      <c r="I31" s="84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19" t="str">
        <f>IF(I$14="","",I$14)</f>
        <v/>
      </c>
      <c r="C32" s="62"/>
      <c r="D32" s="128"/>
      <c r="E32" s="128"/>
      <c r="F32" s="67"/>
      <c r="G32" s="67"/>
      <c r="H32" s="83" t="str">
        <f>IF(AND(C32-C31&lt;5,C32&gt;0),"Too Close","")</f>
        <v/>
      </c>
      <c r="I32" s="84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1"/>
      <c r="C33" s="108"/>
      <c r="D33" s="126"/>
      <c r="E33" s="126"/>
      <c r="F33" s="3"/>
      <c r="G33" s="3"/>
      <c r="H33" s="65"/>
      <c r="I33" s="84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19" t="str">
        <f>IF(J$14="","",J$14)</f>
        <v/>
      </c>
      <c r="C34" s="62"/>
      <c r="D34" s="128"/>
      <c r="E34" s="128"/>
      <c r="F34" s="67"/>
      <c r="G34" s="67"/>
      <c r="H34" s="83"/>
      <c r="I34" s="84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19" t="str">
        <f>IF(J$14="","",J$14)</f>
        <v/>
      </c>
      <c r="C35" s="62"/>
      <c r="D35" s="128"/>
      <c r="E35" s="128"/>
      <c r="F35" s="67"/>
      <c r="G35" s="67"/>
      <c r="H35" s="83" t="str">
        <f>IF(AND(C35-C34&lt;5,C35&gt;0),"Too Close","")</f>
        <v/>
      </c>
      <c r="I35" s="84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19" t="str">
        <f>IF(J$14="","",J$14)</f>
        <v/>
      </c>
      <c r="C36" s="62"/>
      <c r="D36" s="128"/>
      <c r="E36" s="128"/>
      <c r="F36" s="67"/>
      <c r="G36" s="67"/>
      <c r="H36" s="83" t="str">
        <f>IF(AND(C36-C35&lt;5,C36&gt;0),"Too Close","")</f>
        <v/>
      </c>
      <c r="I36" s="84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1"/>
      <c r="C37" s="108"/>
      <c r="D37" s="126"/>
      <c r="E37" s="126"/>
      <c r="F37" s="3"/>
      <c r="G37" s="3"/>
      <c r="H37" s="65"/>
      <c r="I37" s="84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19" t="str">
        <f>IF(K$14="","",K$14)</f>
        <v/>
      </c>
      <c r="C38" s="62"/>
      <c r="D38" s="128"/>
      <c r="E38" s="128"/>
      <c r="F38" s="67"/>
      <c r="G38" s="67"/>
      <c r="H38" s="83"/>
      <c r="I38" s="84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19" t="str">
        <f>IF(K$14="","",K$14)</f>
        <v/>
      </c>
      <c r="C39" s="62"/>
      <c r="D39" s="128"/>
      <c r="E39" s="128"/>
      <c r="F39" s="67"/>
      <c r="G39" s="67"/>
      <c r="H39" s="83" t="str">
        <f>IF(AND(C39-C38&lt;5,C39&gt;0),"Too Close","")</f>
        <v/>
      </c>
      <c r="I39" s="84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19" t="str">
        <f>IF(K$14="","",K$14)</f>
        <v/>
      </c>
      <c r="C40" s="62"/>
      <c r="D40" s="128"/>
      <c r="E40" s="128"/>
      <c r="F40" s="67"/>
      <c r="G40" s="67"/>
      <c r="H40" s="83" t="str">
        <f>IF(AND(C40-C39&lt;5,C40&gt;0),"Too Close","")</f>
        <v/>
      </c>
      <c r="I40" s="84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1"/>
      <c r="C41" s="108"/>
      <c r="D41" s="126"/>
      <c r="E41" s="126"/>
      <c r="F41" s="3"/>
      <c r="G41" s="3"/>
      <c r="H41" s="65"/>
      <c r="I41" s="84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19" t="str">
        <f>IF(L$14="","",L$14)</f>
        <v/>
      </c>
      <c r="C42" s="62"/>
      <c r="D42" s="128"/>
      <c r="E42" s="128"/>
      <c r="F42" s="67"/>
      <c r="G42" s="67"/>
      <c r="H42" s="83"/>
      <c r="I42" s="84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19" t="str">
        <f>IF(L$14="","",L$14)</f>
        <v/>
      </c>
      <c r="C43" s="62"/>
      <c r="D43" s="128"/>
      <c r="E43" s="128"/>
      <c r="F43" s="67"/>
      <c r="G43" s="67"/>
      <c r="H43" s="83" t="str">
        <f>IF(AND(C43-C42&lt;5,C43&gt;0),"Too Close","")</f>
        <v/>
      </c>
      <c r="I43" s="84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19" t="str">
        <f>IF(L$14="","",L$14)</f>
        <v/>
      </c>
      <c r="C44" s="62"/>
      <c r="D44" s="128"/>
      <c r="E44" s="128"/>
      <c r="F44" s="67"/>
      <c r="G44" s="67"/>
      <c r="H44" s="83" t="str">
        <f>IF(AND(C44-C43&lt;5,C44&gt;0),"Too Close","")</f>
        <v/>
      </c>
      <c r="I44" s="84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7"/>
      <c r="C45" s="108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107"/>
    </row>
    <row r="46" spans="1:39" ht="16.5" customHeight="1" x14ac:dyDescent="0.25">
      <c r="A46" t="s">
        <v>88</v>
      </c>
      <c r="B46" s="140"/>
      <c r="C46" s="141"/>
      <c r="D46" s="141"/>
      <c r="E46" s="141"/>
      <c r="F46" s="141"/>
      <c r="G46" s="141"/>
      <c r="H46" s="141"/>
      <c r="I46" s="141"/>
      <c r="J46" s="141"/>
      <c r="K46" s="141"/>
      <c r="L46" s="142"/>
      <c r="M46" s="9"/>
      <c r="N46" t="s">
        <v>89</v>
      </c>
      <c r="O46" s="74" t="str">
        <f>IFERROR(VLOOKUP(B46,DropDowns!H13:I14,2,FALSE),"")</f>
        <v/>
      </c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90</v>
      </c>
      <c r="B47" s="133"/>
      <c r="C47" s="134"/>
      <c r="D47" s="134"/>
      <c r="E47" s="134"/>
      <c r="F47" s="134"/>
      <c r="G47" s="134"/>
      <c r="H47" s="134"/>
      <c r="I47" s="134"/>
      <c r="J47" s="134"/>
      <c r="K47" s="134"/>
      <c r="L47" s="135"/>
      <c r="N47" t="s">
        <v>91</v>
      </c>
      <c r="O47" s="74" t="str">
        <f>IFERROR(VLOOKUP(B47,DropDowns!H13:I14,2,FALSE),"")</f>
        <v/>
      </c>
    </row>
    <row r="48" spans="1:39" x14ac:dyDescent="0.25">
      <c r="B48" s="81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selectLockedCells="1"/>
  <protectedRanges>
    <protectedRange sqref="G4:G6" name="address"/>
  </protectedRanges>
  <mergeCells count="39"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ResultsAL</formula1>
    </dataValidation>
    <dataValidation type="list" showInputMessage="1" showErrorMessage="1" sqref="B46:L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topLeftCell="A35" zoomScaleNormal="100" zoomScaleSheetLayoutView="100" workbookViewId="0">
      <selection activeCell="B60" sqref="B60:C60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7" t="s">
        <v>92</v>
      </c>
      <c r="C1" s="137"/>
      <c r="D1" s="137"/>
      <c r="E1" s="137"/>
      <c r="F1" s="137"/>
      <c r="G1" s="137"/>
      <c r="H1" s="137"/>
      <c r="I1" s="137"/>
      <c r="J1" s="137"/>
      <c r="K1" s="137"/>
    </row>
    <row r="2" spans="1:54" ht="18.75" x14ac:dyDescent="0.3">
      <c r="B2" s="143" t="s">
        <v>93</v>
      </c>
      <c r="C2" s="143"/>
      <c r="D2" s="143"/>
      <c r="E2" s="143"/>
      <c r="F2" s="143"/>
      <c r="G2" s="143"/>
      <c r="H2" s="143"/>
      <c r="I2" s="143"/>
      <c r="J2" s="143"/>
      <c r="K2" s="143"/>
      <c r="AG2" s="127"/>
      <c r="AH2" s="127"/>
      <c r="AJ2" s="127"/>
      <c r="AK2" s="127"/>
      <c r="AM2" s="127"/>
      <c r="AN2" s="127"/>
      <c r="AP2" s="127"/>
      <c r="AQ2" s="127"/>
      <c r="AR2" s="18"/>
      <c r="AS2" s="127"/>
      <c r="AT2" s="127"/>
    </row>
    <row r="3" spans="1:54" ht="18.75" x14ac:dyDescent="0.3">
      <c r="B3" s="143" t="s">
        <v>94</v>
      </c>
      <c r="C3" s="143"/>
      <c r="D3" s="143"/>
      <c r="E3" s="143"/>
      <c r="F3" s="143"/>
      <c r="G3" s="143"/>
      <c r="H3" s="143"/>
      <c r="I3" s="143"/>
      <c r="J3" s="143"/>
      <c r="K3" s="143"/>
    </row>
    <row r="4" spans="1:54" ht="23.25" x14ac:dyDescent="0.35">
      <c r="B4" s="71"/>
      <c r="C4" s="72"/>
      <c r="D4" s="146" t="s">
        <v>95</v>
      </c>
      <c r="E4" s="146"/>
      <c r="F4" s="146"/>
      <c r="G4" s="146"/>
      <c r="H4" s="146"/>
      <c r="I4" s="146"/>
      <c r="J4" s="71"/>
      <c r="K4" s="71"/>
    </row>
    <row r="5" spans="1:54" ht="18.75" x14ac:dyDescent="0.3">
      <c r="E5" s="147"/>
      <c r="F5" s="147"/>
      <c r="G5" s="147"/>
      <c r="H5" s="147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96</v>
      </c>
      <c r="B6" s="20" t="str">
        <f>IF(Worksheet!D3="","",Worksheet!D3)</f>
        <v/>
      </c>
      <c r="C6" s="4"/>
      <c r="D6" s="1"/>
      <c r="F6" s="148" t="s">
        <v>97</v>
      </c>
      <c r="G6" s="148"/>
      <c r="J6" t="s">
        <v>98</v>
      </c>
      <c r="BB6" s="4"/>
    </row>
    <row r="7" spans="1:54" ht="15.75" x14ac:dyDescent="0.25">
      <c r="A7" s="1" t="s">
        <v>99</v>
      </c>
      <c r="B7" s="20" t="str">
        <f>IF(Worksheet!D4="","",Worksheet!D4)</f>
        <v/>
      </c>
      <c r="J7" t="s">
        <v>100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101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102</v>
      </c>
      <c r="B12" s="20" t="str">
        <f>IF(Worksheet!D6="","",Worksheet!D6)</f>
        <v/>
      </c>
      <c r="H12" s="1" t="s">
        <v>25</v>
      </c>
      <c r="J12" s="145" t="str">
        <f>IF(Worksheet!N6="","",Worksheet!N6)</f>
        <v/>
      </c>
      <c r="K12" s="145"/>
    </row>
    <row r="13" spans="1:54" ht="15.75" x14ac:dyDescent="0.25">
      <c r="A13" s="1" t="s">
        <v>103</v>
      </c>
      <c r="B13" s="20" t="str">
        <f>IF(Worksheet!D7="","",Worksheet!I7)</f>
        <v/>
      </c>
      <c r="H13" s="1" t="s">
        <v>30</v>
      </c>
      <c r="J13" s="145" t="str">
        <f>IF(Worksheet!N7="","",Worksheet!N7)</f>
        <v/>
      </c>
      <c r="K13" s="145"/>
    </row>
    <row r="14" spans="1:54" ht="15.75" x14ac:dyDescent="0.25">
      <c r="A14" s="1" t="s">
        <v>104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4" t="str">
        <f>IF(Worksheet!N8="","",Worksheet!N8)</f>
        <v/>
      </c>
      <c r="K14" s="154"/>
    </row>
    <row r="15" spans="1:54" ht="15.75" x14ac:dyDescent="0.25">
      <c r="A15" s="1" t="s">
        <v>105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5" t="str">
        <f>IF(Worksheet!N9="","",Worksheet!N9)</f>
        <v/>
      </c>
      <c r="K15" s="155"/>
    </row>
    <row r="16" spans="1:54" x14ac:dyDescent="0.25">
      <c r="A16" s="127" t="s">
        <v>106</v>
      </c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</row>
    <row r="17" spans="1:17" ht="15.75" x14ac:dyDescent="0.25">
      <c r="A17" s="1" t="s">
        <v>107</v>
      </c>
      <c r="C17" s="19" t="str">
        <f>Worksheet!J11</f>
        <v>ASTM E18-24</v>
      </c>
    </row>
    <row r="18" spans="1:17" ht="15.75" x14ac:dyDescent="0.25">
      <c r="A18" s="1" t="s">
        <v>108</v>
      </c>
      <c r="C18" s="19" t="s">
        <v>46</v>
      </c>
      <c r="G18" s="4" t="s">
        <v>109</v>
      </c>
      <c r="H18" s="20" t="s">
        <v>48</v>
      </c>
    </row>
    <row r="19" spans="1:17" x14ac:dyDescent="0.25">
      <c r="A19" s="127" t="s">
        <v>106</v>
      </c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</row>
    <row r="20" spans="1:17" x14ac:dyDescent="0.25">
      <c r="A20" s="112" t="s">
        <v>110</v>
      </c>
      <c r="B20" s="112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111</v>
      </c>
    </row>
    <row r="21" spans="1:17" ht="15.75" x14ac:dyDescent="0.25">
      <c r="A21" s="109" t="str" cm="1">
        <f t="array" ref="A21">_xlfn._xlws.FILTER('Filter Cert Data'!A33:L35,'Filter Cert Data'!A33:A35&lt;&gt;"","")</f>
        <v/>
      </c>
      <c r="B21" s="75"/>
      <c r="C21" s="44"/>
      <c r="D21" s="44"/>
      <c r="E21" s="44"/>
      <c r="F21" s="44"/>
      <c r="G21" s="44"/>
      <c r="H21" s="75"/>
      <c r="I21" s="44"/>
      <c r="J21" s="44"/>
      <c r="K21" s="75"/>
      <c r="L21" s="39"/>
      <c r="N21" s="38"/>
      <c r="P21" s="19"/>
      <c r="Q21" s="19"/>
    </row>
    <row r="22" spans="1:17" ht="15.75" x14ac:dyDescent="0.25">
      <c r="A22" s="110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11"/>
      <c r="B23" s="76"/>
      <c r="C23" s="46"/>
      <c r="D23" s="46"/>
      <c r="E23" s="46"/>
      <c r="F23" s="46"/>
      <c r="G23" s="46"/>
      <c r="H23" s="76"/>
      <c r="I23" s="46"/>
      <c r="J23" s="46"/>
      <c r="K23" s="76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7"/>
      <c r="J24" s="77"/>
      <c r="K24" s="19"/>
    </row>
    <row r="25" spans="1:17" ht="15.75" x14ac:dyDescent="0.25">
      <c r="A25" s="109" t="str" cm="1">
        <f t="array" ref="A25">_xlfn._xlws.FILTER('Filter Cert Data'!A37:L39,'Filter Cert Data'!A37:A39&lt;&gt;"","")</f>
        <v/>
      </c>
      <c r="B25" s="75"/>
      <c r="C25" s="44"/>
      <c r="D25" s="44"/>
      <c r="E25" s="44"/>
      <c r="F25" s="44"/>
      <c r="G25" s="44"/>
      <c r="H25" s="75"/>
      <c r="I25" s="44"/>
      <c r="J25" s="44"/>
      <c r="K25" s="75"/>
      <c r="L25" s="39"/>
      <c r="P25" s="19"/>
    </row>
    <row r="26" spans="1:17" ht="15.75" x14ac:dyDescent="0.25">
      <c r="A26" s="110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11"/>
      <c r="B27" s="76"/>
      <c r="C27" s="46"/>
      <c r="D27" s="46"/>
      <c r="E27" s="46"/>
      <c r="F27" s="46"/>
      <c r="G27" s="46"/>
      <c r="H27" s="76"/>
      <c r="I27" s="46"/>
      <c r="J27" s="46"/>
      <c r="K27" s="76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7"/>
      <c r="J28" s="77"/>
      <c r="K28" s="19"/>
    </row>
    <row r="29" spans="1:17" ht="15.75" x14ac:dyDescent="0.25">
      <c r="A29" s="109" t="str" cm="1">
        <f t="array" ref="A29">_xlfn._xlws.FILTER('Filter Cert Data'!A41:L43,'Filter Cert Data'!A41:A43&lt;&gt;"","")</f>
        <v/>
      </c>
      <c r="B29" s="75"/>
      <c r="C29" s="44"/>
      <c r="D29" s="44"/>
      <c r="E29" s="44"/>
      <c r="F29" s="44"/>
      <c r="G29" s="44"/>
      <c r="H29" s="75"/>
      <c r="I29" s="44"/>
      <c r="J29" s="44"/>
      <c r="K29" s="75"/>
      <c r="L29" s="39"/>
      <c r="P29" s="19"/>
    </row>
    <row r="30" spans="1:17" ht="15.75" x14ac:dyDescent="0.25">
      <c r="A30" s="110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11"/>
      <c r="B31" s="76"/>
      <c r="C31" s="46"/>
      <c r="D31" s="46"/>
      <c r="E31" s="46"/>
      <c r="F31" s="46"/>
      <c r="G31" s="46"/>
      <c r="H31" s="76"/>
      <c r="I31" s="46"/>
      <c r="J31" s="46"/>
      <c r="K31" s="76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7"/>
      <c r="J32" s="77"/>
      <c r="K32" s="19"/>
    </row>
    <row r="33" spans="1:16" ht="15.75" x14ac:dyDescent="0.25">
      <c r="A33" s="109" t="str" cm="1">
        <f t="array" ref="A33">_xlfn._xlws.FILTER('Filter Cert Data'!A45:L47,'Filter Cert Data'!A45:A47&lt;&gt;"","")</f>
        <v/>
      </c>
      <c r="B33" s="75"/>
      <c r="C33" s="44"/>
      <c r="D33" s="44"/>
      <c r="E33" s="44"/>
      <c r="F33" s="44"/>
      <c r="G33" s="44"/>
      <c r="H33" s="75"/>
      <c r="I33" s="44"/>
      <c r="J33" s="44"/>
      <c r="K33" s="75"/>
      <c r="L33" s="39"/>
      <c r="P33" s="19"/>
    </row>
    <row r="34" spans="1:16" ht="15.75" x14ac:dyDescent="0.25">
      <c r="A34" s="110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11"/>
      <c r="B35" s="76"/>
      <c r="C35" s="46"/>
      <c r="D35" s="46"/>
      <c r="E35" s="46"/>
      <c r="F35" s="46"/>
      <c r="G35" s="46"/>
      <c r="H35" s="76"/>
      <c r="I35" s="46"/>
      <c r="J35" s="46"/>
      <c r="K35" s="76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6" ht="15.75" x14ac:dyDescent="0.25">
      <c r="A37" s="109" t="str" cm="1">
        <f t="array" ref="A37">_xlfn._xlws.FILTER('Filter Cert Data'!A49:L51,'Filter Cert Data'!A49:A51&lt;&gt;"","")</f>
        <v/>
      </c>
      <c r="B37" s="75"/>
      <c r="C37" s="44"/>
      <c r="D37" s="44"/>
      <c r="E37" s="44"/>
      <c r="F37" s="44"/>
      <c r="G37" s="44"/>
      <c r="H37" s="75"/>
      <c r="I37" s="44"/>
      <c r="J37" s="44"/>
      <c r="K37" s="75"/>
      <c r="L37" s="39"/>
      <c r="P37" s="19"/>
    </row>
    <row r="38" spans="1:16" ht="15.75" x14ac:dyDescent="0.25">
      <c r="A38" s="110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11"/>
      <c r="B39" s="76"/>
      <c r="C39" s="46"/>
      <c r="D39" s="46"/>
      <c r="E39" s="46"/>
      <c r="F39" s="46"/>
      <c r="G39" s="46"/>
      <c r="H39" s="76"/>
      <c r="I39" s="46"/>
      <c r="J39" s="46"/>
      <c r="K39" s="76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6" ht="15.75" x14ac:dyDescent="0.25">
      <c r="A41" s="109" t="str" cm="1">
        <f t="array" ref="A41">_xlfn._xlws.FILTER('Filter Cert Data'!A53:L55,'Filter Cert Data'!A53:A55&lt;&gt;"","")</f>
        <v/>
      </c>
      <c r="B41" s="75"/>
      <c r="C41" s="44"/>
      <c r="D41" s="44"/>
      <c r="E41" s="44"/>
      <c r="F41" s="44"/>
      <c r="G41" s="44"/>
      <c r="H41" s="75"/>
      <c r="I41" s="44"/>
      <c r="J41" s="44"/>
      <c r="K41" s="75"/>
      <c r="L41" s="39"/>
      <c r="P41" s="19"/>
    </row>
    <row r="42" spans="1:16" ht="15.75" x14ac:dyDescent="0.25">
      <c r="A42" s="110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11"/>
      <c r="B43" s="76"/>
      <c r="C43" s="46"/>
      <c r="D43" s="46"/>
      <c r="E43" s="46"/>
      <c r="F43" s="46"/>
      <c r="G43" s="46"/>
      <c r="H43" s="76"/>
      <c r="I43" s="46"/>
      <c r="J43" s="46"/>
      <c r="K43" s="76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6" ht="15.75" x14ac:dyDescent="0.25">
      <c r="A45" s="109" t="str" cm="1">
        <f t="array" ref="A45">_xlfn._xlws.FILTER('Filter Cert Data'!A57:L59,'Filter Cert Data'!A57:A59&lt;&gt;"","")</f>
        <v/>
      </c>
      <c r="B45" s="75"/>
      <c r="C45" s="44"/>
      <c r="D45" s="44"/>
      <c r="E45" s="44"/>
      <c r="F45" s="44"/>
      <c r="G45" s="44"/>
      <c r="H45" s="75"/>
      <c r="I45" s="44"/>
      <c r="J45" s="44"/>
      <c r="K45" s="75"/>
      <c r="L45" s="39"/>
      <c r="P45" s="19"/>
    </row>
    <row r="46" spans="1:16" ht="15.75" x14ac:dyDescent="0.25">
      <c r="A46" s="110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11"/>
      <c r="B47" s="76"/>
      <c r="C47" s="46"/>
      <c r="D47" s="46"/>
      <c r="E47" s="46"/>
      <c r="F47" s="46"/>
      <c r="G47" s="46"/>
      <c r="H47" s="76"/>
      <c r="I47" s="46"/>
      <c r="J47" s="46"/>
      <c r="K47" s="76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7" t="s">
        <v>106</v>
      </c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27" ht="15.75" x14ac:dyDescent="0.25">
      <c r="A50" t="s">
        <v>112</v>
      </c>
      <c r="C50" s="4" t="s">
        <v>113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114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3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</row>
    <row r="53" spans="1:27" ht="18" customHeight="1" x14ac:dyDescent="0.25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</row>
    <row r="54" spans="1:27" ht="18" customHeight="1" x14ac:dyDescent="0.25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</row>
    <row r="55" spans="1:27" x14ac:dyDescent="0.25">
      <c r="A55" s="127" t="s">
        <v>106</v>
      </c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27" ht="15" customHeight="1" x14ac:dyDescent="0.25">
      <c r="A56" s="78" t="s">
        <v>115</v>
      </c>
      <c r="B56" s="151" t="s">
        <v>116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O56" s="152" t="s">
        <v>116</v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117</v>
      </c>
      <c r="B60" s="144" t="str">
        <f>Worksheet!O47</f>
        <v/>
      </c>
      <c r="C60" s="144"/>
    </row>
    <row r="61" spans="1:27" ht="12" customHeight="1" x14ac:dyDescent="0.25">
      <c r="A61" s="150" t="str">
        <f>IF(Worksheet!D11="YES",'CERT AL'!A120,"")</f>
        <v/>
      </c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</row>
    <row r="62" spans="1:27" ht="12" customHeight="1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</row>
    <row r="63" spans="1:27" x14ac:dyDescent="0.25">
      <c r="A63" s="127" t="s">
        <v>106</v>
      </c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  <c r="M63" s="127"/>
    </row>
    <row r="67" spans="1:16" x14ac:dyDescent="0.25">
      <c r="A67" t="s">
        <v>118</v>
      </c>
    </row>
    <row r="68" spans="1:16" x14ac:dyDescent="0.25">
      <c r="A68" s="149" t="s">
        <v>119</v>
      </c>
      <c r="B68" s="149"/>
      <c r="C68" s="149"/>
      <c r="D68" s="149"/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</row>
    <row r="69" spans="1:16" x14ac:dyDescent="0.25">
      <c r="A69" s="149"/>
      <c r="B69" s="149"/>
      <c r="C69" s="149"/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</row>
    <row r="70" spans="1:16" x14ac:dyDescent="0.25">
      <c r="A70" s="149"/>
      <c r="B70" s="149"/>
      <c r="C70" s="149"/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</row>
    <row r="71" spans="1:16" x14ac:dyDescent="0.25">
      <c r="A71" s="149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</row>
    <row r="72" spans="1:16" x14ac:dyDescent="0.25">
      <c r="A72" s="149"/>
      <c r="B72" s="149"/>
      <c r="C72" s="149"/>
      <c r="D72" s="149"/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</row>
    <row r="73" spans="1:16" x14ac:dyDescent="0.25">
      <c r="A73" s="149"/>
      <c r="B73" s="149"/>
      <c r="C73" s="149"/>
      <c r="D73" s="149"/>
      <c r="E73" s="149"/>
      <c r="F73" s="149"/>
      <c r="G73" s="149"/>
      <c r="H73" s="149"/>
      <c r="I73" s="149"/>
      <c r="J73" s="149"/>
      <c r="K73" s="149"/>
      <c r="L73" s="149"/>
      <c r="M73" s="149"/>
      <c r="N73" s="149"/>
      <c r="O73" s="149"/>
    </row>
    <row r="74" spans="1:16" x14ac:dyDescent="0.25">
      <c r="A74" s="149"/>
      <c r="B74" s="149"/>
      <c r="C74" s="149"/>
      <c r="D74" s="149"/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</row>
    <row r="75" spans="1:16" x14ac:dyDescent="0.25">
      <c r="A75" s="149"/>
      <c r="B75" s="149"/>
      <c r="C75" s="149"/>
      <c r="D75" s="149"/>
      <c r="E75" s="149"/>
      <c r="F75" s="149"/>
      <c r="G75" s="149"/>
      <c r="H75" s="149"/>
      <c r="I75" s="149"/>
      <c r="J75" s="149"/>
      <c r="K75" s="149"/>
      <c r="L75" s="149"/>
      <c r="M75" s="149"/>
      <c r="N75" s="149"/>
      <c r="O75" s="149"/>
    </row>
    <row r="78" spans="1:16" x14ac:dyDescent="0.25">
      <c r="A78" t="s">
        <v>120</v>
      </c>
    </row>
    <row r="79" spans="1:16" ht="15" customHeight="1" x14ac:dyDescent="0.25">
      <c r="A79" s="149" t="s">
        <v>121</v>
      </c>
      <c r="B79" s="149"/>
      <c r="C79" s="149"/>
      <c r="D79" s="149"/>
      <c r="E79" s="149"/>
      <c r="F79" s="149"/>
      <c r="G79" s="149"/>
      <c r="H79" s="149"/>
      <c r="I79" s="149"/>
      <c r="J79" s="149"/>
      <c r="K79" s="149"/>
      <c r="L79" s="149"/>
      <c r="M79" s="149"/>
      <c r="N79" s="149"/>
      <c r="O79" s="149"/>
      <c r="P79" s="24"/>
    </row>
    <row r="80" spans="1:16" x14ac:dyDescent="0.25">
      <c r="A80" s="149"/>
      <c r="B80" s="149"/>
      <c r="C80" s="149"/>
      <c r="D80" s="149"/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24"/>
    </row>
    <row r="81" spans="1:16" x14ac:dyDescent="0.25">
      <c r="A81" s="149"/>
      <c r="B81" s="149"/>
      <c r="C81" s="149"/>
      <c r="D81" s="149"/>
      <c r="E81" s="149"/>
      <c r="F81" s="149"/>
      <c r="G81" s="149"/>
      <c r="H81" s="149"/>
      <c r="I81" s="149"/>
      <c r="J81" s="149"/>
      <c r="K81" s="149"/>
      <c r="L81" s="149"/>
      <c r="M81" s="149"/>
      <c r="N81" s="149"/>
      <c r="O81" s="149"/>
      <c r="P81" s="24"/>
    </row>
    <row r="82" spans="1:16" x14ac:dyDescent="0.25">
      <c r="A82" s="149"/>
      <c r="B82" s="149"/>
      <c r="C82" s="149"/>
      <c r="D82" s="149"/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24"/>
    </row>
    <row r="83" spans="1:16" x14ac:dyDescent="0.25">
      <c r="A83" s="149"/>
      <c r="B83" s="149"/>
      <c r="C83" s="149"/>
      <c r="D83" s="149"/>
      <c r="E83" s="149"/>
      <c r="F83" s="149"/>
      <c r="G83" s="149"/>
      <c r="H83" s="149"/>
      <c r="I83" s="149"/>
      <c r="J83" s="149"/>
      <c r="K83" s="149"/>
      <c r="L83" s="149"/>
      <c r="M83" s="149"/>
      <c r="N83" s="149"/>
      <c r="O83" s="149"/>
      <c r="P83" s="24"/>
    </row>
    <row r="84" spans="1:16" x14ac:dyDescent="0.25">
      <c r="A84" s="149"/>
      <c r="B84" s="149"/>
      <c r="C84" s="149"/>
      <c r="D84" s="149"/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24"/>
    </row>
    <row r="85" spans="1:16" x14ac:dyDescent="0.25">
      <c r="A85" s="149"/>
      <c r="B85" s="149"/>
      <c r="C85" s="149"/>
      <c r="D85" s="149"/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24"/>
    </row>
    <row r="86" spans="1:16" x14ac:dyDescent="0.25">
      <c r="A86" s="149"/>
      <c r="B86" s="149"/>
      <c r="C86" s="149"/>
      <c r="D86" s="149"/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122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49" t="s">
        <v>116</v>
      </c>
      <c r="B90" s="149"/>
      <c r="C90" s="149"/>
      <c r="D90" s="149"/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25"/>
    </row>
    <row r="91" spans="1:16" x14ac:dyDescent="0.25">
      <c r="A91" s="149"/>
      <c r="B91" s="149"/>
      <c r="C91" s="149"/>
      <c r="D91" s="149"/>
      <c r="E91" s="149"/>
      <c r="F91" s="149"/>
      <c r="G91" s="149"/>
      <c r="H91" s="149"/>
      <c r="I91" s="149"/>
      <c r="J91" s="149"/>
      <c r="K91" s="149"/>
      <c r="L91" s="149"/>
      <c r="M91" s="149"/>
      <c r="N91" s="149"/>
      <c r="O91" s="149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49"/>
      <c r="B95" s="149"/>
      <c r="C95" s="149"/>
      <c r="D95" s="149"/>
      <c r="E95" s="149"/>
      <c r="F95" s="149"/>
      <c r="G95" s="149"/>
      <c r="H95" s="149"/>
      <c r="I95" s="149"/>
      <c r="J95" s="149"/>
      <c r="K95" s="149"/>
      <c r="L95" s="149"/>
      <c r="M95" s="149"/>
      <c r="N95" s="149"/>
      <c r="O95" s="149"/>
    </row>
    <row r="96" spans="1:16" x14ac:dyDescent="0.25">
      <c r="A96" s="149"/>
      <c r="B96" s="149"/>
      <c r="C96" s="149"/>
      <c r="D96" s="149"/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</row>
    <row r="99" spans="1:15" x14ac:dyDescent="0.25">
      <c r="A99" t="s">
        <v>123</v>
      </c>
    </row>
    <row r="100" spans="1:15" x14ac:dyDescent="0.25">
      <c r="A100" s="149" t="s">
        <v>124</v>
      </c>
      <c r="B100" s="149"/>
      <c r="C100" s="149"/>
      <c r="D100" s="149"/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</row>
    <row r="101" spans="1:15" x14ac:dyDescent="0.25">
      <c r="A101" s="149"/>
      <c r="B101" s="149"/>
      <c r="C101" s="149"/>
      <c r="D101" s="149"/>
      <c r="E101" s="149"/>
      <c r="F101" s="149"/>
      <c r="G101" s="149"/>
      <c r="H101" s="149"/>
      <c r="I101" s="149"/>
      <c r="J101" s="149"/>
      <c r="K101" s="149"/>
      <c r="L101" s="149"/>
      <c r="M101" s="149"/>
      <c r="N101" s="149"/>
      <c r="O101" s="149"/>
    </row>
    <row r="104" spans="1:15" x14ac:dyDescent="0.25">
      <c r="A104" t="s">
        <v>125</v>
      </c>
    </row>
    <row r="105" spans="1:15" x14ac:dyDescent="0.25">
      <c r="A105" s="149" t="s">
        <v>126</v>
      </c>
      <c r="B105" s="149"/>
      <c r="C105" s="149"/>
      <c r="D105" s="149"/>
      <c r="E105" s="149"/>
      <c r="F105" s="149"/>
      <c r="G105" s="149"/>
      <c r="H105" s="149"/>
      <c r="I105" s="149"/>
      <c r="J105" s="149"/>
      <c r="K105" s="149"/>
      <c r="L105" s="149"/>
      <c r="M105" s="149"/>
      <c r="N105" s="149"/>
      <c r="O105" s="149"/>
    </row>
    <row r="106" spans="1:15" x14ac:dyDescent="0.25">
      <c r="A106" s="149"/>
      <c r="B106" s="149"/>
      <c r="C106" s="149"/>
      <c r="D106" s="149"/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</row>
    <row r="109" spans="1:15" x14ac:dyDescent="0.25">
      <c r="A109" t="s">
        <v>127</v>
      </c>
    </row>
    <row r="110" spans="1:15" x14ac:dyDescent="0.25">
      <c r="A110" s="149" t="s">
        <v>128</v>
      </c>
      <c r="B110" s="149"/>
      <c r="C110" s="149"/>
      <c r="D110" s="149"/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</row>
    <row r="111" spans="1:15" x14ac:dyDescent="0.25">
      <c r="A111" s="149"/>
      <c r="B111" s="149"/>
      <c r="C111" s="149"/>
      <c r="D111" s="149"/>
      <c r="E111" s="149"/>
      <c r="F111" s="149"/>
      <c r="G111" s="149"/>
      <c r="H111" s="149"/>
      <c r="I111" s="149"/>
      <c r="J111" s="149"/>
      <c r="K111" s="149"/>
      <c r="L111" s="149"/>
      <c r="M111" s="149"/>
      <c r="N111" s="149"/>
      <c r="O111" s="149"/>
    </row>
    <row r="114" spans="1:15" x14ac:dyDescent="0.25">
      <c r="A114" t="s">
        <v>129</v>
      </c>
    </row>
    <row r="115" spans="1:15" x14ac:dyDescent="0.25">
      <c r="A115" s="149" t="s">
        <v>130</v>
      </c>
      <c r="B115" s="149"/>
      <c r="C115" s="149"/>
      <c r="D115" s="149"/>
      <c r="E115" s="149"/>
      <c r="F115" s="149"/>
      <c r="G115" s="149"/>
      <c r="H115" s="149"/>
      <c r="I115" s="149"/>
      <c r="J115" s="149"/>
      <c r="K115" s="149"/>
      <c r="L115" s="149"/>
      <c r="M115" s="149"/>
      <c r="N115" s="149"/>
      <c r="O115" s="149"/>
    </row>
    <row r="116" spans="1:15" x14ac:dyDescent="0.25">
      <c r="A116" s="149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</row>
    <row r="119" spans="1:15" x14ac:dyDescent="0.25">
      <c r="A119" t="s">
        <v>131</v>
      </c>
    </row>
    <row r="120" spans="1:15" x14ac:dyDescent="0.25">
      <c r="A120" s="149" t="s">
        <v>132</v>
      </c>
      <c r="B120" s="149"/>
      <c r="C120" s="149"/>
      <c r="D120" s="149"/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</row>
    <row r="121" spans="1:15" x14ac:dyDescent="0.25">
      <c r="A121" s="149"/>
      <c r="B121" s="149"/>
      <c r="C121" s="149"/>
      <c r="D121" s="149"/>
      <c r="E121" s="149"/>
      <c r="F121" s="149"/>
      <c r="G121" s="149"/>
      <c r="H121" s="149"/>
      <c r="I121" s="149"/>
      <c r="J121" s="149"/>
      <c r="K121" s="149"/>
      <c r="L121" s="149"/>
      <c r="M121" s="149"/>
      <c r="N121" s="149"/>
      <c r="O121" s="149"/>
    </row>
    <row r="123" spans="1:15" x14ac:dyDescent="0.25">
      <c r="A123" t="s">
        <v>133</v>
      </c>
    </row>
    <row r="124" spans="1:15" x14ac:dyDescent="0.25">
      <c r="A124" s="149" t="s">
        <v>134</v>
      </c>
      <c r="B124" s="149"/>
      <c r="C124" s="149"/>
      <c r="D124" s="149"/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</row>
    <row r="125" spans="1:15" x14ac:dyDescent="0.25">
      <c r="A125" s="149"/>
      <c r="B125" s="149"/>
      <c r="C125" s="149"/>
      <c r="D125" s="149"/>
      <c r="E125" s="149"/>
      <c r="F125" s="149"/>
      <c r="G125" s="149"/>
      <c r="H125" s="149"/>
      <c r="I125" s="149"/>
      <c r="J125" s="149"/>
      <c r="K125" s="149"/>
      <c r="L125" s="149"/>
      <c r="M125" s="149"/>
      <c r="N125" s="149"/>
      <c r="O125" s="149"/>
    </row>
  </sheetData>
  <protectedRanges>
    <protectedRange sqref="B56:M58" name="AL Comments"/>
    <protectedRange sqref="F6:G6" name="AL Pages"/>
  </protectedRanges>
  <mergeCells count="37">
    <mergeCell ref="A124:O125"/>
    <mergeCell ref="AG2:AH2"/>
    <mergeCell ref="AJ2:AK2"/>
    <mergeCell ref="AM2:AN2"/>
    <mergeCell ref="AP2:AQ2"/>
    <mergeCell ref="J13:K13"/>
    <mergeCell ref="J14:K14"/>
    <mergeCell ref="J15:K15"/>
    <mergeCell ref="A16:M16"/>
    <mergeCell ref="A19:M19"/>
    <mergeCell ref="A49:M49"/>
    <mergeCell ref="A55:M55"/>
    <mergeCell ref="A63:M63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view="pageBreakPreview" topLeftCell="A38" zoomScaleNormal="100" zoomScaleSheetLayoutView="100" workbookViewId="0">
      <selection activeCell="B60" sqref="B60:C60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7" t="s">
        <v>92</v>
      </c>
      <c r="C1" s="137"/>
      <c r="D1" s="137"/>
      <c r="E1" s="137"/>
      <c r="F1" s="137"/>
      <c r="G1" s="137"/>
      <c r="H1" s="137"/>
      <c r="I1" s="137"/>
      <c r="J1" s="137"/>
      <c r="K1" s="137"/>
    </row>
    <row r="2" spans="1:54" ht="18.75" x14ac:dyDescent="0.3">
      <c r="B2" s="143" t="s">
        <v>93</v>
      </c>
      <c r="C2" s="143"/>
      <c r="D2" s="143"/>
      <c r="E2" s="143"/>
      <c r="F2" s="143"/>
      <c r="G2" s="143"/>
      <c r="H2" s="143"/>
      <c r="I2" s="143"/>
      <c r="J2" s="143"/>
      <c r="K2" s="143"/>
      <c r="AG2" s="127"/>
      <c r="AH2" s="127"/>
      <c r="AJ2" s="127"/>
      <c r="AK2" s="127"/>
      <c r="AM2" s="127"/>
      <c r="AN2" s="127"/>
      <c r="AP2" s="127"/>
      <c r="AQ2" s="127"/>
      <c r="AR2" s="18"/>
      <c r="AS2" s="127"/>
      <c r="AT2" s="127"/>
    </row>
    <row r="3" spans="1:54" ht="18.75" x14ac:dyDescent="0.3">
      <c r="B3" s="143" t="s">
        <v>94</v>
      </c>
      <c r="C3" s="143"/>
      <c r="D3" s="143"/>
      <c r="E3" s="143"/>
      <c r="F3" s="143"/>
      <c r="G3" s="143"/>
      <c r="H3" s="143"/>
      <c r="I3" s="143"/>
      <c r="J3" s="143"/>
      <c r="K3" s="143"/>
    </row>
    <row r="4" spans="1:54" ht="23.25" x14ac:dyDescent="0.35">
      <c r="B4" s="71"/>
      <c r="C4" s="72"/>
      <c r="D4" s="146" t="s">
        <v>135</v>
      </c>
      <c r="E4" s="146"/>
      <c r="F4" s="146"/>
      <c r="G4" s="146"/>
      <c r="H4" s="146"/>
      <c r="I4" s="146"/>
      <c r="J4" s="71"/>
      <c r="K4" s="71"/>
    </row>
    <row r="5" spans="1:54" ht="18.75" x14ac:dyDescent="0.3">
      <c r="E5" s="147"/>
      <c r="F5" s="147"/>
      <c r="G5" s="147"/>
      <c r="H5" s="147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96</v>
      </c>
      <c r="B6" s="20" t="str">
        <f>IF(Worksheet!D3="","",Worksheet!D3)</f>
        <v/>
      </c>
      <c r="C6" s="4"/>
      <c r="D6" s="1"/>
      <c r="F6" s="148" t="s">
        <v>136</v>
      </c>
      <c r="G6" s="148"/>
      <c r="J6" t="s">
        <v>98</v>
      </c>
      <c r="BB6" s="4"/>
    </row>
    <row r="7" spans="1:54" ht="15.75" x14ac:dyDescent="0.25">
      <c r="A7" s="1" t="s">
        <v>99</v>
      </c>
      <c r="B7" s="20" t="str">
        <f>IF(Worksheet!D4="","",Worksheet!D4)</f>
        <v/>
      </c>
      <c r="J7" t="s">
        <v>100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101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102</v>
      </c>
      <c r="B12" s="20" t="str">
        <f>IF(Worksheet!D6="","",Worksheet!D6)</f>
        <v/>
      </c>
      <c r="H12" s="1" t="s">
        <v>25</v>
      </c>
      <c r="J12" s="145" t="str">
        <f>IF(Worksheet!N6="","",Worksheet!N6)</f>
        <v/>
      </c>
      <c r="K12" s="145"/>
    </row>
    <row r="13" spans="1:54" ht="15.75" x14ac:dyDescent="0.25">
      <c r="A13" s="1" t="s">
        <v>103</v>
      </c>
      <c r="B13" s="20" t="str">
        <f>IF(Worksheet!D7="","",Worksheet!I7)</f>
        <v/>
      </c>
      <c r="H13" s="1" t="s">
        <v>30</v>
      </c>
      <c r="J13" s="145" t="str">
        <f>IF(Worksheet!N7="","",Worksheet!N7)</f>
        <v/>
      </c>
      <c r="K13" s="145"/>
    </row>
    <row r="14" spans="1:54" ht="15.75" x14ac:dyDescent="0.25">
      <c r="A14" s="1" t="s">
        <v>104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4" t="str">
        <f>IF(Worksheet!N8="","",Worksheet!N8)</f>
        <v/>
      </c>
      <c r="K14" s="154"/>
    </row>
    <row r="15" spans="1:54" ht="15.75" x14ac:dyDescent="0.25">
      <c r="A15" s="1" t="s">
        <v>105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5" t="str">
        <f>IF(Worksheet!N9="","",Worksheet!N9)</f>
        <v/>
      </c>
      <c r="K15" s="155"/>
    </row>
    <row r="16" spans="1:54" ht="15" customHeight="1" x14ac:dyDescent="0.25">
      <c r="A16" s="127" t="s">
        <v>106</v>
      </c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</row>
    <row r="17" spans="1:17" ht="15.75" x14ac:dyDescent="0.25">
      <c r="A17" s="1" t="s">
        <v>107</v>
      </c>
      <c r="C17" s="19" t="str">
        <f>Worksheet!J11</f>
        <v>ASTM E18-24</v>
      </c>
    </row>
    <row r="18" spans="1:17" ht="15.75" x14ac:dyDescent="0.25">
      <c r="A18" s="1" t="s">
        <v>108</v>
      </c>
      <c r="C18" s="19" t="s">
        <v>46</v>
      </c>
      <c r="G18" s="4" t="s">
        <v>109</v>
      </c>
      <c r="H18" s="20" t="s">
        <v>48</v>
      </c>
    </row>
    <row r="19" spans="1:17" x14ac:dyDescent="0.25">
      <c r="A19" s="127" t="s">
        <v>106</v>
      </c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</row>
    <row r="20" spans="1:17" x14ac:dyDescent="0.25">
      <c r="A20" s="112" t="s">
        <v>110</v>
      </c>
      <c r="B20" s="112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111</v>
      </c>
    </row>
    <row r="21" spans="1:17" ht="15.75" x14ac:dyDescent="0.25">
      <c r="A21" s="109" t="str" cm="1">
        <f t="array" ref="A21">IF(_xlfn._xlws.FILTER('Filter Cert Data'!A3:L5,'Filter Cert Data'!A3:A5&lt;&gt;"","")="", "", _xlfn._xlws.FILTER('Filter Cert Data'!A3:L5,'Filter Cert Data'!A3:A5&lt;&gt;""))</f>
        <v/>
      </c>
      <c r="B21" s="75"/>
      <c r="C21" s="44"/>
      <c r="D21" s="44"/>
      <c r="E21" s="44"/>
      <c r="F21" s="44"/>
      <c r="G21" s="44"/>
      <c r="H21" s="75"/>
      <c r="I21" s="44"/>
      <c r="J21" s="44"/>
      <c r="K21" s="75"/>
      <c r="L21" s="39"/>
      <c r="N21" s="38"/>
      <c r="P21" s="19"/>
      <c r="Q21" s="19"/>
    </row>
    <row r="22" spans="1:17" ht="15.75" x14ac:dyDescent="0.25">
      <c r="A22" s="110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11"/>
      <c r="B23" s="76"/>
      <c r="C23" s="46"/>
      <c r="D23" s="46"/>
      <c r="E23" s="46"/>
      <c r="F23" s="46"/>
      <c r="G23" s="46"/>
      <c r="H23" s="76"/>
      <c r="I23" s="46"/>
      <c r="J23" s="46"/>
      <c r="K23" s="76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7"/>
      <c r="J24" s="77"/>
      <c r="K24" s="19"/>
    </row>
    <row r="25" spans="1:17" ht="15.75" x14ac:dyDescent="0.25">
      <c r="A25" s="109" t="str" cm="1">
        <f t="array" ref="A25">IF(_xlfn._xlws.FILTER('Filter Cert Data'!A7:L9,'Filter Cert Data'!A7:A9&lt;&gt;"","")="", "", _xlfn._xlws.FILTER('Filter Cert Data'!A7:L9,'Filter Cert Data'!A7:A9&lt;&gt;""))</f>
        <v/>
      </c>
      <c r="B25" s="75"/>
      <c r="C25" s="44"/>
      <c r="D25" s="44"/>
      <c r="E25" s="44"/>
      <c r="F25" s="44"/>
      <c r="G25" s="44"/>
      <c r="H25" s="75"/>
      <c r="I25" s="44"/>
      <c r="J25" s="44"/>
      <c r="K25" s="75"/>
      <c r="L25" s="39"/>
      <c r="P25" s="19"/>
    </row>
    <row r="26" spans="1:17" ht="15.75" x14ac:dyDescent="0.25">
      <c r="A26" s="110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11"/>
      <c r="B27" s="76"/>
      <c r="C27" s="46"/>
      <c r="D27" s="46"/>
      <c r="E27" s="46"/>
      <c r="F27" s="46"/>
      <c r="G27" s="46"/>
      <c r="H27" s="76"/>
      <c r="I27" s="46"/>
      <c r="J27" s="46"/>
      <c r="K27" s="76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7"/>
      <c r="J28" s="77"/>
      <c r="K28" s="19"/>
    </row>
    <row r="29" spans="1:17" ht="15.75" x14ac:dyDescent="0.25">
      <c r="A29" s="109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5"/>
      <c r="C29" s="44"/>
      <c r="D29" s="44"/>
      <c r="E29" s="44"/>
      <c r="F29" s="44"/>
      <c r="G29" s="44"/>
      <c r="H29" s="75"/>
      <c r="I29" s="44"/>
      <c r="J29" s="44"/>
      <c r="K29" s="75"/>
      <c r="L29" s="39"/>
      <c r="P29" s="19"/>
    </row>
    <row r="30" spans="1:17" ht="15.75" x14ac:dyDescent="0.25">
      <c r="A30" s="110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11"/>
      <c r="B31" s="76"/>
      <c r="C31" s="46"/>
      <c r="D31" s="46"/>
      <c r="E31" s="46"/>
      <c r="F31" s="46"/>
      <c r="G31" s="46"/>
      <c r="H31" s="76"/>
      <c r="I31" s="46"/>
      <c r="J31" s="46"/>
      <c r="K31" s="76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7"/>
      <c r="J32" s="77"/>
      <c r="K32" s="19"/>
    </row>
    <row r="33" spans="1:16" ht="15.75" x14ac:dyDescent="0.25">
      <c r="A33" s="109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5"/>
      <c r="C33" s="44"/>
      <c r="D33" s="44"/>
      <c r="E33" s="44"/>
      <c r="F33" s="44"/>
      <c r="G33" s="44"/>
      <c r="H33" s="75"/>
      <c r="I33" s="44"/>
      <c r="J33" s="44"/>
      <c r="K33" s="75"/>
      <c r="L33" s="39"/>
      <c r="P33" s="19"/>
    </row>
    <row r="34" spans="1:16" ht="15.75" x14ac:dyDescent="0.25">
      <c r="A34" s="110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11"/>
      <c r="B35" s="76"/>
      <c r="C35" s="46"/>
      <c r="D35" s="46"/>
      <c r="E35" s="46"/>
      <c r="F35" s="46"/>
      <c r="G35" s="46"/>
      <c r="H35" s="76"/>
      <c r="I35" s="46"/>
      <c r="J35" s="46"/>
      <c r="K35" s="76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6" ht="15.75" x14ac:dyDescent="0.25">
      <c r="A37" s="109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5"/>
      <c r="C37" s="44"/>
      <c r="D37" s="44"/>
      <c r="E37" s="44"/>
      <c r="F37" s="44"/>
      <c r="G37" s="44"/>
      <c r="H37" s="75"/>
      <c r="I37" s="44"/>
      <c r="J37" s="44"/>
      <c r="K37" s="75"/>
      <c r="L37" s="39"/>
      <c r="P37" s="19"/>
    </row>
    <row r="38" spans="1:16" ht="15.75" x14ac:dyDescent="0.25">
      <c r="A38" s="110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11"/>
      <c r="B39" s="76"/>
      <c r="C39" s="46"/>
      <c r="D39" s="46"/>
      <c r="E39" s="46"/>
      <c r="F39" s="46"/>
      <c r="G39" s="46"/>
      <c r="H39" s="76"/>
      <c r="I39" s="46"/>
      <c r="J39" s="46"/>
      <c r="K39" s="76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6" ht="15.75" x14ac:dyDescent="0.25">
      <c r="A41" s="109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5"/>
      <c r="C41" s="44"/>
      <c r="D41" s="44"/>
      <c r="E41" s="44"/>
      <c r="F41" s="44"/>
      <c r="G41" s="44"/>
      <c r="H41" s="75"/>
      <c r="I41" s="44"/>
      <c r="J41" s="44"/>
      <c r="K41" s="75"/>
      <c r="L41" s="39"/>
      <c r="P41" s="19"/>
    </row>
    <row r="42" spans="1:16" ht="15.75" x14ac:dyDescent="0.25">
      <c r="A42" s="110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11"/>
      <c r="B43" s="76"/>
      <c r="C43" s="46"/>
      <c r="D43" s="46"/>
      <c r="E43" s="46"/>
      <c r="F43" s="46"/>
      <c r="G43" s="46"/>
      <c r="H43" s="76"/>
      <c r="I43" s="46"/>
      <c r="J43" s="46"/>
      <c r="K43" s="76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6" ht="15.75" x14ac:dyDescent="0.25">
      <c r="A45" s="109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5"/>
      <c r="C45" s="44"/>
      <c r="D45" s="44"/>
      <c r="E45" s="44"/>
      <c r="F45" s="44"/>
      <c r="G45" s="44"/>
      <c r="H45" s="75"/>
      <c r="I45" s="44"/>
      <c r="J45" s="44"/>
      <c r="K45" s="75"/>
      <c r="L45" s="39"/>
      <c r="P45" s="19"/>
    </row>
    <row r="46" spans="1:16" ht="15.75" x14ac:dyDescent="0.25">
      <c r="A46" s="110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11"/>
      <c r="B47" s="76"/>
      <c r="C47" s="46"/>
      <c r="D47" s="46"/>
      <c r="E47" s="46"/>
      <c r="F47" s="46"/>
      <c r="G47" s="46"/>
      <c r="H47" s="76"/>
      <c r="I47" s="46"/>
      <c r="J47" s="46"/>
      <c r="K47" s="76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7" t="s">
        <v>106</v>
      </c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27" ht="15.75" x14ac:dyDescent="0.25">
      <c r="A50" t="s">
        <v>112</v>
      </c>
      <c r="C50" s="4" t="s">
        <v>113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114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3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</row>
    <row r="53" spans="1:27" ht="18" customHeight="1" x14ac:dyDescent="0.25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</row>
    <row r="54" spans="1:27" ht="18" customHeight="1" x14ac:dyDescent="0.25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</row>
    <row r="55" spans="1:27" x14ac:dyDescent="0.25">
      <c r="A55" s="127" t="s">
        <v>106</v>
      </c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27" ht="15" customHeight="1" x14ac:dyDescent="0.25">
      <c r="A56" s="78" t="s">
        <v>115</v>
      </c>
      <c r="B56" s="151" t="s">
        <v>137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O56" s="152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117</v>
      </c>
      <c r="B60" s="144" t="str">
        <f>Worksheet!O46</f>
        <v/>
      </c>
      <c r="C60" s="144"/>
    </row>
    <row r="61" spans="1:27" ht="12" customHeight="1" x14ac:dyDescent="0.25">
      <c r="A61" s="150" t="str">
        <f>IF(Worksheet!D11="YES",'CERT AL'!A120,"")</f>
        <v/>
      </c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</row>
    <row r="62" spans="1:27" ht="12" customHeight="1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</row>
    <row r="63" spans="1:27" x14ac:dyDescent="0.25">
      <c r="A63" s="127" t="s">
        <v>106</v>
      </c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  <c r="M63" s="127"/>
    </row>
    <row r="68" spans="1:15" x14ac:dyDescent="0.25">
      <c r="A68" s="149"/>
      <c r="B68" s="149"/>
      <c r="C68" s="149"/>
      <c r="D68" s="149"/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</row>
    <row r="69" spans="1:15" x14ac:dyDescent="0.25">
      <c r="A69" s="149"/>
      <c r="B69" s="149"/>
      <c r="C69" s="149"/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</row>
    <row r="70" spans="1:15" x14ac:dyDescent="0.25">
      <c r="A70" s="149"/>
      <c r="B70" s="149"/>
      <c r="C70" s="149"/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</row>
    <row r="71" spans="1:15" x14ac:dyDescent="0.25">
      <c r="A71" s="149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</row>
    <row r="72" spans="1:15" x14ac:dyDescent="0.25">
      <c r="A72" s="149"/>
      <c r="B72" s="149"/>
      <c r="C72" s="149"/>
      <c r="D72" s="149"/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</row>
    <row r="73" spans="1:15" x14ac:dyDescent="0.25">
      <c r="A73" s="149"/>
      <c r="B73" s="149"/>
      <c r="C73" s="149"/>
      <c r="D73" s="149"/>
      <c r="E73" s="149"/>
      <c r="F73" s="149"/>
      <c r="G73" s="149"/>
      <c r="H73" s="149"/>
      <c r="I73" s="149"/>
      <c r="J73" s="149"/>
      <c r="K73" s="149"/>
      <c r="L73" s="149"/>
      <c r="M73" s="149"/>
      <c r="N73" s="149"/>
      <c r="O73" s="149"/>
    </row>
    <row r="74" spans="1:15" x14ac:dyDescent="0.25">
      <c r="A74" s="149"/>
      <c r="B74" s="149"/>
      <c r="C74" s="149"/>
      <c r="D74" s="149"/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</row>
    <row r="75" spans="1:15" x14ac:dyDescent="0.25">
      <c r="A75" s="149"/>
      <c r="B75" s="149"/>
      <c r="C75" s="149"/>
      <c r="D75" s="149"/>
      <c r="E75" s="149"/>
      <c r="F75" s="149"/>
      <c r="G75" s="149"/>
      <c r="H75" s="149"/>
      <c r="I75" s="149"/>
      <c r="J75" s="149"/>
      <c r="K75" s="149"/>
      <c r="L75" s="149"/>
      <c r="M75" s="149"/>
      <c r="N75" s="149"/>
      <c r="O75" s="149"/>
    </row>
    <row r="76" spans="1:15" x14ac:dyDescent="0.25">
      <c r="A76" t="s">
        <v>138</v>
      </c>
    </row>
    <row r="77" spans="1:15" x14ac:dyDescent="0.25">
      <c r="A77" t="s">
        <v>137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139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140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4" t="s">
        <v>142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protectedRanges>
    <protectedRange sqref="B56:M58" name="AF Comments"/>
    <protectedRange sqref="F6:G6" name="AF page number"/>
  </protectedRanges>
  <mergeCells count="28">
    <mergeCell ref="AG2:AH2"/>
    <mergeCell ref="AJ2:AK2"/>
    <mergeCell ref="AM2:AN2"/>
    <mergeCell ref="AP2:AQ2"/>
    <mergeCell ref="AS2:AT2"/>
    <mergeCell ref="A68:O75"/>
    <mergeCell ref="A61:M62"/>
    <mergeCell ref="A52:M54"/>
    <mergeCell ref="B56:M58"/>
    <mergeCell ref="B59:C59"/>
    <mergeCell ref="B60:C60"/>
    <mergeCell ref="A55:M55"/>
    <mergeCell ref="A63:M63"/>
    <mergeCell ref="J12:K12"/>
    <mergeCell ref="J13:K13"/>
    <mergeCell ref="J14:K14"/>
    <mergeCell ref="J15:K15"/>
    <mergeCell ref="O56:AA58"/>
    <mergeCell ref="A16:M16"/>
    <mergeCell ref="A19:M19"/>
    <mergeCell ref="A49:M49"/>
    <mergeCell ref="J11:K11"/>
    <mergeCell ref="B1:K1"/>
    <mergeCell ref="B2:K2"/>
    <mergeCell ref="B3:K3"/>
    <mergeCell ref="F6:G6"/>
    <mergeCell ref="D4:I4"/>
    <mergeCell ref="E5:H5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24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17" t="s">
        <v>143</v>
      </c>
    </row>
    <row r="2" spans="1:16" x14ac:dyDescent="0.25">
      <c r="A2" s="112" t="s">
        <v>110</v>
      </c>
      <c r="B2" s="112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111</v>
      </c>
      <c r="P2" s="15" t="s">
        <v>144</v>
      </c>
    </row>
    <row r="3" spans="1:16" ht="15.75" x14ac:dyDescent="0.25">
      <c r="A3" s="109" t="str">
        <f>IF(Worksheet!C18="", "", Worksheet!B18 &amp; IF(Worksheet!D$11="NO", " ", "/P ") &amp; P3)</f>
        <v/>
      </c>
      <c r="B3" s="75" t="str">
        <f>IF(Worksheet!D18="","",Worksheet!D18)</f>
        <v/>
      </c>
      <c r="C3" s="75" t="str">
        <f>IF(Worksheet!F18="","",Worksheet!F18)</f>
        <v/>
      </c>
      <c r="D3" s="75" t="str">
        <f>IF(Worksheet!G18="","",Worksheet!G18)</f>
        <v/>
      </c>
      <c r="E3" s="113"/>
      <c r="F3" s="113"/>
      <c r="G3" s="113"/>
      <c r="H3" s="75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5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0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1" t="str">
        <f>IF(Worksheet!C20="", "", Worksheet!B20 &amp; IF(Worksheet!D$11="NO", " ", "/P ") &amp; P5)</f>
        <v/>
      </c>
      <c r="B5" s="76" t="str">
        <f>IF(Worksheet!D20="","",Worksheet!D20)</f>
        <v/>
      </c>
      <c r="C5" s="76" t="str">
        <f>IF(Worksheet!F20="","",Worksheet!F20)</f>
        <v/>
      </c>
      <c r="D5" s="76" t="str">
        <f>IF(Worksheet!G20="","",Worksheet!G20)</f>
        <v/>
      </c>
      <c r="E5" s="114"/>
      <c r="F5" s="114"/>
      <c r="G5" s="114"/>
      <c r="H5" s="76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6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5"/>
      <c r="F6" s="115"/>
      <c r="G6" s="115"/>
      <c r="H6" s="19"/>
      <c r="I6" s="19"/>
      <c r="J6" s="19"/>
      <c r="K6" s="19"/>
    </row>
    <row r="7" spans="1:16" ht="15.75" x14ac:dyDescent="0.25">
      <c r="A7" s="109" t="str">
        <f>IF(Worksheet!C22="", "", Worksheet!B22 &amp; IF(Worksheet!D$11="NO", " ", "/P ") &amp; P7)</f>
        <v/>
      </c>
      <c r="B7" s="75" t="str">
        <f>IF(Worksheet!D22="","",Worksheet!D22)</f>
        <v/>
      </c>
      <c r="C7" s="75" t="str">
        <f>IF(Worksheet!F22="","",Worksheet!F22)</f>
        <v/>
      </c>
      <c r="D7" s="75" t="str">
        <f>IF(Worksheet!G22="","",Worksheet!G22)</f>
        <v/>
      </c>
      <c r="E7" s="113"/>
      <c r="F7" s="113"/>
      <c r="G7" s="113"/>
      <c r="H7" s="75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5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0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1" t="str">
        <f>IF(Worksheet!C24="", "", Worksheet!B24 &amp; IF(Worksheet!D$11="NO", " ", "/P ") &amp; P9)</f>
        <v/>
      </c>
      <c r="B9" s="76" t="str">
        <f>IF(Worksheet!D24="","",Worksheet!D24)</f>
        <v/>
      </c>
      <c r="C9" s="76" t="str">
        <f>IF(Worksheet!F24="","",Worksheet!F24)</f>
        <v/>
      </c>
      <c r="D9" s="76" t="str">
        <f>IF(Worksheet!G24="","",Worksheet!G24)</f>
        <v/>
      </c>
      <c r="E9" s="114"/>
      <c r="F9" s="114"/>
      <c r="G9" s="114"/>
      <c r="H9" s="76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6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5"/>
      <c r="F10" s="115"/>
      <c r="G10" s="115"/>
      <c r="H10" s="19"/>
      <c r="I10" s="19"/>
      <c r="J10" s="19"/>
      <c r="K10" s="19"/>
    </row>
    <row r="11" spans="1:16" ht="15.75" x14ac:dyDescent="0.25">
      <c r="A11" s="109" t="str">
        <f>IF(Worksheet!C26="", "", Worksheet!B26 &amp; IF(Worksheet!D$11="NO", " ", "/P ") &amp; P11)</f>
        <v/>
      </c>
      <c r="B11" s="75" t="str">
        <f>IF(Worksheet!D26="","",Worksheet!D26)</f>
        <v/>
      </c>
      <c r="C11" s="75" t="str">
        <f>IF(Worksheet!F26="","",Worksheet!F26)</f>
        <v/>
      </c>
      <c r="D11" s="75" t="str">
        <f>IF(Worksheet!G26="","",Worksheet!G26)</f>
        <v/>
      </c>
      <c r="E11" s="113"/>
      <c r="F11" s="113"/>
      <c r="G11" s="113"/>
      <c r="H11" s="75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5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0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1" t="str">
        <f>IF(Worksheet!C28="", "", Worksheet!B28 &amp; IF(Worksheet!D$11="NO", " ", "/P ") &amp; P13)</f>
        <v/>
      </c>
      <c r="B13" s="76" t="str">
        <f>IF(Worksheet!D28="","",Worksheet!D28)</f>
        <v/>
      </c>
      <c r="C13" s="76" t="str">
        <f>IF(Worksheet!F28="","",Worksheet!F28)</f>
        <v/>
      </c>
      <c r="D13" s="76" t="str">
        <f>IF(Worksheet!G28="","",Worksheet!G28)</f>
        <v/>
      </c>
      <c r="E13" s="114"/>
      <c r="F13" s="114"/>
      <c r="G13" s="114"/>
      <c r="H13" s="76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6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5"/>
      <c r="F14" s="115"/>
      <c r="G14" s="115"/>
      <c r="H14" s="19"/>
      <c r="I14" s="19"/>
      <c r="J14" s="19"/>
      <c r="K14" s="19"/>
    </row>
    <row r="15" spans="1:16" ht="15.75" x14ac:dyDescent="0.25">
      <c r="A15" s="109" t="str">
        <f>IF(Worksheet!C30="", "", Worksheet!B30 &amp; IF(Worksheet!D$11="NO", " ", "/P ") &amp; P15)</f>
        <v/>
      </c>
      <c r="B15" s="75" t="str">
        <f>IF(Worksheet!D30="","",Worksheet!D30)</f>
        <v/>
      </c>
      <c r="C15" s="75" t="str">
        <f>IF(Worksheet!F30="","",Worksheet!F30)</f>
        <v/>
      </c>
      <c r="D15" s="75" t="str">
        <f>IF(Worksheet!G30="","",Worksheet!G30)</f>
        <v/>
      </c>
      <c r="E15" s="113"/>
      <c r="F15" s="113"/>
      <c r="G15" s="113"/>
      <c r="H15" s="75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5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0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1" t="str">
        <f>IF(Worksheet!C32="", "", Worksheet!B32 &amp; IF(Worksheet!D$11="NO", " ", "/P ") &amp; P17)</f>
        <v/>
      </c>
      <c r="B17" s="76" t="str">
        <f>IF(Worksheet!D32="","",Worksheet!D32)</f>
        <v/>
      </c>
      <c r="C17" s="76" t="str">
        <f>IF(Worksheet!F32="","",Worksheet!F32)</f>
        <v/>
      </c>
      <c r="D17" s="76" t="str">
        <f>IF(Worksheet!G32="","",Worksheet!G32)</f>
        <v/>
      </c>
      <c r="E17" s="114"/>
      <c r="F17" s="114"/>
      <c r="G17" s="114"/>
      <c r="H17" s="76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6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5"/>
      <c r="F18" s="115"/>
      <c r="G18" s="115"/>
      <c r="H18" s="19"/>
      <c r="I18" s="19"/>
      <c r="J18" s="19"/>
      <c r="K18" s="19"/>
    </row>
    <row r="19" spans="1:16" ht="15.75" x14ac:dyDescent="0.25">
      <c r="A19" s="109" t="str">
        <f>IF(Worksheet!C34="", "", Worksheet!B34 &amp; IF(Worksheet!D$11="NO", " ", "/P ") &amp; P19)</f>
        <v/>
      </c>
      <c r="B19" s="75" t="str">
        <f>IF(Worksheet!D34="","",Worksheet!D34)</f>
        <v/>
      </c>
      <c r="C19" s="75" t="str">
        <f>IF(Worksheet!F34="","",Worksheet!F34)</f>
        <v/>
      </c>
      <c r="D19" s="75" t="str">
        <f>IF(Worksheet!G34="","",Worksheet!G34)</f>
        <v/>
      </c>
      <c r="E19" s="113"/>
      <c r="F19" s="113"/>
      <c r="G19" s="113"/>
      <c r="H19" s="75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5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0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1" t="str">
        <f>IF(Worksheet!C36="", "", Worksheet!B36 &amp; IF(Worksheet!D$11="NO", " ", "/P ") &amp; P21)</f>
        <v/>
      </c>
      <c r="B21" s="76" t="str">
        <f>IF(Worksheet!D36="","",Worksheet!D36)</f>
        <v/>
      </c>
      <c r="C21" s="76" t="str">
        <f>IF(Worksheet!F36="","",Worksheet!F36)</f>
        <v/>
      </c>
      <c r="D21" s="76" t="str">
        <f>IF(Worksheet!G36="","",Worksheet!G36)</f>
        <v/>
      </c>
      <c r="E21" s="114"/>
      <c r="F21" s="114"/>
      <c r="G21" s="114"/>
      <c r="H21" s="76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6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5"/>
      <c r="F22" s="115"/>
      <c r="G22" s="115"/>
      <c r="H22" s="19"/>
      <c r="I22" s="19"/>
      <c r="J22" s="19"/>
      <c r="K22" s="19"/>
    </row>
    <row r="23" spans="1:16" ht="15.75" x14ac:dyDescent="0.25">
      <c r="A23" s="109" t="str">
        <f>IF(Worksheet!C38="", "", Worksheet!B38 &amp; IF(Worksheet!D$11="NO", " ", "/P ") &amp; P23)</f>
        <v/>
      </c>
      <c r="B23" s="75" t="str">
        <f>IF(Worksheet!D38="","",Worksheet!D38)</f>
        <v/>
      </c>
      <c r="C23" s="75" t="str">
        <f>IF(Worksheet!F38="","",Worksheet!F38)</f>
        <v/>
      </c>
      <c r="D23" s="75" t="str">
        <f>IF(Worksheet!G38="","",Worksheet!G38)</f>
        <v/>
      </c>
      <c r="E23" s="113"/>
      <c r="F23" s="113"/>
      <c r="G23" s="113"/>
      <c r="H23" s="75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5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0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1" t="str">
        <f>IF(Worksheet!C40="", "", Worksheet!B40 &amp; IF(Worksheet!D$11="NO", " ", "/P ") &amp; P25)</f>
        <v/>
      </c>
      <c r="B25" s="76" t="str">
        <f>IF(Worksheet!D40="","",Worksheet!D40)</f>
        <v/>
      </c>
      <c r="C25" s="76" t="str">
        <f>IF(Worksheet!F40="","",Worksheet!F40)</f>
        <v/>
      </c>
      <c r="D25" s="76" t="str">
        <f>IF(Worksheet!G40="","",Worksheet!G40)</f>
        <v/>
      </c>
      <c r="E25" s="114"/>
      <c r="F25" s="114"/>
      <c r="G25" s="114"/>
      <c r="H25" s="76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6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5"/>
      <c r="F26" s="115"/>
      <c r="G26" s="115"/>
      <c r="H26" s="19"/>
      <c r="I26" s="19"/>
      <c r="J26" s="19"/>
      <c r="K26" s="19"/>
    </row>
    <row r="27" spans="1:16" ht="15.75" x14ac:dyDescent="0.25">
      <c r="A27" s="109" t="str">
        <f>IF(Worksheet!C42="", "", Worksheet!B42 &amp; IF(Worksheet!D$11="NO", " ", "/P ") &amp; P27)</f>
        <v/>
      </c>
      <c r="B27" s="75" t="str">
        <f>IF(Worksheet!D42="","",Worksheet!D42)</f>
        <v/>
      </c>
      <c r="C27" s="75" t="str">
        <f>IF(Worksheet!F42="","",Worksheet!F42)</f>
        <v/>
      </c>
      <c r="D27" s="75" t="str">
        <f>IF(Worksheet!G42="","",Worksheet!G42)</f>
        <v/>
      </c>
      <c r="E27" s="113"/>
      <c r="F27" s="113"/>
      <c r="G27" s="113"/>
      <c r="H27" s="75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5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0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1" t="str">
        <f>IF(Worksheet!C44="", "", Worksheet!B44 &amp; IF(Worksheet!D$11="NO", " ", "/P ") &amp; P29)</f>
        <v/>
      </c>
      <c r="B29" s="76" t="str">
        <f>IF(Worksheet!D44="","",Worksheet!D44)</f>
        <v/>
      </c>
      <c r="C29" s="76" t="str">
        <f>IF(Worksheet!F44="","",Worksheet!F44)</f>
        <v/>
      </c>
      <c r="D29" s="76" t="str">
        <f>IF(Worksheet!G44="","",Worksheet!G44)</f>
        <v/>
      </c>
      <c r="E29" s="114"/>
      <c r="F29" s="114"/>
      <c r="G29" s="114"/>
      <c r="H29" s="76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6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17" t="s">
        <v>145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2" t="s">
        <v>110</v>
      </c>
      <c r="B32" s="112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111</v>
      </c>
    </row>
    <row r="33" spans="1:17" ht="15.75" x14ac:dyDescent="0.25">
      <c r="A33" s="75" t="str">
        <f>IF(Worksheet!C18="", "", Worksheet!B18 &amp; IF(Worksheet!D$11="NO"," ","/P ") &amp; P33)</f>
        <v/>
      </c>
      <c r="B33" s="75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5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5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6" t="str">
        <f>IF(Worksheet!C20="", "", Worksheet!B20 &amp; IF(Worksheet!D$11="NO"," ","/P ") &amp; P35)</f>
        <v/>
      </c>
      <c r="B35" s="76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6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6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7" ht="15.75" x14ac:dyDescent="0.25">
      <c r="A37" s="75" t="str">
        <f>IF(Worksheet!C22="", "", Worksheet!B22 &amp; IF(Worksheet!D$11="NO"," ","/P ") &amp; P37)</f>
        <v/>
      </c>
      <c r="B37" s="75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5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5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6" t="str">
        <f>IF(Worksheet!C24="", "", Worksheet!B24 &amp; IF(Worksheet!D$11="NO"," ","/P ") &amp; P39)</f>
        <v/>
      </c>
      <c r="B39" s="76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6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6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7" ht="15.75" x14ac:dyDescent="0.25">
      <c r="A41" s="75" t="str">
        <f>IF(Worksheet!C26="", "", Worksheet!B26 &amp; IF(Worksheet!D$11="NO"," ","/P ") &amp; P41)</f>
        <v/>
      </c>
      <c r="B41" s="75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5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5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6" t="str">
        <f>IF(Worksheet!C28="", "", Worksheet!B28 &amp; IF(Worksheet!D$11="NO"," ","/P ") &amp; P43)</f>
        <v/>
      </c>
      <c r="B43" s="76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6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6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7" ht="15.75" x14ac:dyDescent="0.25">
      <c r="A45" s="75" t="str">
        <f>IF(Worksheet!C30="", "", Worksheet!B30 &amp; IF(Worksheet!D$11="NO"," ","/P ") &amp; P45)</f>
        <v/>
      </c>
      <c r="B45" s="75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5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5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6" t="str">
        <f>IF(Worksheet!C32="", "", Worksheet!B32 &amp; IF(Worksheet!D$11="NO"," ","/P ") &amp; P47)</f>
        <v/>
      </c>
      <c r="B47" s="76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6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6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7"/>
      <c r="J48" s="77"/>
      <c r="K48" s="19"/>
    </row>
    <row r="49" spans="1:16" ht="15.75" x14ac:dyDescent="0.25">
      <c r="A49" s="75" t="str">
        <f>IF(Worksheet!C34="", "", Worksheet!B34 &amp; IF(Worksheet!D$11="NO"," ","/P ") &amp; P49)</f>
        <v/>
      </c>
      <c r="B49" s="75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5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5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6" t="str">
        <f>IF(Worksheet!C36="", "", Worksheet!B36 &amp; IF(Worksheet!D$11="NO"," ","/P ") &amp; P51)</f>
        <v/>
      </c>
      <c r="B51" s="76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6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6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7"/>
      <c r="J52" s="77"/>
      <c r="K52" s="19"/>
    </row>
    <row r="53" spans="1:16" ht="15.75" x14ac:dyDescent="0.25">
      <c r="A53" s="75" t="str">
        <f>IF(Worksheet!C38="", "", Worksheet!B38 &amp; IF(Worksheet!D$11="NO"," ","/P ") &amp; P53)</f>
        <v/>
      </c>
      <c r="B53" s="75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5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5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6" t="str">
        <f>IF(Worksheet!C40="", "", Worksheet!B40 &amp; IF(Worksheet!D$11="NO"," ","/P ") &amp; P55)</f>
        <v/>
      </c>
      <c r="B55" s="76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6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6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7"/>
      <c r="J56" s="77"/>
      <c r="K56" s="19"/>
    </row>
    <row r="57" spans="1:16" ht="15.75" x14ac:dyDescent="0.25">
      <c r="A57" s="75" t="str">
        <f>IF(Worksheet!C42="", "", Worksheet!B42 &amp; IF(Worksheet!D$11="NO"," ","/P ") &amp; P57)</f>
        <v/>
      </c>
      <c r="B57" s="75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5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5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6" t="str">
        <f>IF(Worksheet!C44="", "", Worksheet!B44 &amp; IF(Worksheet!D$11="NO"," ","/P ") &amp; P59)</f>
        <v/>
      </c>
      <c r="B59" s="76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6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6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workbookViewId="0">
      <selection activeCell="H27" sqref="H27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</cols>
  <sheetData>
    <row r="2" spans="2:9" x14ac:dyDescent="0.25">
      <c r="B2" s="117" t="s">
        <v>146</v>
      </c>
      <c r="D2" s="117" t="s">
        <v>147</v>
      </c>
      <c r="H2" s="117" t="s">
        <v>148</v>
      </c>
      <c r="I2" s="117" t="s">
        <v>149</v>
      </c>
    </row>
    <row r="3" spans="2:9" x14ac:dyDescent="0.25">
      <c r="B3" t="s">
        <v>150</v>
      </c>
      <c r="D3" t="s">
        <v>151</v>
      </c>
      <c r="H3" s="25" t="s">
        <v>122</v>
      </c>
      <c r="I3" t="s">
        <v>152</v>
      </c>
    </row>
    <row r="4" spans="2:9" x14ac:dyDescent="0.25">
      <c r="B4" t="s">
        <v>153</v>
      </c>
      <c r="D4" t="s">
        <v>10</v>
      </c>
      <c r="H4" t="s">
        <v>123</v>
      </c>
      <c r="I4" t="s">
        <v>152</v>
      </c>
    </row>
    <row r="5" spans="2:9" x14ac:dyDescent="0.25">
      <c r="B5" t="s">
        <v>154</v>
      </c>
      <c r="H5" t="s">
        <v>125</v>
      </c>
      <c r="I5" t="s">
        <v>152</v>
      </c>
    </row>
    <row r="6" spans="2:9" x14ac:dyDescent="0.25">
      <c r="H6" t="s">
        <v>127</v>
      </c>
      <c r="I6" t="s">
        <v>152</v>
      </c>
    </row>
    <row r="7" spans="2:9" x14ac:dyDescent="0.25">
      <c r="H7" t="s">
        <v>129</v>
      </c>
      <c r="I7" t="s">
        <v>155</v>
      </c>
    </row>
    <row r="8" spans="2:9" x14ac:dyDescent="0.25">
      <c r="H8" t="s">
        <v>156</v>
      </c>
      <c r="I8" t="s">
        <v>152</v>
      </c>
    </row>
    <row r="10" spans="2:9" x14ac:dyDescent="0.25">
      <c r="B10" s="117" t="s">
        <v>157</v>
      </c>
    </row>
    <row r="12" spans="2:9" x14ac:dyDescent="0.25">
      <c r="B12" t="str" cm="1">
        <f t="array" ref="B12:B24">Thresholds[Scale]</f>
        <v>HRA</v>
      </c>
      <c r="H12" s="117" t="s">
        <v>158</v>
      </c>
      <c r="I12" s="117" t="s">
        <v>159</v>
      </c>
    </row>
    <row r="13" spans="2:9" x14ac:dyDescent="0.25">
      <c r="B13" t="str">
        <v>HRBW</v>
      </c>
      <c r="H13" t="s">
        <v>138</v>
      </c>
      <c r="I13" t="s">
        <v>160</v>
      </c>
    </row>
    <row r="14" spans="2:9" x14ac:dyDescent="0.25">
      <c r="B14" t="str">
        <v>HRC</v>
      </c>
      <c r="H14" t="s">
        <v>139</v>
      </c>
      <c r="I14" t="s">
        <v>155</v>
      </c>
    </row>
    <row r="15" spans="2:9" x14ac:dyDescent="0.25">
      <c r="B15" t="str">
        <v>HREW</v>
      </c>
      <c r="H15" t="s">
        <v>141</v>
      </c>
      <c r="I15" t="s">
        <v>161</v>
      </c>
    </row>
    <row r="16" spans="2:9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162</v>
      </c>
      <c r="I18" t="s">
        <v>163</v>
      </c>
    </row>
    <row r="19" spans="2:14" ht="15.75" thickBot="1" x14ac:dyDescent="0.3">
      <c r="B19" t="str">
        <v>HR30N</v>
      </c>
      <c r="D19" s="89" t="s">
        <v>164</v>
      </c>
      <c r="E19" s="90" t="s">
        <v>165</v>
      </c>
      <c r="F19" s="89" t="s">
        <v>166</v>
      </c>
      <c r="G19" s="90" t="s">
        <v>167</v>
      </c>
      <c r="I19" s="88" t="s">
        <v>168</v>
      </c>
      <c r="J19" s="88" t="s">
        <v>169</v>
      </c>
      <c r="K19" s="88" t="s">
        <v>170</v>
      </c>
      <c r="L19" s="88" t="s">
        <v>171</v>
      </c>
      <c r="N19" s="91" t="s">
        <v>172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</row>
    <row r="2" spans="1:10" x14ac:dyDescent="0.25">
      <c r="A2" t="s">
        <v>183</v>
      </c>
      <c r="B2" s="31" t="s">
        <v>184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185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186</v>
      </c>
      <c r="B3" s="33" t="s">
        <v>184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185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187</v>
      </c>
      <c r="B4" s="33" t="s">
        <v>184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185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188</v>
      </c>
      <c r="B5" s="33" t="s">
        <v>184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190</v>
      </c>
      <c r="B6" s="33" t="s">
        <v>184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191</v>
      </c>
      <c r="B7" s="33" t="s">
        <v>184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192</v>
      </c>
      <c r="B8" s="33" t="s">
        <v>184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193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194</v>
      </c>
      <c r="B9" s="33" t="s">
        <v>184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193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195</v>
      </c>
      <c r="B10" s="33" t="s">
        <v>184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193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196</v>
      </c>
      <c r="B11" s="33" t="s">
        <v>184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197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198</v>
      </c>
      <c r="B12" s="33" t="s">
        <v>184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197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199</v>
      </c>
      <c r="B13" s="33" t="s">
        <v>184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197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200</v>
      </c>
      <c r="B14" s="33" t="s">
        <v>184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201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202</v>
      </c>
      <c r="B15" s="33" t="s">
        <v>184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201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203</v>
      </c>
      <c r="B16" s="33" t="s">
        <v>184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201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204</v>
      </c>
      <c r="B17" s="33" t="s">
        <v>184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205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206</v>
      </c>
      <c r="B18" s="33" t="s">
        <v>184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205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207</v>
      </c>
      <c r="B19" s="33" t="s">
        <v>184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208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209</v>
      </c>
      <c r="B20" s="33" t="s">
        <v>184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208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210</v>
      </c>
      <c r="B21" s="33" t="s">
        <v>184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208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211</v>
      </c>
      <c r="B22" s="33" t="s">
        <v>184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212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213</v>
      </c>
      <c r="B23" s="33" t="s">
        <v>184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212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214</v>
      </c>
      <c r="B24" s="33" t="s">
        <v>184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212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215</v>
      </c>
      <c r="B25" s="33" t="s">
        <v>184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217</v>
      </c>
      <c r="B26" s="33" t="s">
        <v>184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218</v>
      </c>
      <c r="B27" s="33" t="s">
        <v>184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219</v>
      </c>
      <c r="B28" s="33" t="s">
        <v>184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220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221</v>
      </c>
      <c r="B29" s="33" t="s">
        <v>184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220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222</v>
      </c>
      <c r="B30" s="33" t="s">
        <v>184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220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223</v>
      </c>
      <c r="B31" s="33" t="s">
        <v>184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224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225</v>
      </c>
      <c r="B32" s="33" t="s">
        <v>184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224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226</v>
      </c>
      <c r="B33" s="33" t="s">
        <v>184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224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227</v>
      </c>
      <c r="B34" s="33" t="s">
        <v>184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228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229</v>
      </c>
      <c r="B35" s="33" t="s">
        <v>184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228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230</v>
      </c>
      <c r="B36" s="33" t="s">
        <v>184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228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231</v>
      </c>
      <c r="B37" s="33" t="s">
        <v>184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232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233</v>
      </c>
      <c r="B38" s="34" t="s">
        <v>184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232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6" t="s">
        <v>234</v>
      </c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6"/>
    </row>
    <row r="2" spans="1:31" ht="15.75" thickBot="1" x14ac:dyDescent="0.3">
      <c r="A2" s="17" t="s">
        <v>235</v>
      </c>
      <c r="B2" s="89" t="s">
        <v>236</v>
      </c>
      <c r="C2" s="89" t="s">
        <v>237</v>
      </c>
      <c r="D2" s="91" t="s">
        <v>238</v>
      </c>
      <c r="H2" s="17" t="s">
        <v>63</v>
      </c>
      <c r="M2" s="17" t="s">
        <v>86</v>
      </c>
      <c r="R2" s="156" t="s">
        <v>239</v>
      </c>
      <c r="S2" s="156"/>
      <c r="T2" s="156"/>
      <c r="U2" s="122"/>
      <c r="V2" s="118"/>
      <c r="W2" s="156" t="s">
        <v>240</v>
      </c>
      <c r="X2" s="156"/>
      <c r="Y2" s="156"/>
      <c r="Z2" s="122"/>
      <c r="AA2" s="118"/>
      <c r="AB2" s="156" t="s">
        <v>241</v>
      </c>
      <c r="AC2" s="156"/>
      <c r="AD2" s="156"/>
      <c r="AE2" s="16"/>
    </row>
    <row r="3" spans="1:31" ht="15.75" thickTop="1" x14ac:dyDescent="0.25">
      <c r="A3" t="s">
        <v>65</v>
      </c>
      <c r="B3" t="s">
        <v>242</v>
      </c>
      <c r="C3" t="s">
        <v>243</v>
      </c>
      <c r="D3" t="s">
        <v>244</v>
      </c>
      <c r="E3" t="s">
        <v>245</v>
      </c>
      <c r="F3" t="s">
        <v>246</v>
      </c>
      <c r="H3" t="s">
        <v>65</v>
      </c>
      <c r="I3" t="s">
        <v>236</v>
      </c>
      <c r="J3" t="s">
        <v>237</v>
      </c>
      <c r="K3" t="s">
        <v>238</v>
      </c>
      <c r="M3" t="s">
        <v>24</v>
      </c>
      <c r="N3" t="s">
        <v>236</v>
      </c>
      <c r="O3" t="s">
        <v>237</v>
      </c>
      <c r="P3" t="s">
        <v>238</v>
      </c>
      <c r="R3" t="s">
        <v>65</v>
      </c>
      <c r="S3" t="s">
        <v>176</v>
      </c>
      <c r="T3" t="s">
        <v>177</v>
      </c>
      <c r="U3" t="s">
        <v>174</v>
      </c>
      <c r="W3" t="s">
        <v>65</v>
      </c>
      <c r="X3" t="s">
        <v>176</v>
      </c>
      <c r="Y3" t="s">
        <v>177</v>
      </c>
      <c r="Z3" t="s">
        <v>174</v>
      </c>
      <c r="AB3" t="s">
        <v>65</v>
      </c>
      <c r="AC3" t="s">
        <v>176</v>
      </c>
      <c r="AD3" t="s">
        <v>177</v>
      </c>
      <c r="AE3" t="s">
        <v>174</v>
      </c>
    </row>
    <row r="4" spans="1:31" x14ac:dyDescent="0.25">
      <c r="A4" t="s">
        <v>185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185</v>
      </c>
      <c r="I4">
        <v>1</v>
      </c>
      <c r="J4">
        <v>1</v>
      </c>
      <c r="K4">
        <v>0.5</v>
      </c>
      <c r="M4" t="s">
        <v>185</v>
      </c>
      <c r="N4">
        <v>2</v>
      </c>
      <c r="O4">
        <v>1.5</v>
      </c>
      <c r="P4">
        <v>1</v>
      </c>
      <c r="R4" t="s">
        <v>185</v>
      </c>
      <c r="S4">
        <v>0.31</v>
      </c>
      <c r="T4">
        <v>0</v>
      </c>
      <c r="U4" t="s">
        <v>184</v>
      </c>
      <c r="W4" t="s">
        <v>185</v>
      </c>
      <c r="X4">
        <v>0.32</v>
      </c>
      <c r="Y4">
        <v>0</v>
      </c>
      <c r="Z4" t="s">
        <v>184</v>
      </c>
      <c r="AB4" t="s">
        <v>185</v>
      </c>
      <c r="AC4">
        <v>0.2</v>
      </c>
      <c r="AD4">
        <v>0</v>
      </c>
      <c r="AE4" t="s">
        <v>184</v>
      </c>
    </row>
    <row r="5" spans="1:31" x14ac:dyDescent="0.25">
      <c r="A5" t="s">
        <v>189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189</v>
      </c>
      <c r="I5">
        <v>2.5</v>
      </c>
      <c r="J5">
        <v>2.5</v>
      </c>
      <c r="K5">
        <v>1</v>
      </c>
      <c r="M5" t="s">
        <v>189</v>
      </c>
      <c r="N5">
        <v>2</v>
      </c>
      <c r="O5">
        <v>1.5</v>
      </c>
      <c r="P5">
        <v>1.5</v>
      </c>
      <c r="R5" t="s">
        <v>189</v>
      </c>
      <c r="S5">
        <v>0.36</v>
      </c>
      <c r="T5">
        <v>0</v>
      </c>
      <c r="U5" t="s">
        <v>184</v>
      </c>
      <c r="W5" t="s">
        <v>189</v>
      </c>
      <c r="X5">
        <v>0.26</v>
      </c>
      <c r="Y5">
        <v>0</v>
      </c>
      <c r="Z5" t="s">
        <v>184</v>
      </c>
      <c r="AB5" t="s">
        <v>189</v>
      </c>
      <c r="AC5">
        <v>0.39</v>
      </c>
      <c r="AD5">
        <v>0</v>
      </c>
      <c r="AE5" t="s">
        <v>184</v>
      </c>
    </row>
    <row r="6" spans="1:31" x14ac:dyDescent="0.25">
      <c r="A6" t="s">
        <v>193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193</v>
      </c>
      <c r="I6">
        <v>1</v>
      </c>
      <c r="J6">
        <v>1</v>
      </c>
      <c r="K6">
        <v>0.5</v>
      </c>
      <c r="M6" t="s">
        <v>193</v>
      </c>
      <c r="N6">
        <v>2</v>
      </c>
      <c r="O6">
        <v>1.5</v>
      </c>
      <c r="P6">
        <v>1</v>
      </c>
      <c r="R6" t="s">
        <v>193</v>
      </c>
      <c r="S6">
        <v>0.39</v>
      </c>
      <c r="T6">
        <v>0</v>
      </c>
      <c r="U6" t="s">
        <v>184</v>
      </c>
      <c r="W6" t="s">
        <v>193</v>
      </c>
      <c r="X6">
        <v>0.34</v>
      </c>
      <c r="Y6">
        <v>0</v>
      </c>
      <c r="Z6" t="s">
        <v>184</v>
      </c>
      <c r="AB6" t="s">
        <v>193</v>
      </c>
      <c r="AC6">
        <v>0.32</v>
      </c>
      <c r="AD6">
        <v>0</v>
      </c>
      <c r="AE6" t="s">
        <v>184</v>
      </c>
    </row>
    <row r="7" spans="1:31" x14ac:dyDescent="0.25">
      <c r="A7" t="s">
        <v>197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197</v>
      </c>
      <c r="I7">
        <v>1</v>
      </c>
      <c r="J7">
        <v>1</v>
      </c>
      <c r="K7">
        <v>1</v>
      </c>
      <c r="M7" t="s">
        <v>197</v>
      </c>
      <c r="N7">
        <v>1.5</v>
      </c>
      <c r="O7">
        <v>1.5</v>
      </c>
      <c r="P7">
        <v>1</v>
      </c>
      <c r="R7" t="s">
        <v>197</v>
      </c>
      <c r="S7">
        <v>0.39</v>
      </c>
      <c r="T7">
        <v>0</v>
      </c>
      <c r="U7" t="s">
        <v>184</v>
      </c>
      <c r="W7" t="s">
        <v>197</v>
      </c>
      <c r="X7">
        <v>0.49</v>
      </c>
      <c r="Y7">
        <v>0</v>
      </c>
      <c r="Z7" t="s">
        <v>184</v>
      </c>
      <c r="AB7" t="s">
        <v>197</v>
      </c>
      <c r="AC7">
        <v>0.49</v>
      </c>
      <c r="AD7">
        <v>0</v>
      </c>
      <c r="AE7" t="s">
        <v>184</v>
      </c>
    </row>
    <row r="8" spans="1:31" x14ac:dyDescent="0.25">
      <c r="A8" t="s">
        <v>201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201</v>
      </c>
      <c r="I8">
        <v>1</v>
      </c>
      <c r="J8">
        <v>1</v>
      </c>
      <c r="K8">
        <v>1</v>
      </c>
      <c r="M8" t="s">
        <v>201</v>
      </c>
      <c r="N8">
        <v>1.5</v>
      </c>
      <c r="O8">
        <v>1.5</v>
      </c>
      <c r="P8">
        <v>1</v>
      </c>
      <c r="R8" t="s">
        <v>201</v>
      </c>
      <c r="S8">
        <v>0.28000000000000003</v>
      </c>
      <c r="T8">
        <v>0</v>
      </c>
      <c r="U8" t="s">
        <v>184</v>
      </c>
      <c r="W8" t="s">
        <v>201</v>
      </c>
      <c r="X8">
        <v>0.47</v>
      </c>
      <c r="Y8">
        <v>0</v>
      </c>
      <c r="Z8" t="s">
        <v>184</v>
      </c>
      <c r="AB8" t="s">
        <v>201</v>
      </c>
      <c r="AC8">
        <v>0.45</v>
      </c>
      <c r="AD8">
        <v>0</v>
      </c>
      <c r="AE8" t="s">
        <v>184</v>
      </c>
    </row>
    <row r="9" spans="1:31" x14ac:dyDescent="0.25">
      <c r="A9" t="s">
        <v>205</v>
      </c>
      <c r="B9" t="str">
        <f>"&lt; "&amp;Thresholds[[#This Row],[Threshold1]]</f>
        <v>&lt; 96</v>
      </c>
      <c r="C9" t="s">
        <v>247</v>
      </c>
      <c r="D9" t="str">
        <f>"≥ "&amp;Thresholds[[#This Row],[Threshold2]]</f>
        <v>≥ 96</v>
      </c>
      <c r="E9">
        <v>96</v>
      </c>
      <c r="F9">
        <v>96</v>
      </c>
      <c r="H9" t="s">
        <v>205</v>
      </c>
      <c r="I9">
        <v>1</v>
      </c>
      <c r="J9" t="e">
        <v>#N/A</v>
      </c>
      <c r="K9">
        <v>1</v>
      </c>
      <c r="M9" t="s">
        <v>205</v>
      </c>
      <c r="N9">
        <v>2</v>
      </c>
      <c r="O9" t="e">
        <v>#N/A</v>
      </c>
      <c r="P9">
        <v>1.5</v>
      </c>
      <c r="R9" t="s">
        <v>205</v>
      </c>
      <c r="S9">
        <v>0.45</v>
      </c>
      <c r="T9">
        <v>0</v>
      </c>
      <c r="U9" t="s">
        <v>184</v>
      </c>
      <c r="W9" t="s">
        <v>208</v>
      </c>
      <c r="X9">
        <v>0.42</v>
      </c>
      <c r="Y9">
        <v>0</v>
      </c>
      <c r="Z9" t="s">
        <v>184</v>
      </c>
      <c r="AB9" t="s">
        <v>205</v>
      </c>
      <c r="AC9">
        <v>0.36</v>
      </c>
      <c r="AD9">
        <v>0</v>
      </c>
      <c r="AE9" t="s">
        <v>184</v>
      </c>
    </row>
    <row r="10" spans="1:31" x14ac:dyDescent="0.25">
      <c r="A10" t="s">
        <v>208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208</v>
      </c>
      <c r="I10">
        <v>1</v>
      </c>
      <c r="J10">
        <v>1</v>
      </c>
      <c r="K10">
        <v>0.7</v>
      </c>
      <c r="M10" t="s">
        <v>208</v>
      </c>
      <c r="N10">
        <v>2</v>
      </c>
      <c r="O10">
        <v>1.5</v>
      </c>
      <c r="P10">
        <v>1</v>
      </c>
      <c r="R10" t="s">
        <v>208</v>
      </c>
      <c r="S10">
        <v>0.42</v>
      </c>
      <c r="T10">
        <v>0</v>
      </c>
      <c r="U10" t="s">
        <v>184</v>
      </c>
      <c r="W10" t="s">
        <v>212</v>
      </c>
      <c r="X10">
        <v>0.47</v>
      </c>
      <c r="Y10">
        <v>0</v>
      </c>
      <c r="Z10" t="s">
        <v>184</v>
      </c>
      <c r="AB10" t="s">
        <v>208</v>
      </c>
      <c r="AC10">
        <v>0.51</v>
      </c>
      <c r="AD10">
        <v>0</v>
      </c>
      <c r="AE10" t="s">
        <v>184</v>
      </c>
    </row>
    <row r="11" spans="1:31" x14ac:dyDescent="0.25">
      <c r="A11" t="s">
        <v>212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212</v>
      </c>
      <c r="I11">
        <v>1</v>
      </c>
      <c r="J11">
        <v>1</v>
      </c>
      <c r="K11">
        <v>0.7</v>
      </c>
      <c r="M11" t="s">
        <v>212</v>
      </c>
      <c r="N11">
        <v>2</v>
      </c>
      <c r="O11">
        <v>1.5</v>
      </c>
      <c r="P11">
        <v>1</v>
      </c>
      <c r="R11" t="s">
        <v>212</v>
      </c>
      <c r="S11">
        <v>0.3</v>
      </c>
      <c r="T11">
        <v>0</v>
      </c>
      <c r="U11" t="s">
        <v>184</v>
      </c>
      <c r="W11" t="s">
        <v>216</v>
      </c>
      <c r="X11">
        <v>0.25</v>
      </c>
      <c r="Y11">
        <v>0</v>
      </c>
      <c r="Z11" t="s">
        <v>184</v>
      </c>
      <c r="AB11" t="s">
        <v>212</v>
      </c>
      <c r="AC11">
        <v>0.54</v>
      </c>
      <c r="AD11">
        <v>0</v>
      </c>
      <c r="AE11" t="s">
        <v>184</v>
      </c>
    </row>
    <row r="12" spans="1:31" x14ac:dyDescent="0.25">
      <c r="A12" t="s">
        <v>216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216</v>
      </c>
      <c r="I12">
        <v>1</v>
      </c>
      <c r="J12">
        <v>1</v>
      </c>
      <c r="K12">
        <v>0.7</v>
      </c>
      <c r="M12" t="s">
        <v>216</v>
      </c>
      <c r="N12">
        <v>2</v>
      </c>
      <c r="O12">
        <v>1.5</v>
      </c>
      <c r="P12">
        <v>1</v>
      </c>
      <c r="R12" t="s">
        <v>216</v>
      </c>
      <c r="S12">
        <v>0.5</v>
      </c>
      <c r="T12">
        <v>0</v>
      </c>
      <c r="U12" t="s">
        <v>184</v>
      </c>
      <c r="W12" t="s">
        <v>220</v>
      </c>
      <c r="X12">
        <v>0.39</v>
      </c>
      <c r="Y12">
        <v>0</v>
      </c>
      <c r="Z12" t="s">
        <v>184</v>
      </c>
      <c r="AB12" t="s">
        <v>216</v>
      </c>
      <c r="AC12">
        <v>0.2</v>
      </c>
      <c r="AD12">
        <v>0</v>
      </c>
      <c r="AE12" t="s">
        <v>184</v>
      </c>
    </row>
    <row r="13" spans="1:31" x14ac:dyDescent="0.25">
      <c r="A13" t="s">
        <v>220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220</v>
      </c>
      <c r="I13">
        <v>1.5</v>
      </c>
      <c r="J13">
        <v>1</v>
      </c>
      <c r="K13">
        <v>1</v>
      </c>
      <c r="M13" t="s">
        <v>220</v>
      </c>
      <c r="N13">
        <v>2</v>
      </c>
      <c r="O13">
        <v>1.5</v>
      </c>
      <c r="P13">
        <v>1.5</v>
      </c>
      <c r="R13" t="s">
        <v>220</v>
      </c>
      <c r="S13">
        <v>0.45</v>
      </c>
      <c r="T13">
        <v>0</v>
      </c>
      <c r="U13" t="s">
        <v>184</v>
      </c>
      <c r="W13" t="s">
        <v>224</v>
      </c>
      <c r="X13">
        <v>0.64</v>
      </c>
      <c r="Y13">
        <v>0</v>
      </c>
      <c r="Z13" t="s">
        <v>184</v>
      </c>
      <c r="AB13" t="s">
        <v>220</v>
      </c>
      <c r="AC13">
        <v>0.31158530446307792</v>
      </c>
      <c r="AD13">
        <v>0</v>
      </c>
      <c r="AE13" t="s">
        <v>184</v>
      </c>
    </row>
    <row r="14" spans="1:31" x14ac:dyDescent="0.25">
      <c r="A14" t="s">
        <v>224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224</v>
      </c>
      <c r="I14">
        <v>1.5</v>
      </c>
      <c r="J14">
        <v>1</v>
      </c>
      <c r="K14">
        <v>1</v>
      </c>
      <c r="M14" t="s">
        <v>224</v>
      </c>
      <c r="N14">
        <v>2</v>
      </c>
      <c r="O14">
        <v>1.5</v>
      </c>
      <c r="P14">
        <v>1.5</v>
      </c>
      <c r="R14" t="s">
        <v>224</v>
      </c>
      <c r="S14">
        <v>0.57999999999999996</v>
      </c>
      <c r="T14">
        <v>0</v>
      </c>
      <c r="U14" t="s">
        <v>184</v>
      </c>
      <c r="W14" t="s">
        <v>228</v>
      </c>
      <c r="X14">
        <v>0.41</v>
      </c>
      <c r="Y14">
        <v>0</v>
      </c>
      <c r="Z14" t="s">
        <v>184</v>
      </c>
      <c r="AB14" t="s">
        <v>224</v>
      </c>
      <c r="AC14">
        <v>0.22</v>
      </c>
      <c r="AD14">
        <v>0</v>
      </c>
      <c r="AE14" t="s">
        <v>184</v>
      </c>
    </row>
    <row r="15" spans="1:31" x14ac:dyDescent="0.25">
      <c r="A15" t="s">
        <v>228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228</v>
      </c>
      <c r="I15">
        <v>1.5</v>
      </c>
      <c r="J15">
        <v>1</v>
      </c>
      <c r="K15">
        <v>1</v>
      </c>
      <c r="M15" t="s">
        <v>228</v>
      </c>
      <c r="N15">
        <v>2</v>
      </c>
      <c r="O15">
        <v>1.5</v>
      </c>
      <c r="P15">
        <v>1.5</v>
      </c>
      <c r="R15" t="s">
        <v>228</v>
      </c>
      <c r="S15">
        <v>0.7</v>
      </c>
      <c r="T15">
        <v>0</v>
      </c>
      <c r="U15" t="s">
        <v>184</v>
      </c>
      <c r="W15" t="s">
        <v>232</v>
      </c>
      <c r="Y15">
        <v>0</v>
      </c>
      <c r="Z15" t="s">
        <v>184</v>
      </c>
      <c r="AB15" t="s">
        <v>228</v>
      </c>
      <c r="AC15">
        <v>0.39</v>
      </c>
      <c r="AD15">
        <v>0</v>
      </c>
      <c r="AE15" t="s">
        <v>184</v>
      </c>
    </row>
    <row r="16" spans="1:31" x14ac:dyDescent="0.25">
      <c r="A16" t="s">
        <v>232</v>
      </c>
      <c r="B16" t="s">
        <v>247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232</v>
      </c>
      <c r="I16" t="e">
        <v>#N/A</v>
      </c>
      <c r="J16">
        <v>1</v>
      </c>
      <c r="K16">
        <v>1</v>
      </c>
      <c r="M16" t="s">
        <v>232</v>
      </c>
      <c r="N16" t="e">
        <f>NA()</f>
        <v>#N/A</v>
      </c>
      <c r="O16">
        <v>2</v>
      </c>
      <c r="P16">
        <v>2</v>
      </c>
      <c r="AB16" t="s">
        <v>232</v>
      </c>
      <c r="AD16">
        <v>0</v>
      </c>
      <c r="AE16" t="s">
        <v>184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topLeftCell="A172" workbookViewId="0">
      <selection activeCell="B20" sqref="B20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168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</row>
    <row r="2" spans="1:7" x14ac:dyDescent="0.25">
      <c r="A2" t="s">
        <v>254</v>
      </c>
      <c r="B2" t="s">
        <v>255</v>
      </c>
      <c r="C2" t="s">
        <v>256</v>
      </c>
      <c r="D2" t="s">
        <v>257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258</v>
      </c>
      <c r="B3" t="s">
        <v>259</v>
      </c>
      <c r="C3" t="s">
        <v>260</v>
      </c>
      <c r="D3" t="s">
        <v>261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258</v>
      </c>
      <c r="B4" t="s">
        <v>262</v>
      </c>
      <c r="C4" t="s">
        <v>260</v>
      </c>
      <c r="D4" t="s">
        <v>261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263</v>
      </c>
      <c r="B5" t="s">
        <v>264</v>
      </c>
      <c r="C5" t="s">
        <v>265</v>
      </c>
      <c r="D5" t="s">
        <v>266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267</v>
      </c>
      <c r="B6" t="s">
        <v>268</v>
      </c>
      <c r="C6" t="s">
        <v>269</v>
      </c>
      <c r="D6" t="s">
        <v>270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271</v>
      </c>
      <c r="B7" t="s">
        <v>272</v>
      </c>
      <c r="C7" t="s">
        <v>273</v>
      </c>
      <c r="D7" t="s">
        <v>274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275</v>
      </c>
      <c r="B8" t="s">
        <v>276</v>
      </c>
      <c r="C8" t="s">
        <v>273</v>
      </c>
      <c r="D8" t="s">
        <v>277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275</v>
      </c>
      <c r="B9" t="s">
        <v>276</v>
      </c>
      <c r="C9" t="s">
        <v>273</v>
      </c>
      <c r="D9" t="s">
        <v>278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279</v>
      </c>
      <c r="B10" t="s">
        <v>280</v>
      </c>
      <c r="C10" t="s">
        <v>273</v>
      </c>
      <c r="D10" t="s">
        <v>277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279</v>
      </c>
      <c r="B11" t="s">
        <v>281</v>
      </c>
      <c r="C11" t="s">
        <v>282</v>
      </c>
      <c r="D11" t="s">
        <v>277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279</v>
      </c>
      <c r="B12" t="s">
        <v>281</v>
      </c>
      <c r="C12" t="s">
        <v>282</v>
      </c>
      <c r="D12" t="s">
        <v>283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284</v>
      </c>
      <c r="B13" t="s">
        <v>285</v>
      </c>
      <c r="C13" t="s">
        <v>286</v>
      </c>
      <c r="D13" t="s">
        <v>287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288</v>
      </c>
      <c r="B14" t="s">
        <v>289</v>
      </c>
      <c r="C14" t="s">
        <v>290</v>
      </c>
      <c r="D14" t="s">
        <v>291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292</v>
      </c>
      <c r="B15" t="s">
        <v>293</v>
      </c>
      <c r="C15" t="s">
        <v>294</v>
      </c>
      <c r="D15" t="s">
        <v>295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296</v>
      </c>
      <c r="C16" t="s">
        <v>297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298</v>
      </c>
      <c r="B17" t="s">
        <v>299</v>
      </c>
      <c r="C17" t="s">
        <v>300</v>
      </c>
      <c r="D17" t="s">
        <v>301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298</v>
      </c>
      <c r="B18" t="s">
        <v>302</v>
      </c>
      <c r="C18" t="s">
        <v>303</v>
      </c>
      <c r="D18" t="s">
        <v>301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304</v>
      </c>
      <c r="B19" t="s">
        <v>305</v>
      </c>
      <c r="C19" t="s">
        <v>306</v>
      </c>
      <c r="D19" t="s">
        <v>307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304</v>
      </c>
      <c r="B20" t="s">
        <v>308</v>
      </c>
      <c r="C20" t="s">
        <v>309</v>
      </c>
      <c r="D20" t="s">
        <v>307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310</v>
      </c>
      <c r="B21" t="s">
        <v>311</v>
      </c>
      <c r="C21" t="s">
        <v>312</v>
      </c>
      <c r="D21" t="s">
        <v>313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314</v>
      </c>
      <c r="B22" t="s">
        <v>315</v>
      </c>
      <c r="C22" t="s">
        <v>316</v>
      </c>
      <c r="D22" t="s">
        <v>317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314</v>
      </c>
      <c r="B23" t="s">
        <v>315</v>
      </c>
      <c r="C23" t="s">
        <v>316</v>
      </c>
      <c r="D23" t="s">
        <v>318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319</v>
      </c>
      <c r="B24" t="s">
        <v>320</v>
      </c>
      <c r="C24" t="s">
        <v>321</v>
      </c>
      <c r="D24" t="s">
        <v>322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319</v>
      </c>
      <c r="B25" t="s">
        <v>323</v>
      </c>
      <c r="C25" t="s">
        <v>321</v>
      </c>
      <c r="D25" t="s">
        <v>322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319</v>
      </c>
      <c r="B26" t="s">
        <v>323</v>
      </c>
      <c r="C26" t="s">
        <v>321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324</v>
      </c>
      <c r="B27" t="s">
        <v>325</v>
      </c>
      <c r="C27" t="s">
        <v>326</v>
      </c>
      <c r="D27" t="s">
        <v>327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324</v>
      </c>
      <c r="B28" t="s">
        <v>323</v>
      </c>
      <c r="C28" t="s">
        <v>321</v>
      </c>
      <c r="D28" t="s">
        <v>322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328</v>
      </c>
      <c r="B29" t="s">
        <v>329</v>
      </c>
      <c r="C29" t="s">
        <v>330</v>
      </c>
      <c r="D29" t="s">
        <v>331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332</v>
      </c>
      <c r="C30" t="s">
        <v>297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333</v>
      </c>
      <c r="B31" t="s">
        <v>334</v>
      </c>
      <c r="C31" t="s">
        <v>335</v>
      </c>
      <c r="D31" t="s">
        <v>336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337</v>
      </c>
      <c r="B32" t="s">
        <v>338</v>
      </c>
      <c r="C32" t="s">
        <v>339</v>
      </c>
      <c r="D32" t="s">
        <v>340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337</v>
      </c>
      <c r="B33" t="s">
        <v>341</v>
      </c>
      <c r="C33" t="s">
        <v>339</v>
      </c>
      <c r="D33" t="s">
        <v>340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342</v>
      </c>
      <c r="C34" t="s">
        <v>297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343</v>
      </c>
      <c r="B35" t="s">
        <v>344</v>
      </c>
      <c r="C35" t="s">
        <v>345</v>
      </c>
      <c r="D35" t="s">
        <v>346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347</v>
      </c>
      <c r="B36" t="s">
        <v>348</v>
      </c>
      <c r="C36" t="s">
        <v>349</v>
      </c>
      <c r="D36" t="s">
        <v>350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351</v>
      </c>
      <c r="B37" t="s">
        <v>352</v>
      </c>
      <c r="C37" t="s">
        <v>353</v>
      </c>
      <c r="D37" t="s">
        <v>354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351</v>
      </c>
      <c r="B38" t="s">
        <v>355</v>
      </c>
      <c r="C38" t="s">
        <v>353</v>
      </c>
      <c r="D38" t="s">
        <v>354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351</v>
      </c>
      <c r="B39" t="s">
        <v>355</v>
      </c>
      <c r="C39" t="s">
        <v>353</v>
      </c>
      <c r="D39" t="s">
        <v>356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357</v>
      </c>
      <c r="B40" t="s">
        <v>358</v>
      </c>
      <c r="C40" t="s">
        <v>359</v>
      </c>
      <c r="D40" t="s">
        <v>360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357</v>
      </c>
      <c r="B41" t="s">
        <v>361</v>
      </c>
      <c r="C41" t="s">
        <v>362</v>
      </c>
      <c r="D41" t="s">
        <v>360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363</v>
      </c>
      <c r="C42" t="s">
        <v>297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364</v>
      </c>
      <c r="B43" t="s">
        <v>365</v>
      </c>
      <c r="C43" t="s">
        <v>273</v>
      </c>
      <c r="D43" t="s">
        <v>366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364</v>
      </c>
      <c r="B44" t="s">
        <v>365</v>
      </c>
      <c r="C44" t="s">
        <v>273</v>
      </c>
      <c r="D44" t="s">
        <v>367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368</v>
      </c>
      <c r="B45" t="s">
        <v>369</v>
      </c>
      <c r="C45" t="s">
        <v>370</v>
      </c>
      <c r="D45" t="s">
        <v>371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368</v>
      </c>
      <c r="B46" t="s">
        <v>372</v>
      </c>
      <c r="C46" t="s">
        <v>370</v>
      </c>
      <c r="D46" t="s">
        <v>371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368</v>
      </c>
      <c r="C47" t="s">
        <v>297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373</v>
      </c>
      <c r="B48" t="s">
        <v>374</v>
      </c>
      <c r="C48" t="s">
        <v>375</v>
      </c>
      <c r="D48" t="s">
        <v>376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377</v>
      </c>
      <c r="B49" t="s">
        <v>378</v>
      </c>
      <c r="C49" t="s">
        <v>379</v>
      </c>
      <c r="D49" t="s">
        <v>380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377</v>
      </c>
      <c r="C50" t="s">
        <v>297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381</v>
      </c>
      <c r="B51" t="s">
        <v>382</v>
      </c>
      <c r="C51" t="s">
        <v>383</v>
      </c>
      <c r="D51" t="s">
        <v>384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381</v>
      </c>
      <c r="B52" t="s">
        <v>382</v>
      </c>
      <c r="C52" t="s">
        <v>383</v>
      </c>
      <c r="D52" t="s">
        <v>385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386</v>
      </c>
      <c r="B53" t="s">
        <v>387</v>
      </c>
      <c r="C53" t="s">
        <v>388</v>
      </c>
      <c r="D53" t="s">
        <v>389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390</v>
      </c>
      <c r="B54" t="s">
        <v>391</v>
      </c>
      <c r="C54" t="s">
        <v>392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390</v>
      </c>
      <c r="B55" t="s">
        <v>393</v>
      </c>
      <c r="C55" t="s">
        <v>394</v>
      </c>
      <c r="D55" t="s">
        <v>395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390</v>
      </c>
      <c r="C56" t="s">
        <v>297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396</v>
      </c>
      <c r="B57" t="s">
        <v>397</v>
      </c>
      <c r="C57" t="s">
        <v>398</v>
      </c>
      <c r="D57" t="s">
        <v>399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396</v>
      </c>
      <c r="B58" t="s">
        <v>400</v>
      </c>
      <c r="C58" t="s">
        <v>273</v>
      </c>
      <c r="D58" t="s">
        <v>399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401</v>
      </c>
      <c r="B59" t="s">
        <v>402</v>
      </c>
      <c r="C59" t="s">
        <v>398</v>
      </c>
      <c r="D59" t="s">
        <v>399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403</v>
      </c>
      <c r="B60" t="s">
        <v>404</v>
      </c>
      <c r="C60" t="s">
        <v>388</v>
      </c>
      <c r="D60" t="s">
        <v>405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406</v>
      </c>
      <c r="B61" t="s">
        <v>407</v>
      </c>
      <c r="C61" t="s">
        <v>408</v>
      </c>
      <c r="D61" t="s">
        <v>409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406</v>
      </c>
      <c r="B62" t="s">
        <v>410</v>
      </c>
      <c r="C62" t="s">
        <v>408</v>
      </c>
      <c r="D62" t="s">
        <v>409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411</v>
      </c>
      <c r="B63" t="s">
        <v>412</v>
      </c>
      <c r="C63" t="s">
        <v>256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413</v>
      </c>
      <c r="C64" t="s">
        <v>297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414</v>
      </c>
      <c r="B65" t="s">
        <v>415</v>
      </c>
      <c r="C65" t="s">
        <v>416</v>
      </c>
      <c r="D65" t="s">
        <v>417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414</v>
      </c>
      <c r="B66" t="s">
        <v>418</v>
      </c>
      <c r="C66" t="s">
        <v>353</v>
      </c>
      <c r="D66" t="s">
        <v>417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414</v>
      </c>
      <c r="B67" t="s">
        <v>419</v>
      </c>
      <c r="C67" t="s">
        <v>379</v>
      </c>
      <c r="D67" t="s">
        <v>417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420</v>
      </c>
      <c r="B68" t="s">
        <v>421</v>
      </c>
      <c r="C68" t="s">
        <v>273</v>
      </c>
      <c r="D68" t="s">
        <v>422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423</v>
      </c>
      <c r="B69" t="s">
        <v>424</v>
      </c>
      <c r="C69" t="s">
        <v>425</v>
      </c>
      <c r="D69" t="s">
        <v>426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423</v>
      </c>
      <c r="B70" t="s">
        <v>424</v>
      </c>
      <c r="C70" t="s">
        <v>425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427</v>
      </c>
      <c r="B71" t="s">
        <v>428</v>
      </c>
      <c r="C71" t="s">
        <v>398</v>
      </c>
      <c r="D71" t="s">
        <v>429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430</v>
      </c>
      <c r="B72" t="s">
        <v>431</v>
      </c>
      <c r="C72" t="s">
        <v>294</v>
      </c>
      <c r="D72" t="s">
        <v>432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433</v>
      </c>
      <c r="B73" t="s">
        <v>434</v>
      </c>
      <c r="C73" t="s">
        <v>435</v>
      </c>
      <c r="D73" t="s">
        <v>436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437</v>
      </c>
      <c r="B74" t="s">
        <v>438</v>
      </c>
      <c r="C74" t="s">
        <v>290</v>
      </c>
      <c r="D74" t="s">
        <v>439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440</v>
      </c>
      <c r="B75" t="s">
        <v>441</v>
      </c>
      <c r="C75" t="s">
        <v>379</v>
      </c>
      <c r="D75" t="s">
        <v>442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440</v>
      </c>
      <c r="B76" t="s">
        <v>443</v>
      </c>
      <c r="C76" t="s">
        <v>379</v>
      </c>
      <c r="D76" t="s">
        <v>442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440</v>
      </c>
      <c r="B77" t="s">
        <v>444</v>
      </c>
      <c r="C77" t="s">
        <v>290</v>
      </c>
      <c r="D77" t="s">
        <v>445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446</v>
      </c>
      <c r="B78" t="s">
        <v>447</v>
      </c>
      <c r="C78" t="s">
        <v>448</v>
      </c>
      <c r="D78" t="s">
        <v>449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450</v>
      </c>
      <c r="B79" t="s">
        <v>451</v>
      </c>
      <c r="C79" t="s">
        <v>273</v>
      </c>
      <c r="D79" t="s">
        <v>452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453</v>
      </c>
      <c r="C80" t="s">
        <v>297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454</v>
      </c>
      <c r="B81" t="s">
        <v>455</v>
      </c>
      <c r="C81" t="s">
        <v>456</v>
      </c>
      <c r="D81" t="s">
        <v>457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458</v>
      </c>
      <c r="B82" t="s">
        <v>459</v>
      </c>
      <c r="C82" t="s">
        <v>460</v>
      </c>
      <c r="D82" t="s">
        <v>461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458</v>
      </c>
      <c r="B83" t="s">
        <v>462</v>
      </c>
      <c r="C83" t="s">
        <v>316</v>
      </c>
      <c r="D83" t="s">
        <v>461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463</v>
      </c>
      <c r="B84" t="s">
        <v>464</v>
      </c>
      <c r="C84" t="s">
        <v>465</v>
      </c>
      <c r="D84" t="s">
        <v>466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463</v>
      </c>
      <c r="B85" t="s">
        <v>467</v>
      </c>
      <c r="C85" t="s">
        <v>468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463</v>
      </c>
      <c r="B86" t="s">
        <v>469</v>
      </c>
      <c r="C86" t="s">
        <v>470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463</v>
      </c>
      <c r="B87" t="s">
        <v>471</v>
      </c>
      <c r="C87" t="s">
        <v>465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463</v>
      </c>
      <c r="B88" t="s">
        <v>472</v>
      </c>
      <c r="C88" t="s">
        <v>473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463</v>
      </c>
      <c r="B89" t="s">
        <v>474</v>
      </c>
      <c r="C89" t="s">
        <v>290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475</v>
      </c>
      <c r="B90" t="s">
        <v>476</v>
      </c>
      <c r="C90" t="s">
        <v>477</v>
      </c>
      <c r="D90" t="s">
        <v>478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475</v>
      </c>
      <c r="B91" t="s">
        <v>476</v>
      </c>
      <c r="C91" t="s">
        <v>477</v>
      </c>
      <c r="D91" t="s">
        <v>479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480</v>
      </c>
      <c r="B92" t="s">
        <v>481</v>
      </c>
      <c r="C92" t="s">
        <v>482</v>
      </c>
      <c r="D92" t="s">
        <v>483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480</v>
      </c>
      <c r="B93" t="s">
        <v>484</v>
      </c>
      <c r="C93" t="s">
        <v>485</v>
      </c>
      <c r="D93" t="s">
        <v>483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486</v>
      </c>
      <c r="B94" t="s">
        <v>487</v>
      </c>
      <c r="C94" t="s">
        <v>488</v>
      </c>
      <c r="D94" t="s">
        <v>489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490</v>
      </c>
      <c r="B95" t="s">
        <v>491</v>
      </c>
      <c r="C95" t="s">
        <v>398</v>
      </c>
      <c r="D95" t="s">
        <v>492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493</v>
      </c>
      <c r="B96" t="s">
        <v>494</v>
      </c>
      <c r="C96" t="s">
        <v>495</v>
      </c>
      <c r="D96" t="s">
        <v>496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497</v>
      </c>
      <c r="B97" t="s">
        <v>498</v>
      </c>
      <c r="C97" t="s">
        <v>448</v>
      </c>
      <c r="D97" t="s">
        <v>499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500</v>
      </c>
      <c r="B98" t="s">
        <v>501</v>
      </c>
      <c r="C98" t="s">
        <v>294</v>
      </c>
      <c r="D98" t="s">
        <v>502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503</v>
      </c>
      <c r="B99" t="s">
        <v>504</v>
      </c>
      <c r="C99" t="s">
        <v>290</v>
      </c>
      <c r="D99" t="s">
        <v>505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503</v>
      </c>
      <c r="B100" t="s">
        <v>443</v>
      </c>
      <c r="C100" t="s">
        <v>506</v>
      </c>
      <c r="D100" t="s">
        <v>505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507</v>
      </c>
      <c r="B101" t="s">
        <v>508</v>
      </c>
      <c r="C101" t="s">
        <v>294</v>
      </c>
      <c r="D101" t="s">
        <v>509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510</v>
      </c>
      <c r="C102" t="s">
        <v>297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511</v>
      </c>
      <c r="B103" t="s">
        <v>512</v>
      </c>
      <c r="C103" t="s">
        <v>273</v>
      </c>
      <c r="D103" t="s">
        <v>513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514</v>
      </c>
      <c r="B104" t="s">
        <v>515</v>
      </c>
      <c r="C104" t="s">
        <v>316</v>
      </c>
      <c r="D104" t="s">
        <v>516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514</v>
      </c>
      <c r="B105" t="s">
        <v>517</v>
      </c>
      <c r="C105" t="s">
        <v>518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519</v>
      </c>
      <c r="B106" t="s">
        <v>520</v>
      </c>
      <c r="C106" t="s">
        <v>273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519</v>
      </c>
      <c r="B107" t="s">
        <v>521</v>
      </c>
      <c r="C107" t="s">
        <v>273</v>
      </c>
      <c r="D107" t="s">
        <v>522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523</v>
      </c>
      <c r="B108" t="s">
        <v>524</v>
      </c>
      <c r="C108" t="s">
        <v>525</v>
      </c>
      <c r="D108" t="s">
        <v>526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527</v>
      </c>
      <c r="B109" t="s">
        <v>528</v>
      </c>
      <c r="C109" t="s">
        <v>273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529</v>
      </c>
      <c r="B110" t="s">
        <v>530</v>
      </c>
      <c r="C110" t="s">
        <v>383</v>
      </c>
      <c r="D110" t="s">
        <v>531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532</v>
      </c>
      <c r="B111" t="s">
        <v>533</v>
      </c>
      <c r="C111" t="s">
        <v>273</v>
      </c>
      <c r="D111" t="s">
        <v>534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535</v>
      </c>
      <c r="B112" t="s">
        <v>536</v>
      </c>
      <c r="C112" t="s">
        <v>383</v>
      </c>
      <c r="D112" t="s">
        <v>537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535</v>
      </c>
      <c r="B113" t="s">
        <v>538</v>
      </c>
      <c r="C113" t="s">
        <v>539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540</v>
      </c>
      <c r="B114" t="s">
        <v>541</v>
      </c>
      <c r="C114" t="s">
        <v>542</v>
      </c>
      <c r="D114" t="s">
        <v>543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544</v>
      </c>
      <c r="B115" t="s">
        <v>545</v>
      </c>
      <c r="C115" t="s">
        <v>546</v>
      </c>
      <c r="D115" t="s">
        <v>547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548</v>
      </c>
      <c r="B116" t="s">
        <v>549</v>
      </c>
      <c r="C116" t="s">
        <v>550</v>
      </c>
      <c r="D116" t="s">
        <v>551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548</v>
      </c>
      <c r="B117" t="s">
        <v>549</v>
      </c>
      <c r="C117" t="s">
        <v>552</v>
      </c>
      <c r="D117" t="s">
        <v>551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553</v>
      </c>
      <c r="B118" t="s">
        <v>554</v>
      </c>
      <c r="C118" t="s">
        <v>290</v>
      </c>
      <c r="D118" t="s">
        <v>555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556</v>
      </c>
      <c r="B119" t="s">
        <v>264</v>
      </c>
      <c r="C119" t="s">
        <v>265</v>
      </c>
      <c r="D119" t="s">
        <v>266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556</v>
      </c>
      <c r="B120" t="s">
        <v>557</v>
      </c>
      <c r="C120" t="s">
        <v>558</v>
      </c>
      <c r="D120" t="s">
        <v>559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560</v>
      </c>
      <c r="B121" t="s">
        <v>561</v>
      </c>
      <c r="C121" t="s">
        <v>290</v>
      </c>
      <c r="D121" t="s">
        <v>562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563</v>
      </c>
      <c r="B122" t="s">
        <v>564</v>
      </c>
      <c r="C122" t="s">
        <v>565</v>
      </c>
      <c r="D122" t="s">
        <v>566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563</v>
      </c>
      <c r="B123" t="s">
        <v>564</v>
      </c>
      <c r="C123" t="s">
        <v>565</v>
      </c>
      <c r="D123" t="s">
        <v>567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568</v>
      </c>
      <c r="B124" t="s">
        <v>569</v>
      </c>
      <c r="C124" t="s">
        <v>570</v>
      </c>
      <c r="D124" t="s">
        <v>571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568</v>
      </c>
      <c r="B125" t="s">
        <v>569</v>
      </c>
      <c r="C125" t="s">
        <v>570</v>
      </c>
      <c r="D125" t="s">
        <v>566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572</v>
      </c>
      <c r="B126" t="s">
        <v>573</v>
      </c>
      <c r="C126" t="s">
        <v>256</v>
      </c>
      <c r="D126" t="s">
        <v>574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575</v>
      </c>
      <c r="B127" t="s">
        <v>576</v>
      </c>
      <c r="C127" t="s">
        <v>398</v>
      </c>
      <c r="D127" t="s">
        <v>577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578</v>
      </c>
      <c r="B128" t="s">
        <v>579</v>
      </c>
      <c r="C128" t="s">
        <v>580</v>
      </c>
      <c r="D128" t="s">
        <v>581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582</v>
      </c>
      <c r="B129" t="s">
        <v>583</v>
      </c>
      <c r="C129" t="s">
        <v>273</v>
      </c>
      <c r="D129" t="s">
        <v>584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585</v>
      </c>
      <c r="B130" t="s">
        <v>586</v>
      </c>
      <c r="C130" t="s">
        <v>379</v>
      </c>
      <c r="D130" t="s">
        <v>587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588</v>
      </c>
      <c r="B131" t="s">
        <v>589</v>
      </c>
      <c r="C131" t="s">
        <v>383</v>
      </c>
      <c r="D131" t="s">
        <v>590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591</v>
      </c>
      <c r="B132" t="s">
        <v>592</v>
      </c>
      <c r="C132" t="s">
        <v>470</v>
      </c>
      <c r="D132" t="s">
        <v>593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591</v>
      </c>
      <c r="B133" t="s">
        <v>594</v>
      </c>
      <c r="C133" t="s">
        <v>290</v>
      </c>
      <c r="D133" t="s">
        <v>593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595</v>
      </c>
      <c r="B134" t="s">
        <v>596</v>
      </c>
      <c r="C134" t="s">
        <v>597</v>
      </c>
      <c r="D134" t="s">
        <v>598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595</v>
      </c>
      <c r="B135" t="s">
        <v>599</v>
      </c>
      <c r="C135" t="s">
        <v>597</v>
      </c>
      <c r="D135" t="s">
        <v>598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600</v>
      </c>
      <c r="B136" t="s">
        <v>601</v>
      </c>
      <c r="C136" t="s">
        <v>602</v>
      </c>
      <c r="D136" t="s">
        <v>603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600</v>
      </c>
      <c r="B137" t="s">
        <v>604</v>
      </c>
      <c r="C137" t="s">
        <v>602</v>
      </c>
      <c r="D137" t="s">
        <v>603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605</v>
      </c>
      <c r="B138" t="s">
        <v>606</v>
      </c>
      <c r="C138" t="s">
        <v>607</v>
      </c>
      <c r="D138" t="s">
        <v>608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605</v>
      </c>
      <c r="B139" t="s">
        <v>609</v>
      </c>
      <c r="C139" t="s">
        <v>607</v>
      </c>
      <c r="D139" t="s">
        <v>608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610</v>
      </c>
      <c r="B140" t="s">
        <v>611</v>
      </c>
      <c r="C140" t="s">
        <v>294</v>
      </c>
      <c r="D140" t="s">
        <v>612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613</v>
      </c>
      <c r="B141" t="s">
        <v>614</v>
      </c>
      <c r="C141" t="s">
        <v>615</v>
      </c>
      <c r="D141" t="s">
        <v>616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617</v>
      </c>
      <c r="B142" t="s">
        <v>618</v>
      </c>
      <c r="C142" t="s">
        <v>465</v>
      </c>
      <c r="D142" t="s">
        <v>619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617</v>
      </c>
      <c r="B143" t="s">
        <v>620</v>
      </c>
      <c r="C143" t="s">
        <v>621</v>
      </c>
      <c r="D143" t="s">
        <v>619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617</v>
      </c>
      <c r="B144" t="s">
        <v>620</v>
      </c>
      <c r="C144" t="s">
        <v>621</v>
      </c>
      <c r="D144" t="s">
        <v>622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623</v>
      </c>
      <c r="B145" t="s">
        <v>624</v>
      </c>
      <c r="C145" t="s">
        <v>625</v>
      </c>
      <c r="D145" t="s">
        <v>626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627</v>
      </c>
      <c r="B146" t="s">
        <v>628</v>
      </c>
      <c r="C146" t="s">
        <v>273</v>
      </c>
      <c r="D146" t="s">
        <v>629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630</v>
      </c>
      <c r="B147" t="s">
        <v>302</v>
      </c>
      <c r="C147" t="s">
        <v>303</v>
      </c>
      <c r="D147" t="s">
        <v>301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630</v>
      </c>
      <c r="B148" t="s">
        <v>302</v>
      </c>
      <c r="C148" t="s">
        <v>303</v>
      </c>
      <c r="D148" t="s">
        <v>631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632</v>
      </c>
      <c r="B149" t="s">
        <v>633</v>
      </c>
      <c r="C149" t="s">
        <v>290</v>
      </c>
      <c r="D149" t="s">
        <v>634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635</v>
      </c>
      <c r="B150" t="s">
        <v>636</v>
      </c>
      <c r="C150" t="s">
        <v>273</v>
      </c>
      <c r="D150" t="s">
        <v>637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638</v>
      </c>
      <c r="B151" t="s">
        <v>323</v>
      </c>
      <c r="C151" t="s">
        <v>321</v>
      </c>
      <c r="D151" t="s">
        <v>322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638</v>
      </c>
      <c r="B152" t="s">
        <v>639</v>
      </c>
      <c r="C152" t="s">
        <v>640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641</v>
      </c>
      <c r="B153" t="s">
        <v>642</v>
      </c>
      <c r="C153" t="s">
        <v>290</v>
      </c>
      <c r="D153" t="s">
        <v>643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644</v>
      </c>
      <c r="B154" t="s">
        <v>645</v>
      </c>
      <c r="C154" t="s">
        <v>646</v>
      </c>
      <c r="D154" t="s">
        <v>647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648</v>
      </c>
      <c r="B155" t="s">
        <v>649</v>
      </c>
      <c r="C155" t="s">
        <v>650</v>
      </c>
      <c r="D155" t="s">
        <v>651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648</v>
      </c>
      <c r="B156" t="s">
        <v>652</v>
      </c>
      <c r="C156" t="s">
        <v>303</v>
      </c>
      <c r="D156" t="s">
        <v>651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648</v>
      </c>
      <c r="B157" t="s">
        <v>649</v>
      </c>
      <c r="C157" t="s">
        <v>650</v>
      </c>
      <c r="D157" t="s">
        <v>653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654</v>
      </c>
      <c r="B158" t="s">
        <v>655</v>
      </c>
      <c r="C158" t="s">
        <v>656</v>
      </c>
      <c r="D158" t="s">
        <v>657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658</v>
      </c>
      <c r="B159" t="s">
        <v>659</v>
      </c>
      <c r="C159" t="s">
        <v>660</v>
      </c>
      <c r="D159" t="s">
        <v>661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658</v>
      </c>
      <c r="B160" t="s">
        <v>659</v>
      </c>
      <c r="C160" t="s">
        <v>660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662</v>
      </c>
      <c r="B161" t="s">
        <v>663</v>
      </c>
      <c r="C161" t="s">
        <v>664</v>
      </c>
      <c r="D161" t="s">
        <v>665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666</v>
      </c>
      <c r="B162" t="s">
        <v>667</v>
      </c>
      <c r="C162" t="s">
        <v>668</v>
      </c>
      <c r="D162" t="s">
        <v>669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670</v>
      </c>
      <c r="B163" t="s">
        <v>671</v>
      </c>
      <c r="C163" t="s">
        <v>290</v>
      </c>
      <c r="D163" t="s">
        <v>672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673</v>
      </c>
      <c r="B164" t="s">
        <v>674</v>
      </c>
      <c r="C164" t="s">
        <v>398</v>
      </c>
      <c r="D164" t="s">
        <v>675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676</v>
      </c>
      <c r="B165" t="s">
        <v>677</v>
      </c>
      <c r="C165" t="s">
        <v>678</v>
      </c>
      <c r="D165" t="s">
        <v>679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680</v>
      </c>
      <c r="B166" t="s">
        <v>681</v>
      </c>
      <c r="C166" t="s">
        <v>682</v>
      </c>
      <c r="D166" t="s">
        <v>683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684</v>
      </c>
      <c r="B167" t="s">
        <v>685</v>
      </c>
      <c r="C167" t="s">
        <v>686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684</v>
      </c>
      <c r="B168" t="s">
        <v>687</v>
      </c>
      <c r="C168" t="s">
        <v>686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688</v>
      </c>
      <c r="B169" t="s">
        <v>689</v>
      </c>
      <c r="C169" t="s">
        <v>294</v>
      </c>
      <c r="D169" t="s">
        <v>690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691</v>
      </c>
      <c r="B170" t="s">
        <v>692</v>
      </c>
      <c r="C170" t="s">
        <v>379</v>
      </c>
      <c r="D170" t="s">
        <v>693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691</v>
      </c>
      <c r="B171" t="s">
        <v>694</v>
      </c>
      <c r="C171" t="s">
        <v>695</v>
      </c>
      <c r="D171" t="s">
        <v>693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691</v>
      </c>
      <c r="B172" t="s">
        <v>694</v>
      </c>
      <c r="C172" t="s">
        <v>695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696</v>
      </c>
      <c r="B173" t="s">
        <v>697</v>
      </c>
      <c r="C173" t="s">
        <v>290</v>
      </c>
      <c r="D173" t="s">
        <v>698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699</v>
      </c>
      <c r="B174" t="s">
        <v>700</v>
      </c>
      <c r="C174" t="s">
        <v>398</v>
      </c>
      <c r="D174" t="s">
        <v>701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702</v>
      </c>
      <c r="B175" t="s">
        <v>382</v>
      </c>
      <c r="C175" t="s">
        <v>383</v>
      </c>
      <c r="D175" t="s">
        <v>385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702</v>
      </c>
      <c r="B176" t="s">
        <v>703</v>
      </c>
      <c r="C176" t="s">
        <v>273</v>
      </c>
      <c r="D176" t="s">
        <v>385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704</v>
      </c>
      <c r="B177" t="s">
        <v>705</v>
      </c>
      <c r="C177" t="s">
        <v>706</v>
      </c>
      <c r="D177" t="s">
        <v>707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704</v>
      </c>
      <c r="B178" t="s">
        <v>708</v>
      </c>
      <c r="C178" t="s">
        <v>706</v>
      </c>
      <c r="D178" t="s">
        <v>707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709</v>
      </c>
      <c r="B179" t="s">
        <v>710</v>
      </c>
      <c r="C179" t="s">
        <v>711</v>
      </c>
      <c r="D179" t="s">
        <v>712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713</v>
      </c>
      <c r="B180" t="s">
        <v>714</v>
      </c>
      <c r="C180" t="s">
        <v>715</v>
      </c>
      <c r="D180" t="s">
        <v>716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717</v>
      </c>
      <c r="B181" t="s">
        <v>718</v>
      </c>
      <c r="C181" t="s">
        <v>290</v>
      </c>
      <c r="D181" t="s">
        <v>719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720</v>
      </c>
      <c r="B182" t="s">
        <v>721</v>
      </c>
      <c r="C182" t="s">
        <v>722</v>
      </c>
      <c r="D182" t="s">
        <v>723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720</v>
      </c>
      <c r="B183" t="s">
        <v>724</v>
      </c>
      <c r="C183" t="s">
        <v>722</v>
      </c>
      <c r="D183" t="s">
        <v>723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725</v>
      </c>
      <c r="B184" t="s">
        <v>726</v>
      </c>
      <c r="C184" t="s">
        <v>727</v>
      </c>
      <c r="D184" t="s">
        <v>728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725</v>
      </c>
      <c r="B185" t="s">
        <v>726</v>
      </c>
      <c r="C185" t="s">
        <v>727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729</v>
      </c>
      <c r="B186" t="s">
        <v>730</v>
      </c>
      <c r="C186" t="s">
        <v>731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729</v>
      </c>
      <c r="B187" t="s">
        <v>732</v>
      </c>
      <c r="C187" t="s">
        <v>733</v>
      </c>
      <c r="D187" t="s">
        <v>734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735</v>
      </c>
      <c r="B188" t="s">
        <v>736</v>
      </c>
      <c r="C188" t="s">
        <v>379</v>
      </c>
      <c r="D188" t="s">
        <v>737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738</v>
      </c>
      <c r="B189" t="s">
        <v>739</v>
      </c>
      <c r="C189" t="s">
        <v>273</v>
      </c>
      <c r="D189" t="s">
        <v>740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738</v>
      </c>
      <c r="B190" t="s">
        <v>739</v>
      </c>
      <c r="C190" t="s">
        <v>741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738</v>
      </c>
      <c r="B191" t="s">
        <v>397</v>
      </c>
      <c r="C191" t="s">
        <v>741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742</v>
      </c>
      <c r="B192" t="s">
        <v>397</v>
      </c>
      <c r="C192" t="s">
        <v>398</v>
      </c>
      <c r="D192" t="s">
        <v>399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743</v>
      </c>
      <c r="B193" t="s">
        <v>744</v>
      </c>
      <c r="C193" t="s">
        <v>745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743</v>
      </c>
      <c r="B194" t="s">
        <v>746</v>
      </c>
      <c r="C194" t="s">
        <v>745</v>
      </c>
      <c r="D194" t="s">
        <v>747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748</v>
      </c>
      <c r="B195" t="s">
        <v>749</v>
      </c>
      <c r="C195" t="s">
        <v>290</v>
      </c>
      <c r="D195" t="s">
        <v>750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751</v>
      </c>
      <c r="B196" t="s">
        <v>752</v>
      </c>
      <c r="C196" t="s">
        <v>753</v>
      </c>
      <c r="D196" t="s">
        <v>754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755</v>
      </c>
      <c r="B197" t="s">
        <v>756</v>
      </c>
      <c r="C197" t="s">
        <v>757</v>
      </c>
      <c r="D197" t="s">
        <v>758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759</v>
      </c>
      <c r="B198" t="s">
        <v>760</v>
      </c>
      <c r="C198" t="s">
        <v>273</v>
      </c>
      <c r="D198" t="s">
        <v>761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762</v>
      </c>
      <c r="B199" t="s">
        <v>763</v>
      </c>
      <c r="C199" t="s">
        <v>764</v>
      </c>
      <c r="D199" t="s">
        <v>765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766</v>
      </c>
      <c r="B200" t="s">
        <v>767</v>
      </c>
      <c r="C200" t="s">
        <v>768</v>
      </c>
      <c r="D200" t="s">
        <v>769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766</v>
      </c>
      <c r="B201" t="s">
        <v>770</v>
      </c>
      <c r="C201" t="s">
        <v>506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766</v>
      </c>
      <c r="B202" t="s">
        <v>771</v>
      </c>
      <c r="C202" t="s">
        <v>506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772</v>
      </c>
      <c r="B203" t="s">
        <v>773</v>
      </c>
      <c r="C203" t="s">
        <v>316</v>
      </c>
      <c r="D203" t="s">
        <v>774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772</v>
      </c>
      <c r="B204" t="s">
        <v>775</v>
      </c>
      <c r="C204" t="s">
        <v>316</v>
      </c>
      <c r="D204" t="s">
        <v>774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776</v>
      </c>
      <c r="B205" t="s">
        <v>777</v>
      </c>
      <c r="C205" t="s">
        <v>778</v>
      </c>
      <c r="D205" t="s">
        <v>779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780</v>
      </c>
      <c r="B206" t="s">
        <v>781</v>
      </c>
      <c r="C206" t="s">
        <v>782</v>
      </c>
      <c r="D206" t="s">
        <v>783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780</v>
      </c>
      <c r="B207" t="s">
        <v>784</v>
      </c>
      <c r="C207" t="s">
        <v>782</v>
      </c>
      <c r="D207" t="s">
        <v>783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785</v>
      </c>
      <c r="B208" t="s">
        <v>786</v>
      </c>
      <c r="C208" t="s">
        <v>273</v>
      </c>
      <c r="D208" t="s">
        <v>787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788</v>
      </c>
      <c r="B209" t="s">
        <v>789</v>
      </c>
      <c r="C209" t="s">
        <v>790</v>
      </c>
      <c r="D209" t="s">
        <v>791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788</v>
      </c>
      <c r="B210" t="s">
        <v>792</v>
      </c>
      <c r="C210" t="s">
        <v>294</v>
      </c>
      <c r="D210" t="s">
        <v>791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788</v>
      </c>
      <c r="B211" t="s">
        <v>792</v>
      </c>
      <c r="C211" t="s">
        <v>790</v>
      </c>
      <c r="D211" t="s">
        <v>791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793</v>
      </c>
      <c r="B212" t="s">
        <v>794</v>
      </c>
      <c r="C212" t="s">
        <v>290</v>
      </c>
      <c r="D212" t="s">
        <v>795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796</v>
      </c>
      <c r="B213" t="s">
        <v>797</v>
      </c>
      <c r="C213" t="s">
        <v>398</v>
      </c>
      <c r="D213" t="s">
        <v>798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799</v>
      </c>
      <c r="B214" t="s">
        <v>800</v>
      </c>
      <c r="C214" t="s">
        <v>607</v>
      </c>
      <c r="D214" t="s">
        <v>801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799</v>
      </c>
      <c r="B215" t="s">
        <v>802</v>
      </c>
      <c r="C215" t="s">
        <v>607</v>
      </c>
      <c r="D215" t="s">
        <v>801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803</v>
      </c>
      <c r="B216" t="s">
        <v>804</v>
      </c>
      <c r="C216" t="s">
        <v>805</v>
      </c>
      <c r="D216" t="s">
        <v>806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807</v>
      </c>
      <c r="B217" t="s">
        <v>808</v>
      </c>
      <c r="C217" t="s">
        <v>260</v>
      </c>
      <c r="D217" t="s">
        <v>809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810</v>
      </c>
      <c r="B218" t="s">
        <v>811</v>
      </c>
      <c r="C218" t="s">
        <v>465</v>
      </c>
      <c r="D218" t="s">
        <v>812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810</v>
      </c>
      <c r="B219" t="s">
        <v>811</v>
      </c>
      <c r="C219" t="s">
        <v>465</v>
      </c>
      <c r="D219" t="s">
        <v>813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814</v>
      </c>
      <c r="B220" t="s">
        <v>815</v>
      </c>
      <c r="C220" t="s">
        <v>816</v>
      </c>
      <c r="D220" t="s">
        <v>817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818</v>
      </c>
      <c r="B221" t="s">
        <v>819</v>
      </c>
      <c r="C221" t="s">
        <v>456</v>
      </c>
      <c r="D221" t="s">
        <v>820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821</v>
      </c>
      <c r="B222" t="s">
        <v>822</v>
      </c>
      <c r="C222" t="s">
        <v>465</v>
      </c>
      <c r="D222" t="s">
        <v>823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821</v>
      </c>
      <c r="B223" t="s">
        <v>824</v>
      </c>
      <c r="C223" t="s">
        <v>465</v>
      </c>
      <c r="D223" t="s">
        <v>823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825</v>
      </c>
      <c r="B224" t="s">
        <v>826</v>
      </c>
      <c r="C224" t="s">
        <v>827</v>
      </c>
      <c r="D224" t="s">
        <v>828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825</v>
      </c>
      <c r="B225" t="s">
        <v>829</v>
      </c>
      <c r="C225" t="s">
        <v>830</v>
      </c>
      <c r="D225" t="s">
        <v>831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832</v>
      </c>
      <c r="B226" t="s">
        <v>415</v>
      </c>
      <c r="C226" t="s">
        <v>416</v>
      </c>
      <c r="D226" t="s">
        <v>461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832</v>
      </c>
      <c r="B227" t="s">
        <v>833</v>
      </c>
      <c r="C227" t="s">
        <v>506</v>
      </c>
      <c r="D227" t="s">
        <v>461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834</v>
      </c>
      <c r="B228" t="s">
        <v>835</v>
      </c>
      <c r="C228" t="s">
        <v>836</v>
      </c>
      <c r="D228" t="s">
        <v>837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838</v>
      </c>
      <c r="B229" t="s">
        <v>839</v>
      </c>
      <c r="C229" t="s">
        <v>273</v>
      </c>
      <c r="D229" t="s">
        <v>840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841</v>
      </c>
      <c r="B230" t="s">
        <v>842</v>
      </c>
      <c r="C230" t="s">
        <v>379</v>
      </c>
      <c r="D230" t="s">
        <v>843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841</v>
      </c>
      <c r="B231" t="s">
        <v>842</v>
      </c>
      <c r="C231" t="s">
        <v>379</v>
      </c>
      <c r="D231" t="s">
        <v>844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845</v>
      </c>
      <c r="B232" t="s">
        <v>846</v>
      </c>
      <c r="C232" t="s">
        <v>847</v>
      </c>
      <c r="D232" t="s">
        <v>848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topLeftCell="A99" workbookViewId="0">
      <selection activeCell="O2" sqref="O2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3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253</v>
      </c>
      <c r="B1" s="105" t="s">
        <v>164</v>
      </c>
      <c r="C1" s="92" t="s">
        <v>165</v>
      </c>
      <c r="D1" s="101" t="s">
        <v>166</v>
      </c>
      <c r="E1" s="101" t="s">
        <v>167</v>
      </c>
      <c r="F1" s="1" t="s">
        <v>849</v>
      </c>
      <c r="G1" s="105" t="s">
        <v>850</v>
      </c>
      <c r="H1" s="92" t="s">
        <v>851</v>
      </c>
      <c r="I1" s="92" t="s">
        <v>852</v>
      </c>
      <c r="J1" s="92" t="s">
        <v>853</v>
      </c>
      <c r="K1" s="1" t="s">
        <v>854</v>
      </c>
      <c r="L1" s="1" t="s">
        <v>855</v>
      </c>
      <c r="M1" s="1" t="s">
        <v>856</v>
      </c>
      <c r="N1" s="1" t="s">
        <v>857</v>
      </c>
      <c r="O1" s="1" t="s">
        <v>858</v>
      </c>
    </row>
    <row r="2" spans="1:47" ht="15.75" thickTop="1" x14ac:dyDescent="0.25">
      <c r="A2">
        <v>57819</v>
      </c>
      <c r="B2" t="s">
        <v>859</v>
      </c>
      <c r="C2" t="s">
        <v>860</v>
      </c>
      <c r="D2" s="38" t="s">
        <v>861</v>
      </c>
      <c r="E2" s="103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859</v>
      </c>
      <c r="C3" t="s">
        <v>862</v>
      </c>
      <c r="D3" s="38">
        <v>2</v>
      </c>
      <c r="E3" s="102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7"/>
    </row>
    <row r="4" spans="1:47" x14ac:dyDescent="0.25">
      <c r="A4">
        <v>57481</v>
      </c>
      <c r="B4" t="s">
        <v>859</v>
      </c>
      <c r="C4" t="s">
        <v>862</v>
      </c>
      <c r="D4" s="38" t="s">
        <v>863</v>
      </c>
      <c r="E4" s="102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859</v>
      </c>
      <c r="C5" t="s">
        <v>864</v>
      </c>
      <c r="D5" s="38" t="s">
        <v>865</v>
      </c>
      <c r="E5" s="102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859</v>
      </c>
      <c r="C6" t="s">
        <v>864</v>
      </c>
      <c r="D6" s="38" t="s">
        <v>865</v>
      </c>
      <c r="E6" s="102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859</v>
      </c>
      <c r="C7" t="s">
        <v>864</v>
      </c>
      <c r="D7" s="38" t="s">
        <v>865</v>
      </c>
      <c r="E7" s="102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859</v>
      </c>
      <c r="C8" t="s">
        <v>864</v>
      </c>
      <c r="D8" s="38" t="s">
        <v>865</v>
      </c>
      <c r="E8" s="102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859</v>
      </c>
      <c r="C9" t="s">
        <v>864</v>
      </c>
      <c r="D9" s="38" t="s">
        <v>865</v>
      </c>
      <c r="E9" s="102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7"/>
      <c r="AS9" s="30"/>
    </row>
    <row r="10" spans="1:47" x14ac:dyDescent="0.25">
      <c r="A10">
        <v>57462</v>
      </c>
      <c r="B10" t="s">
        <v>859</v>
      </c>
      <c r="C10" t="s">
        <v>864</v>
      </c>
      <c r="D10" s="38" t="s">
        <v>865</v>
      </c>
      <c r="E10" s="102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859</v>
      </c>
      <c r="C11" t="s">
        <v>864</v>
      </c>
      <c r="D11" s="38" t="s">
        <v>866</v>
      </c>
      <c r="E11" s="102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859</v>
      </c>
      <c r="C12" t="s">
        <v>864</v>
      </c>
      <c r="D12" s="38" t="s">
        <v>866</v>
      </c>
      <c r="E12" s="102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859</v>
      </c>
      <c r="C13" t="s">
        <v>864</v>
      </c>
      <c r="D13" s="38" t="s">
        <v>866</v>
      </c>
      <c r="E13" s="102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859</v>
      </c>
      <c r="C14" t="s">
        <v>867</v>
      </c>
      <c r="D14" s="38" t="s">
        <v>868</v>
      </c>
      <c r="E14" s="103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859</v>
      </c>
      <c r="C15" t="s">
        <v>867</v>
      </c>
      <c r="D15" s="38" t="s">
        <v>868</v>
      </c>
      <c r="E15" s="103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859</v>
      </c>
      <c r="C16" t="s">
        <v>867</v>
      </c>
      <c r="D16" s="38" t="s">
        <v>868</v>
      </c>
      <c r="E16" s="103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859</v>
      </c>
      <c r="C17" t="s">
        <v>867</v>
      </c>
      <c r="D17" s="38" t="s">
        <v>868</v>
      </c>
      <c r="E17" s="103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859</v>
      </c>
      <c r="C18" t="s">
        <v>867</v>
      </c>
      <c r="D18" s="38" t="s">
        <v>868</v>
      </c>
      <c r="E18" s="103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7"/>
    </row>
    <row r="19" spans="1:47" x14ac:dyDescent="0.25">
      <c r="A19">
        <v>58078</v>
      </c>
      <c r="B19" t="s">
        <v>859</v>
      </c>
      <c r="C19" t="s">
        <v>867</v>
      </c>
      <c r="D19" s="38" t="s">
        <v>868</v>
      </c>
      <c r="E19" s="103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859</v>
      </c>
      <c r="C20" t="s">
        <v>867</v>
      </c>
      <c r="D20" s="38" t="s">
        <v>868</v>
      </c>
      <c r="E20" s="103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859</v>
      </c>
      <c r="C21" t="s">
        <v>867</v>
      </c>
      <c r="D21" s="38" t="s">
        <v>868</v>
      </c>
      <c r="E21" s="103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859</v>
      </c>
      <c r="C22" t="s">
        <v>867</v>
      </c>
      <c r="D22" s="38" t="s">
        <v>868</v>
      </c>
      <c r="E22" s="103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859</v>
      </c>
      <c r="C23" t="s">
        <v>867</v>
      </c>
      <c r="D23" s="38" t="s">
        <v>868</v>
      </c>
      <c r="E23" s="103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859</v>
      </c>
      <c r="C24" t="s">
        <v>867</v>
      </c>
      <c r="D24" s="38" t="s">
        <v>868</v>
      </c>
      <c r="E24" s="103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859</v>
      </c>
      <c r="C25" t="s">
        <v>867</v>
      </c>
      <c r="D25" s="38" t="s">
        <v>868</v>
      </c>
      <c r="E25" s="103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7"/>
    </row>
    <row r="26" spans="1:47" x14ac:dyDescent="0.25">
      <c r="A26">
        <v>57305</v>
      </c>
      <c r="B26" t="s">
        <v>859</v>
      </c>
      <c r="C26" t="s">
        <v>867</v>
      </c>
      <c r="D26" s="38" t="s">
        <v>868</v>
      </c>
      <c r="E26" s="103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859</v>
      </c>
      <c r="C27" t="s">
        <v>867</v>
      </c>
      <c r="D27" s="38" t="s">
        <v>868</v>
      </c>
      <c r="E27" s="103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859</v>
      </c>
      <c r="C28" t="s">
        <v>867</v>
      </c>
      <c r="D28" s="38" t="s">
        <v>868</v>
      </c>
      <c r="E28" s="103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859</v>
      </c>
      <c r="C29" t="s">
        <v>867</v>
      </c>
      <c r="D29" s="38" t="s">
        <v>868</v>
      </c>
      <c r="E29" s="103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859</v>
      </c>
      <c r="C30" t="s">
        <v>867</v>
      </c>
      <c r="D30" s="38" t="s">
        <v>868</v>
      </c>
      <c r="E30" s="103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859</v>
      </c>
      <c r="C31" t="s">
        <v>867</v>
      </c>
      <c r="D31" s="38" t="s">
        <v>868</v>
      </c>
      <c r="E31" s="103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859</v>
      </c>
      <c r="C32" t="s">
        <v>867</v>
      </c>
      <c r="D32" s="38" t="s">
        <v>868</v>
      </c>
      <c r="E32" s="103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7"/>
    </row>
    <row r="33" spans="1:45" x14ac:dyDescent="0.25">
      <c r="A33">
        <v>57240</v>
      </c>
      <c r="B33" t="s">
        <v>859</v>
      </c>
      <c r="C33" t="s">
        <v>867</v>
      </c>
      <c r="D33" s="38" t="s">
        <v>868</v>
      </c>
      <c r="E33" s="103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7"/>
    </row>
    <row r="34" spans="1:45" x14ac:dyDescent="0.25">
      <c r="A34">
        <v>57221</v>
      </c>
      <c r="B34" t="s">
        <v>859</v>
      </c>
      <c r="C34" t="s">
        <v>867</v>
      </c>
      <c r="D34" s="38" t="s">
        <v>868</v>
      </c>
      <c r="E34" s="103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859</v>
      </c>
      <c r="C35" t="s">
        <v>867</v>
      </c>
      <c r="D35" s="38" t="s">
        <v>868</v>
      </c>
      <c r="E35" s="103" t="s">
        <v>869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859</v>
      </c>
      <c r="C36" t="s">
        <v>867</v>
      </c>
      <c r="D36" s="38" t="s">
        <v>868</v>
      </c>
      <c r="E36" s="103" t="s">
        <v>870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859</v>
      </c>
      <c r="C37" t="s">
        <v>867</v>
      </c>
      <c r="D37" s="38" t="s">
        <v>868</v>
      </c>
      <c r="E37" s="103" t="s">
        <v>871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859</v>
      </c>
      <c r="C38" t="s">
        <v>867</v>
      </c>
      <c r="D38" s="38" t="s">
        <v>868</v>
      </c>
      <c r="E38" s="103" t="s">
        <v>872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859</v>
      </c>
      <c r="C39" t="s">
        <v>867</v>
      </c>
      <c r="D39" s="38" t="s">
        <v>868</v>
      </c>
      <c r="E39" s="103" t="s">
        <v>873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859</v>
      </c>
      <c r="C40" t="s">
        <v>867</v>
      </c>
      <c r="D40" s="38" t="s">
        <v>868</v>
      </c>
      <c r="E40" s="103" t="s">
        <v>874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859</v>
      </c>
      <c r="C41" t="s">
        <v>867</v>
      </c>
      <c r="D41" s="38" t="s">
        <v>868</v>
      </c>
      <c r="E41" s="103" t="s">
        <v>875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7"/>
    </row>
    <row r="42" spans="1:45" x14ac:dyDescent="0.25">
      <c r="A42">
        <v>57248</v>
      </c>
      <c r="B42" t="s">
        <v>859</v>
      </c>
      <c r="C42" t="s">
        <v>867</v>
      </c>
      <c r="D42" s="38" t="s">
        <v>868</v>
      </c>
      <c r="E42" s="103" t="s">
        <v>875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859</v>
      </c>
      <c r="C43" t="s">
        <v>867</v>
      </c>
      <c r="D43" s="38" t="s">
        <v>868</v>
      </c>
      <c r="E43" s="103" t="s">
        <v>876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859</v>
      </c>
      <c r="C44" t="s">
        <v>867</v>
      </c>
      <c r="D44" s="38" t="s">
        <v>868</v>
      </c>
      <c r="E44" s="103" t="s">
        <v>877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859</v>
      </c>
      <c r="C45" t="s">
        <v>867</v>
      </c>
      <c r="D45" s="38" t="s">
        <v>868</v>
      </c>
      <c r="E45" s="103" t="s">
        <v>878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859</v>
      </c>
      <c r="C46" t="s">
        <v>867</v>
      </c>
      <c r="D46" s="38" t="s">
        <v>868</v>
      </c>
      <c r="E46" s="103" t="s">
        <v>879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859</v>
      </c>
      <c r="C47" t="s">
        <v>867</v>
      </c>
      <c r="D47" s="38" t="s">
        <v>868</v>
      </c>
      <c r="E47" s="103" t="s">
        <v>880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859</v>
      </c>
      <c r="C48" t="s">
        <v>867</v>
      </c>
      <c r="D48" s="38" t="s">
        <v>868</v>
      </c>
      <c r="E48" s="103" t="s">
        <v>881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7"/>
    </row>
    <row r="49" spans="1:47" x14ac:dyDescent="0.25">
      <c r="A49">
        <v>57911</v>
      </c>
      <c r="B49" t="s">
        <v>859</v>
      </c>
      <c r="C49" t="s">
        <v>867</v>
      </c>
      <c r="D49" s="38" t="s">
        <v>868</v>
      </c>
      <c r="E49" s="103" t="s">
        <v>881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7"/>
    </row>
    <row r="50" spans="1:47" x14ac:dyDescent="0.25">
      <c r="A50">
        <v>57881</v>
      </c>
      <c r="B50" t="s">
        <v>859</v>
      </c>
      <c r="C50" t="s">
        <v>867</v>
      </c>
      <c r="D50" s="38" t="s">
        <v>868</v>
      </c>
      <c r="E50" s="103" t="s">
        <v>882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859</v>
      </c>
      <c r="C51" t="s">
        <v>867</v>
      </c>
      <c r="D51" s="38" t="s">
        <v>883</v>
      </c>
      <c r="E51" s="103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859</v>
      </c>
      <c r="C52" t="s">
        <v>867</v>
      </c>
      <c r="D52" s="38" t="s">
        <v>883</v>
      </c>
      <c r="E52" s="102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859</v>
      </c>
      <c r="C53" t="s">
        <v>867</v>
      </c>
      <c r="D53" s="38" t="s">
        <v>883</v>
      </c>
      <c r="E53" s="103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859</v>
      </c>
      <c r="C54" t="s">
        <v>884</v>
      </c>
      <c r="D54" s="38" t="s">
        <v>885</v>
      </c>
      <c r="E54" s="103" t="s">
        <v>886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859</v>
      </c>
      <c r="C55" t="s">
        <v>884</v>
      </c>
      <c r="D55" s="38" t="s">
        <v>885</v>
      </c>
      <c r="E55" s="103" t="s">
        <v>887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1"/>
      <c r="AS55" s="30"/>
    </row>
    <row r="56" spans="1:47" x14ac:dyDescent="0.25">
      <c r="A56">
        <v>58115</v>
      </c>
      <c r="B56" t="s">
        <v>859</v>
      </c>
      <c r="C56" t="s">
        <v>888</v>
      </c>
      <c r="D56" s="38" t="s">
        <v>885</v>
      </c>
      <c r="E56" s="103" t="s">
        <v>889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859</v>
      </c>
      <c r="C57" t="s">
        <v>890</v>
      </c>
      <c r="D57" s="38" t="s">
        <v>891</v>
      </c>
      <c r="E57" s="103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859</v>
      </c>
      <c r="C58" t="s">
        <v>890</v>
      </c>
      <c r="D58" s="38" t="s">
        <v>891</v>
      </c>
      <c r="E58" s="103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859</v>
      </c>
      <c r="C59" t="s">
        <v>892</v>
      </c>
      <c r="D59" s="38" t="s">
        <v>893</v>
      </c>
      <c r="E59" s="103" t="s">
        <v>894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859</v>
      </c>
      <c r="C60" t="s">
        <v>892</v>
      </c>
      <c r="D60" s="38" t="s">
        <v>895</v>
      </c>
      <c r="E60" s="103" t="s">
        <v>896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859</v>
      </c>
      <c r="C61" t="s">
        <v>892</v>
      </c>
      <c r="D61" s="38" t="s">
        <v>897</v>
      </c>
      <c r="E61" s="103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898</v>
      </c>
      <c r="C62" t="s">
        <v>899</v>
      </c>
      <c r="D62" s="104">
        <v>6534051</v>
      </c>
      <c r="E62" s="102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7"/>
    </row>
    <row r="63" spans="1:47" x14ac:dyDescent="0.25">
      <c r="A63">
        <v>58221</v>
      </c>
      <c r="B63" t="s">
        <v>898</v>
      </c>
      <c r="C63" t="s">
        <v>899</v>
      </c>
      <c r="D63" s="38" t="s">
        <v>900</v>
      </c>
      <c r="E63" s="103" t="s">
        <v>901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7"/>
    </row>
    <row r="64" spans="1:47" x14ac:dyDescent="0.25">
      <c r="A64">
        <v>57310</v>
      </c>
      <c r="B64" t="s">
        <v>898</v>
      </c>
      <c r="C64" t="s">
        <v>899</v>
      </c>
      <c r="D64" s="38" t="s">
        <v>893</v>
      </c>
      <c r="E64" s="103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898</v>
      </c>
      <c r="C65" t="s">
        <v>902</v>
      </c>
      <c r="D65" s="38" t="s">
        <v>903</v>
      </c>
      <c r="E65" s="103" t="s">
        <v>904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898</v>
      </c>
      <c r="C66" t="s">
        <v>860</v>
      </c>
      <c r="D66" s="38" t="s">
        <v>905</v>
      </c>
      <c r="E66" s="103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898</v>
      </c>
      <c r="C67" t="s">
        <v>860</v>
      </c>
      <c r="D67" s="38" t="s">
        <v>906</v>
      </c>
      <c r="E67" s="102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898</v>
      </c>
      <c r="C68" t="s">
        <v>860</v>
      </c>
      <c r="D68" s="38" t="s">
        <v>906</v>
      </c>
      <c r="E68" s="102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898</v>
      </c>
      <c r="C69" t="s">
        <v>862</v>
      </c>
      <c r="D69" s="38" t="s">
        <v>907</v>
      </c>
      <c r="E69" s="102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7"/>
    </row>
    <row r="70" spans="1:45" x14ac:dyDescent="0.25">
      <c r="A70">
        <v>58011</v>
      </c>
      <c r="B70" t="s">
        <v>898</v>
      </c>
      <c r="C70" t="s">
        <v>864</v>
      </c>
      <c r="D70" s="38" t="s">
        <v>908</v>
      </c>
      <c r="E70" s="103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898</v>
      </c>
      <c r="C71" t="s">
        <v>909</v>
      </c>
      <c r="D71" s="38" t="s">
        <v>865</v>
      </c>
      <c r="E71" s="103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7"/>
    </row>
    <row r="72" spans="1:45" x14ac:dyDescent="0.25">
      <c r="A72">
        <v>58155</v>
      </c>
      <c r="B72" t="s">
        <v>898</v>
      </c>
      <c r="C72" t="s">
        <v>910</v>
      </c>
      <c r="D72" s="38">
        <v>574</v>
      </c>
      <c r="E72" s="103" t="s">
        <v>911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898</v>
      </c>
      <c r="C73" t="s">
        <v>912</v>
      </c>
      <c r="D73" s="38" t="s">
        <v>893</v>
      </c>
      <c r="E73" s="103" t="s">
        <v>913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898</v>
      </c>
      <c r="C74" t="s">
        <v>867</v>
      </c>
      <c r="D74" s="38" t="s">
        <v>914</v>
      </c>
      <c r="E74" s="103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898</v>
      </c>
      <c r="C75" t="s">
        <v>867</v>
      </c>
      <c r="D75" s="38" t="s">
        <v>914</v>
      </c>
      <c r="E75" s="103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898</v>
      </c>
      <c r="C76" t="s">
        <v>867</v>
      </c>
      <c r="D76" s="38" t="s">
        <v>915</v>
      </c>
      <c r="E76" s="103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7"/>
    </row>
    <row r="77" spans="1:45" x14ac:dyDescent="0.25">
      <c r="A77">
        <v>57524</v>
      </c>
      <c r="B77" t="s">
        <v>898</v>
      </c>
      <c r="C77" t="s">
        <v>867</v>
      </c>
      <c r="D77" s="38" t="s">
        <v>916</v>
      </c>
      <c r="E77" s="103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898</v>
      </c>
      <c r="C78" t="s">
        <v>867</v>
      </c>
      <c r="D78" s="38" t="s">
        <v>916</v>
      </c>
      <c r="E78" s="103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898</v>
      </c>
      <c r="C79" t="s">
        <v>867</v>
      </c>
      <c r="D79" s="38" t="s">
        <v>917</v>
      </c>
      <c r="E79" s="103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898</v>
      </c>
      <c r="C80" t="s">
        <v>867</v>
      </c>
      <c r="D80" s="38" t="s">
        <v>918</v>
      </c>
      <c r="E80" s="103" t="s">
        <v>919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7"/>
    </row>
    <row r="81" spans="1:45" x14ac:dyDescent="0.25">
      <c r="A81">
        <v>57859</v>
      </c>
      <c r="B81" t="s">
        <v>898</v>
      </c>
      <c r="C81" t="s">
        <v>867</v>
      </c>
      <c r="D81" s="38" t="s">
        <v>918</v>
      </c>
      <c r="E81" s="103" t="s">
        <v>920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7"/>
      <c r="AS81" s="30"/>
    </row>
    <row r="82" spans="1:45" x14ac:dyDescent="0.25">
      <c r="A82">
        <v>57492</v>
      </c>
      <c r="B82" t="s">
        <v>898</v>
      </c>
      <c r="C82" t="s">
        <v>867</v>
      </c>
      <c r="D82" s="38" t="s">
        <v>918</v>
      </c>
      <c r="E82" s="103" t="s">
        <v>921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898</v>
      </c>
      <c r="C83" t="s">
        <v>867</v>
      </c>
      <c r="D83" s="38" t="s">
        <v>868</v>
      </c>
      <c r="E83" s="103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898</v>
      </c>
      <c r="C84" t="s">
        <v>867</v>
      </c>
      <c r="D84" s="38" t="s">
        <v>868</v>
      </c>
      <c r="E84" s="103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898</v>
      </c>
      <c r="C85" t="s">
        <v>867</v>
      </c>
      <c r="D85" s="38" t="s">
        <v>883</v>
      </c>
      <c r="E85" s="102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898</v>
      </c>
      <c r="C86" t="s">
        <v>867</v>
      </c>
      <c r="D86" s="38" t="s">
        <v>883</v>
      </c>
      <c r="E86" s="103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898</v>
      </c>
      <c r="C87" t="s">
        <v>867</v>
      </c>
      <c r="D87" s="38" t="s">
        <v>922</v>
      </c>
      <c r="E87" s="103" t="s">
        <v>923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898</v>
      </c>
      <c r="C88" t="s">
        <v>867</v>
      </c>
      <c r="D88" s="38" t="s">
        <v>922</v>
      </c>
      <c r="E88" s="103" t="s">
        <v>924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898</v>
      </c>
      <c r="C89" t="s">
        <v>867</v>
      </c>
      <c r="D89" s="38" t="s">
        <v>925</v>
      </c>
      <c r="E89" s="102" t="s">
        <v>926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898</v>
      </c>
      <c r="C90" t="s">
        <v>867</v>
      </c>
      <c r="D90" s="38" t="s">
        <v>925</v>
      </c>
      <c r="E90" s="103" t="s">
        <v>927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898</v>
      </c>
      <c r="C91" t="s">
        <v>867</v>
      </c>
      <c r="D91" s="38" t="s">
        <v>925</v>
      </c>
      <c r="E91" s="102" t="s">
        <v>928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898</v>
      </c>
      <c r="C92" t="s">
        <v>867</v>
      </c>
      <c r="D92" s="38" t="s">
        <v>925</v>
      </c>
      <c r="E92" s="102" t="s">
        <v>929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898</v>
      </c>
      <c r="C93" t="s">
        <v>867</v>
      </c>
      <c r="D93" s="38" t="s">
        <v>925</v>
      </c>
      <c r="E93" s="103" t="s">
        <v>930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898</v>
      </c>
      <c r="C94" t="s">
        <v>867</v>
      </c>
      <c r="D94" s="38" t="s">
        <v>931</v>
      </c>
      <c r="E94" s="103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898</v>
      </c>
      <c r="C95" t="s">
        <v>867</v>
      </c>
      <c r="D95" s="38" t="s">
        <v>931</v>
      </c>
      <c r="E95" s="103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898</v>
      </c>
      <c r="C96" t="s">
        <v>867</v>
      </c>
      <c r="D96" s="38" t="s">
        <v>931</v>
      </c>
      <c r="E96" s="103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898</v>
      </c>
      <c r="C97" t="s">
        <v>867</v>
      </c>
      <c r="D97" s="38" t="s">
        <v>931</v>
      </c>
      <c r="E97" s="103" t="s">
        <v>932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898</v>
      </c>
      <c r="C98" t="s">
        <v>867</v>
      </c>
      <c r="D98" s="38" t="s">
        <v>933</v>
      </c>
      <c r="E98" s="103" t="s">
        <v>934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898</v>
      </c>
      <c r="C99" t="s">
        <v>867</v>
      </c>
      <c r="D99" s="38" t="s">
        <v>933</v>
      </c>
      <c r="E99" s="103" t="s">
        <v>935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898</v>
      </c>
      <c r="C100" t="s">
        <v>867</v>
      </c>
      <c r="D100" s="38" t="s">
        <v>933</v>
      </c>
      <c r="E100" s="103" t="s">
        <v>936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898</v>
      </c>
      <c r="C101" t="s">
        <v>867</v>
      </c>
      <c r="D101" s="38" t="s">
        <v>933</v>
      </c>
      <c r="E101" s="103" t="s">
        <v>937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898</v>
      </c>
      <c r="C102" t="s">
        <v>867</v>
      </c>
      <c r="D102" s="38" t="s">
        <v>938</v>
      </c>
      <c r="E102" s="103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898</v>
      </c>
      <c r="C103" t="s">
        <v>867</v>
      </c>
      <c r="D103" s="38" t="s">
        <v>939</v>
      </c>
      <c r="E103" s="103" t="s">
        <v>940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898</v>
      </c>
      <c r="C104" t="s">
        <v>867</v>
      </c>
      <c r="D104" s="38" t="s">
        <v>941</v>
      </c>
      <c r="E104" s="103" t="s">
        <v>942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898</v>
      </c>
      <c r="C105" t="s">
        <v>867</v>
      </c>
      <c r="D105" s="38" t="s">
        <v>943</v>
      </c>
      <c r="E105" s="103" t="s">
        <v>944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898</v>
      </c>
      <c r="C106" t="s">
        <v>867</v>
      </c>
      <c r="D106" s="38" t="s">
        <v>945</v>
      </c>
      <c r="E106" s="103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898</v>
      </c>
      <c r="C107" t="s">
        <v>946</v>
      </c>
      <c r="D107" s="38" t="s">
        <v>947</v>
      </c>
      <c r="E107" s="103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898</v>
      </c>
      <c r="C108" t="s">
        <v>948</v>
      </c>
      <c r="D108" s="38" t="s">
        <v>949</v>
      </c>
      <c r="E108" s="103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898</v>
      </c>
      <c r="C109" t="s">
        <v>950</v>
      </c>
      <c r="D109" s="38" t="s">
        <v>951</v>
      </c>
      <c r="E109" s="103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898</v>
      </c>
      <c r="C110" t="s">
        <v>950</v>
      </c>
      <c r="D110" s="38" t="s">
        <v>952</v>
      </c>
      <c r="E110" s="103" t="s">
        <v>953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7"/>
    </row>
    <row r="111" spans="1:47" x14ac:dyDescent="0.25">
      <c r="A111">
        <v>57534</v>
      </c>
      <c r="B111" t="s">
        <v>898</v>
      </c>
      <c r="C111" t="s">
        <v>954</v>
      </c>
      <c r="D111" s="38" t="s">
        <v>955</v>
      </c>
      <c r="E111" s="103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7"/>
    </row>
    <row r="112" spans="1:47" x14ac:dyDescent="0.25">
      <c r="A112">
        <v>117081</v>
      </c>
      <c r="B112" t="s">
        <v>898</v>
      </c>
      <c r="C112" t="s">
        <v>956</v>
      </c>
      <c r="D112" s="38" t="s">
        <v>893</v>
      </c>
      <c r="E112" s="103" t="s">
        <v>957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7"/>
    </row>
    <row r="113" spans="1:47" x14ac:dyDescent="0.25">
      <c r="A113">
        <v>57615</v>
      </c>
      <c r="B113" t="s">
        <v>898</v>
      </c>
      <c r="C113" t="s">
        <v>956</v>
      </c>
      <c r="D113" s="38" t="s">
        <v>958</v>
      </c>
      <c r="E113" s="103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7"/>
    </row>
    <row r="114" spans="1:47" x14ac:dyDescent="0.25">
      <c r="A114">
        <v>57072</v>
      </c>
      <c r="B114" t="s">
        <v>898</v>
      </c>
      <c r="C114" t="s">
        <v>959</v>
      </c>
      <c r="D114" s="38">
        <v>2002</v>
      </c>
      <c r="E114" s="103" t="s">
        <v>960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898</v>
      </c>
      <c r="C115" t="s">
        <v>959</v>
      </c>
      <c r="D115" s="38" t="s">
        <v>961</v>
      </c>
      <c r="E115" s="103" t="s">
        <v>962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898</v>
      </c>
      <c r="C116" t="s">
        <v>959</v>
      </c>
      <c r="D116" s="38" t="s">
        <v>961</v>
      </c>
      <c r="E116" s="103" t="s">
        <v>963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7"/>
    </row>
    <row r="117" spans="1:47" x14ac:dyDescent="0.25">
      <c r="A117">
        <v>57825</v>
      </c>
      <c r="B117" t="s">
        <v>898</v>
      </c>
      <c r="C117" t="s">
        <v>964</v>
      </c>
      <c r="D117" s="38" t="s">
        <v>965</v>
      </c>
      <c r="E117" s="103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7"/>
    </row>
    <row r="118" spans="1:47" x14ac:dyDescent="0.25">
      <c r="A118">
        <v>57305</v>
      </c>
      <c r="B118" t="s">
        <v>898</v>
      </c>
      <c r="C118" t="s">
        <v>966</v>
      </c>
      <c r="D118" s="38" t="s">
        <v>966</v>
      </c>
      <c r="E118" s="103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898</v>
      </c>
      <c r="C119" t="s">
        <v>967</v>
      </c>
      <c r="D119" s="38" t="s">
        <v>968</v>
      </c>
      <c r="E119" s="103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898</v>
      </c>
      <c r="C120" t="s">
        <v>967</v>
      </c>
      <c r="D120" s="38" t="s">
        <v>969</v>
      </c>
      <c r="E120" s="103" t="s">
        <v>970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898</v>
      </c>
      <c r="C121" t="s">
        <v>967</v>
      </c>
      <c r="D121" s="38" t="s">
        <v>971</v>
      </c>
      <c r="E121" s="103" t="s">
        <v>972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898</v>
      </c>
      <c r="C122" t="s">
        <v>967</v>
      </c>
      <c r="D122" s="38" t="s">
        <v>973</v>
      </c>
      <c r="E122" s="103" t="s">
        <v>974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898</v>
      </c>
      <c r="C123" t="s">
        <v>967</v>
      </c>
      <c r="D123" s="38" t="s">
        <v>975</v>
      </c>
      <c r="E123" s="103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898</v>
      </c>
      <c r="C124" t="s">
        <v>976</v>
      </c>
      <c r="D124" s="38" t="s">
        <v>977</v>
      </c>
      <c r="E124" s="103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898</v>
      </c>
      <c r="C125" t="s">
        <v>976</v>
      </c>
      <c r="D125" s="38" t="s">
        <v>977</v>
      </c>
      <c r="E125" s="103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898</v>
      </c>
      <c r="C126" t="s">
        <v>976</v>
      </c>
      <c r="D126" s="38" t="s">
        <v>977</v>
      </c>
      <c r="E126" s="103" t="s">
        <v>978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898</v>
      </c>
      <c r="C127" t="s">
        <v>976</v>
      </c>
      <c r="D127" s="38" t="s">
        <v>977</v>
      </c>
      <c r="E127" s="103" t="s">
        <v>979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898</v>
      </c>
      <c r="C128" t="s">
        <v>976</v>
      </c>
      <c r="D128" s="38" t="s">
        <v>980</v>
      </c>
      <c r="E128" s="103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898</v>
      </c>
      <c r="C129" t="s">
        <v>976</v>
      </c>
      <c r="D129" s="38" t="s">
        <v>980</v>
      </c>
      <c r="E129" s="103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898</v>
      </c>
      <c r="C130" t="s">
        <v>976</v>
      </c>
      <c r="D130" s="38" t="s">
        <v>980</v>
      </c>
      <c r="E130" s="103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898</v>
      </c>
      <c r="C131" t="s">
        <v>976</v>
      </c>
      <c r="D131" s="38" t="s">
        <v>980</v>
      </c>
      <c r="E131" s="103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898</v>
      </c>
      <c r="C132" t="s">
        <v>976</v>
      </c>
      <c r="D132" s="38" t="s">
        <v>980</v>
      </c>
      <c r="E132" s="103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898</v>
      </c>
      <c r="C133" t="s">
        <v>976</v>
      </c>
      <c r="D133" s="38" t="s">
        <v>980</v>
      </c>
      <c r="E133" s="103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898</v>
      </c>
      <c r="C134" t="s">
        <v>976</v>
      </c>
      <c r="D134" s="38" t="s">
        <v>980</v>
      </c>
      <c r="E134" s="103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898</v>
      </c>
      <c r="C135" t="s">
        <v>976</v>
      </c>
      <c r="D135" s="38" t="s">
        <v>980</v>
      </c>
      <c r="E135" s="103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898</v>
      </c>
      <c r="C136" t="s">
        <v>976</v>
      </c>
      <c r="D136" s="38" t="s">
        <v>980</v>
      </c>
      <c r="E136" s="103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898</v>
      </c>
      <c r="C137" t="s">
        <v>976</v>
      </c>
      <c r="D137" s="38" t="s">
        <v>980</v>
      </c>
      <c r="E137" s="103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898</v>
      </c>
      <c r="C138" t="s">
        <v>976</v>
      </c>
      <c r="D138" s="38" t="s">
        <v>980</v>
      </c>
      <c r="E138" s="103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898</v>
      </c>
      <c r="C139" t="s">
        <v>976</v>
      </c>
      <c r="D139" s="38" t="s">
        <v>980</v>
      </c>
      <c r="E139" s="103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898</v>
      </c>
      <c r="C140" t="s">
        <v>976</v>
      </c>
      <c r="D140" s="38" t="s">
        <v>980</v>
      </c>
      <c r="E140" s="103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898</v>
      </c>
      <c r="C141" t="s">
        <v>976</v>
      </c>
      <c r="D141" s="38" t="s">
        <v>980</v>
      </c>
      <c r="E141" s="103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898</v>
      </c>
      <c r="C142" t="s">
        <v>976</v>
      </c>
      <c r="D142" s="38" t="s">
        <v>981</v>
      </c>
      <c r="E142" s="103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898</v>
      </c>
      <c r="C143" t="s">
        <v>976</v>
      </c>
      <c r="D143" s="38" t="s">
        <v>981</v>
      </c>
      <c r="E143" s="103" t="s">
        <v>982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898</v>
      </c>
      <c r="C144" t="s">
        <v>976</v>
      </c>
      <c r="D144" s="38" t="s">
        <v>983</v>
      </c>
      <c r="E144" s="103" t="s">
        <v>984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898</v>
      </c>
      <c r="C145" t="s">
        <v>976</v>
      </c>
      <c r="D145" s="38" t="s">
        <v>985</v>
      </c>
      <c r="E145" s="103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898</v>
      </c>
      <c r="C146" t="s">
        <v>976</v>
      </c>
      <c r="D146" s="38" t="s">
        <v>985</v>
      </c>
      <c r="E146" s="103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898</v>
      </c>
      <c r="C147" t="s">
        <v>976</v>
      </c>
      <c r="D147" s="38" t="s">
        <v>893</v>
      </c>
      <c r="E147" s="103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898</v>
      </c>
      <c r="C148" t="s">
        <v>976</v>
      </c>
      <c r="D148" s="38" t="s">
        <v>893</v>
      </c>
      <c r="E148" s="103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898</v>
      </c>
      <c r="C149" t="s">
        <v>976</v>
      </c>
      <c r="D149" s="38" t="s">
        <v>893</v>
      </c>
      <c r="E149" s="103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898</v>
      </c>
      <c r="C150" t="s">
        <v>976</v>
      </c>
      <c r="D150" s="38" t="s">
        <v>986</v>
      </c>
      <c r="E150" s="103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898</v>
      </c>
      <c r="C151" t="s">
        <v>976</v>
      </c>
      <c r="D151" s="38" t="s">
        <v>986</v>
      </c>
      <c r="E151" s="103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898</v>
      </c>
      <c r="C152" t="s">
        <v>976</v>
      </c>
      <c r="D152" s="38" t="s">
        <v>986</v>
      </c>
      <c r="E152" s="103" t="s">
        <v>987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898</v>
      </c>
      <c r="C153" t="s">
        <v>976</v>
      </c>
      <c r="D153" s="38" t="s">
        <v>986</v>
      </c>
      <c r="E153" s="103" t="s">
        <v>988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898</v>
      </c>
      <c r="C154" t="s">
        <v>976</v>
      </c>
      <c r="D154" s="38" t="s">
        <v>986</v>
      </c>
      <c r="E154" s="103" t="s">
        <v>989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898</v>
      </c>
      <c r="C155" t="s">
        <v>976</v>
      </c>
      <c r="D155" s="38" t="s">
        <v>990</v>
      </c>
      <c r="E155" s="103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898</v>
      </c>
      <c r="C156" t="s">
        <v>976</v>
      </c>
      <c r="D156" s="38" t="s">
        <v>990</v>
      </c>
      <c r="E156" s="103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898</v>
      </c>
      <c r="C157" t="s">
        <v>976</v>
      </c>
      <c r="D157" s="38" t="s">
        <v>990</v>
      </c>
      <c r="E157" s="103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898</v>
      </c>
      <c r="C158" t="s">
        <v>976</v>
      </c>
      <c r="D158" s="38" t="s">
        <v>990</v>
      </c>
      <c r="E158" s="103" t="s">
        <v>991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898</v>
      </c>
      <c r="C159" t="s">
        <v>976</v>
      </c>
      <c r="D159" s="38" t="s">
        <v>992</v>
      </c>
      <c r="E159" s="103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898</v>
      </c>
      <c r="C160" t="s">
        <v>976</v>
      </c>
      <c r="D160" s="38" t="s">
        <v>992</v>
      </c>
      <c r="E160" s="103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898</v>
      </c>
      <c r="C161" t="s">
        <v>976</v>
      </c>
      <c r="D161" s="38" t="s">
        <v>993</v>
      </c>
      <c r="E161" s="103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898</v>
      </c>
      <c r="C162" t="s">
        <v>976</v>
      </c>
      <c r="D162" s="38" t="s">
        <v>993</v>
      </c>
      <c r="E162" s="103" t="s">
        <v>994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898</v>
      </c>
      <c r="C163" t="s">
        <v>976</v>
      </c>
      <c r="D163" s="38" t="s">
        <v>993</v>
      </c>
      <c r="E163" s="103" t="s">
        <v>995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898</v>
      </c>
      <c r="C164" t="s">
        <v>976</v>
      </c>
      <c r="D164" s="38" t="s">
        <v>993</v>
      </c>
      <c r="E164" s="103" t="s">
        <v>996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898</v>
      </c>
      <c r="C165" t="s">
        <v>976</v>
      </c>
      <c r="D165" s="38" t="s">
        <v>997</v>
      </c>
      <c r="E165" s="103" t="s">
        <v>998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898</v>
      </c>
      <c r="C166" t="s">
        <v>976</v>
      </c>
      <c r="D166" s="38" t="s">
        <v>999</v>
      </c>
      <c r="E166" s="103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898</v>
      </c>
      <c r="C167" t="s">
        <v>976</v>
      </c>
      <c r="D167" s="38" t="s">
        <v>999</v>
      </c>
      <c r="E167" s="103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898</v>
      </c>
      <c r="C168" t="s">
        <v>976</v>
      </c>
      <c r="D168" s="38" t="s">
        <v>999</v>
      </c>
      <c r="E168" s="103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898</v>
      </c>
      <c r="C169" t="s">
        <v>976</v>
      </c>
      <c r="D169" s="38" t="s">
        <v>999</v>
      </c>
      <c r="E169" s="103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898</v>
      </c>
      <c r="C170" t="s">
        <v>976</v>
      </c>
      <c r="D170" s="38" t="s">
        <v>999</v>
      </c>
      <c r="E170" s="103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898</v>
      </c>
      <c r="C171" t="s">
        <v>976</v>
      </c>
      <c r="D171" s="38" t="s">
        <v>999</v>
      </c>
      <c r="E171" s="103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898</v>
      </c>
      <c r="C172" t="s">
        <v>976</v>
      </c>
      <c r="D172" s="38" t="s">
        <v>999</v>
      </c>
      <c r="E172" s="103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898</v>
      </c>
      <c r="C173" t="s">
        <v>976</v>
      </c>
      <c r="D173" s="38" t="s">
        <v>999</v>
      </c>
      <c r="E173" s="103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898</v>
      </c>
      <c r="C174" t="s">
        <v>976</v>
      </c>
      <c r="D174" s="38" t="s">
        <v>1000</v>
      </c>
      <c r="E174" s="103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898</v>
      </c>
      <c r="C175" t="s">
        <v>976</v>
      </c>
      <c r="D175" s="38" t="s">
        <v>1001</v>
      </c>
      <c r="E175" s="103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898</v>
      </c>
      <c r="C176" t="s">
        <v>976</v>
      </c>
      <c r="D176" s="38" t="s">
        <v>1001</v>
      </c>
      <c r="E176" s="103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898</v>
      </c>
      <c r="C177" t="s">
        <v>976</v>
      </c>
      <c r="D177" s="38" t="s">
        <v>1001</v>
      </c>
      <c r="E177" s="103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898</v>
      </c>
      <c r="C178" t="s">
        <v>976</v>
      </c>
      <c r="D178" s="38" t="s">
        <v>1001</v>
      </c>
      <c r="E178" s="103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898</v>
      </c>
      <c r="C179" t="s">
        <v>976</v>
      </c>
      <c r="D179" s="38" t="s">
        <v>1001</v>
      </c>
      <c r="E179" s="103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898</v>
      </c>
      <c r="C180" t="s">
        <v>976</v>
      </c>
      <c r="D180" s="38" t="s">
        <v>1001</v>
      </c>
      <c r="E180" s="103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898</v>
      </c>
      <c r="C181" t="s">
        <v>976</v>
      </c>
      <c r="D181" s="38" t="s">
        <v>1001</v>
      </c>
      <c r="E181" s="103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898</v>
      </c>
      <c r="C182" t="s">
        <v>976</v>
      </c>
      <c r="D182" s="38" t="s">
        <v>1001</v>
      </c>
      <c r="E182" s="103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898</v>
      </c>
      <c r="C183" t="s">
        <v>976</v>
      </c>
      <c r="D183" s="38" t="s">
        <v>1001</v>
      </c>
      <c r="E183" s="103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898</v>
      </c>
      <c r="C184" t="s">
        <v>976</v>
      </c>
      <c r="D184" s="38" t="s">
        <v>1001</v>
      </c>
      <c r="E184" s="103" t="s">
        <v>1002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898</v>
      </c>
      <c r="C185" t="s">
        <v>1003</v>
      </c>
      <c r="D185" s="38" t="s">
        <v>1004</v>
      </c>
      <c r="E185" s="103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898</v>
      </c>
      <c r="C186" t="s">
        <v>1003</v>
      </c>
      <c r="D186" s="38" t="s">
        <v>980</v>
      </c>
      <c r="E186" s="103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898</v>
      </c>
      <c r="C187" t="s">
        <v>1003</v>
      </c>
      <c r="D187" s="38" t="s">
        <v>893</v>
      </c>
      <c r="E187" s="103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898</v>
      </c>
      <c r="C188" t="s">
        <v>1005</v>
      </c>
      <c r="D188" s="38" t="s">
        <v>1006</v>
      </c>
      <c r="E188" s="103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898</v>
      </c>
      <c r="C189" t="s">
        <v>1005</v>
      </c>
      <c r="D189" s="38" t="s">
        <v>893</v>
      </c>
      <c r="E189" s="103" t="s">
        <v>1007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898</v>
      </c>
      <c r="C190" t="s">
        <v>1005</v>
      </c>
      <c r="D190" s="38" t="s">
        <v>893</v>
      </c>
      <c r="E190" s="103" t="s">
        <v>1008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898</v>
      </c>
      <c r="C191" t="s">
        <v>1005</v>
      </c>
      <c r="D191" s="38" t="s">
        <v>1009</v>
      </c>
      <c r="E191" s="103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898</v>
      </c>
      <c r="C192" t="s">
        <v>1005</v>
      </c>
      <c r="D192" s="38" t="s">
        <v>1010</v>
      </c>
      <c r="E192" s="103" t="s">
        <v>1011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898</v>
      </c>
      <c r="C193" t="s">
        <v>1005</v>
      </c>
      <c r="D193" s="38" t="s">
        <v>1010</v>
      </c>
      <c r="E193" s="103" t="s">
        <v>1012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898</v>
      </c>
      <c r="C194" t="s">
        <v>1013</v>
      </c>
      <c r="D194" s="38" t="s">
        <v>1014</v>
      </c>
      <c r="E194" s="103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898</v>
      </c>
      <c r="C195" t="s">
        <v>1015</v>
      </c>
      <c r="D195" s="38" t="s">
        <v>1016</v>
      </c>
      <c r="E195" s="103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898</v>
      </c>
      <c r="C196" t="s">
        <v>1015</v>
      </c>
      <c r="D196" s="38" t="s">
        <v>1017</v>
      </c>
      <c r="E196" s="103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898</v>
      </c>
      <c r="C197" t="s">
        <v>1018</v>
      </c>
      <c r="D197" s="38" t="s">
        <v>893</v>
      </c>
      <c r="E197" s="103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898</v>
      </c>
      <c r="C198" t="s">
        <v>898</v>
      </c>
      <c r="D198" s="38" t="s">
        <v>893</v>
      </c>
      <c r="E198" s="103" t="s">
        <v>1019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898</v>
      </c>
      <c r="C199" t="s">
        <v>1020</v>
      </c>
      <c r="D199" s="38" t="s">
        <v>1021</v>
      </c>
      <c r="E199" s="103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898</v>
      </c>
      <c r="C200" t="s">
        <v>1020</v>
      </c>
      <c r="D200" s="38" t="s">
        <v>1022</v>
      </c>
      <c r="E200" s="103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898</v>
      </c>
      <c r="C201" t="s">
        <v>1023</v>
      </c>
      <c r="D201" s="38" t="s">
        <v>965</v>
      </c>
      <c r="E201" s="103" t="s">
        <v>1024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898</v>
      </c>
      <c r="C202" t="s">
        <v>1025</v>
      </c>
      <c r="D202" s="38" t="s">
        <v>1026</v>
      </c>
      <c r="E202" s="103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898</v>
      </c>
      <c r="C203" t="s">
        <v>1027</v>
      </c>
      <c r="D203" s="38">
        <v>3814</v>
      </c>
      <c r="E203" s="103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898</v>
      </c>
      <c r="C204" t="s">
        <v>1027</v>
      </c>
      <c r="D204" s="38">
        <v>3814</v>
      </c>
      <c r="E204" s="103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898</v>
      </c>
      <c r="C205" t="s">
        <v>1027</v>
      </c>
      <c r="D205" s="38">
        <v>3814</v>
      </c>
      <c r="E205" s="103" t="s">
        <v>1028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898</v>
      </c>
      <c r="C206" t="s">
        <v>1027</v>
      </c>
      <c r="D206" s="38">
        <v>3817</v>
      </c>
      <c r="E206" s="103" t="s">
        <v>1029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898</v>
      </c>
      <c r="C207" t="s">
        <v>1027</v>
      </c>
      <c r="D207" s="38">
        <v>3831</v>
      </c>
      <c r="E207" s="103" t="s">
        <v>1030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898</v>
      </c>
      <c r="C208" t="s">
        <v>1027</v>
      </c>
      <c r="D208" s="38">
        <v>6814</v>
      </c>
      <c r="E208" s="103" t="s">
        <v>1031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898</v>
      </c>
      <c r="C209" t="s">
        <v>1027</v>
      </c>
      <c r="D209" s="38">
        <v>6814</v>
      </c>
      <c r="E209" s="103" t="s">
        <v>1032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898</v>
      </c>
      <c r="C210" t="s">
        <v>1027</v>
      </c>
      <c r="D210" s="38" t="s">
        <v>893</v>
      </c>
      <c r="E210" s="103" t="s">
        <v>1029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898</v>
      </c>
      <c r="C211" t="s">
        <v>1033</v>
      </c>
      <c r="D211" s="38">
        <v>3814</v>
      </c>
      <c r="E211" s="103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898</v>
      </c>
      <c r="C212" t="s">
        <v>1034</v>
      </c>
      <c r="D212" s="38" t="s">
        <v>1035</v>
      </c>
      <c r="E212" s="103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898</v>
      </c>
      <c r="C213" t="s">
        <v>1036</v>
      </c>
      <c r="D213" s="38" t="s">
        <v>965</v>
      </c>
      <c r="E213" s="103" t="s">
        <v>1037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898</v>
      </c>
      <c r="C214" t="s">
        <v>1038</v>
      </c>
      <c r="D214" s="38" t="s">
        <v>1039</v>
      </c>
      <c r="E214" s="103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898</v>
      </c>
      <c r="C215" t="s">
        <v>1038</v>
      </c>
      <c r="D215" s="38" t="s">
        <v>1039</v>
      </c>
      <c r="E215" s="103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898</v>
      </c>
      <c r="C216" t="s">
        <v>1038</v>
      </c>
      <c r="D216" s="38" t="s">
        <v>1039</v>
      </c>
      <c r="E216" s="103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898</v>
      </c>
      <c r="C217" t="s">
        <v>1038</v>
      </c>
      <c r="D217" s="38" t="s">
        <v>1039</v>
      </c>
      <c r="E217" s="103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898</v>
      </c>
      <c r="C218" t="s">
        <v>1038</v>
      </c>
      <c r="D218" s="38" t="s">
        <v>1039</v>
      </c>
      <c r="E218" s="103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898</v>
      </c>
      <c r="C219" t="s">
        <v>1038</v>
      </c>
      <c r="D219" s="38" t="s">
        <v>1039</v>
      </c>
      <c r="E219" s="103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898</v>
      </c>
      <c r="C220" t="s">
        <v>1040</v>
      </c>
      <c r="D220" s="38" t="s">
        <v>1041</v>
      </c>
      <c r="E220" s="103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898</v>
      </c>
      <c r="C221" t="s">
        <v>892</v>
      </c>
      <c r="D221" s="38">
        <v>4</v>
      </c>
      <c r="E221" s="103" t="s">
        <v>1042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898</v>
      </c>
      <c r="C222" t="s">
        <v>892</v>
      </c>
      <c r="D222" s="38">
        <v>425</v>
      </c>
      <c r="E222" s="103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898</v>
      </c>
      <c r="C223" t="s">
        <v>892</v>
      </c>
      <c r="D223" s="38">
        <v>500</v>
      </c>
      <c r="E223" s="103" t="s">
        <v>1043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898</v>
      </c>
      <c r="C224" t="s">
        <v>892</v>
      </c>
      <c r="D224" s="38">
        <v>574</v>
      </c>
      <c r="E224" s="103" t="s">
        <v>1044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898</v>
      </c>
      <c r="C225" t="s">
        <v>892</v>
      </c>
      <c r="D225" s="38">
        <v>574</v>
      </c>
      <c r="E225" s="103" t="s">
        <v>1045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898</v>
      </c>
      <c r="C226" t="s">
        <v>892</v>
      </c>
      <c r="D226" s="38">
        <v>2000</v>
      </c>
      <c r="E226" s="103" t="s">
        <v>1046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898</v>
      </c>
      <c r="C227" t="s">
        <v>892</v>
      </c>
      <c r="D227" s="38" t="s">
        <v>1047</v>
      </c>
      <c r="E227" s="103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898</v>
      </c>
      <c r="C228" t="s">
        <v>892</v>
      </c>
      <c r="D228" s="38" t="s">
        <v>1048</v>
      </c>
      <c r="E228" s="103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898</v>
      </c>
      <c r="C229" t="s">
        <v>892</v>
      </c>
      <c r="D229" s="38" t="s">
        <v>1049</v>
      </c>
      <c r="E229" s="103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898</v>
      </c>
      <c r="C230" t="s">
        <v>892</v>
      </c>
      <c r="D230" s="38" t="s">
        <v>1050</v>
      </c>
      <c r="E230" s="103" t="s">
        <v>1051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898</v>
      </c>
      <c r="C231" t="s">
        <v>892</v>
      </c>
      <c r="D231" s="38" t="s">
        <v>1052</v>
      </c>
      <c r="E231" s="103" t="s">
        <v>1053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898</v>
      </c>
      <c r="C232" t="s">
        <v>892</v>
      </c>
      <c r="D232" s="38" t="s">
        <v>1052</v>
      </c>
      <c r="E232" s="103" t="s">
        <v>1054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898</v>
      </c>
      <c r="C233" t="s">
        <v>892</v>
      </c>
      <c r="D233" s="38" t="s">
        <v>1052</v>
      </c>
      <c r="E233" s="103" t="s">
        <v>1055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898</v>
      </c>
      <c r="C234" t="s">
        <v>892</v>
      </c>
      <c r="D234" s="38" t="s">
        <v>915</v>
      </c>
      <c r="E234" s="103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898</v>
      </c>
      <c r="C235" t="s">
        <v>892</v>
      </c>
      <c r="D235" s="38" t="s">
        <v>915</v>
      </c>
      <c r="E235" s="103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898</v>
      </c>
      <c r="C236" t="s">
        <v>892</v>
      </c>
      <c r="D236" s="38" t="s">
        <v>915</v>
      </c>
      <c r="E236" s="103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898</v>
      </c>
      <c r="C237" t="s">
        <v>892</v>
      </c>
      <c r="D237" s="38" t="s">
        <v>915</v>
      </c>
      <c r="E237" s="103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898</v>
      </c>
      <c r="C238" t="s">
        <v>892</v>
      </c>
      <c r="D238" s="38" t="s">
        <v>915</v>
      </c>
      <c r="E238" s="103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898</v>
      </c>
      <c r="C239" t="s">
        <v>892</v>
      </c>
      <c r="D239" s="38" t="s">
        <v>915</v>
      </c>
      <c r="E239" s="103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898</v>
      </c>
      <c r="C240" t="s">
        <v>892</v>
      </c>
      <c r="D240" s="38" t="s">
        <v>915</v>
      </c>
      <c r="E240" s="103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898</v>
      </c>
      <c r="C241" t="s">
        <v>892</v>
      </c>
      <c r="D241" s="38" t="s">
        <v>915</v>
      </c>
      <c r="E241" s="103" t="s">
        <v>1056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898</v>
      </c>
      <c r="C242" t="s">
        <v>892</v>
      </c>
      <c r="D242" s="38" t="s">
        <v>915</v>
      </c>
      <c r="E242" s="103" t="s">
        <v>1057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898</v>
      </c>
      <c r="C243" t="s">
        <v>892</v>
      </c>
      <c r="D243" s="38" t="s">
        <v>915</v>
      </c>
      <c r="E243" s="103" t="s">
        <v>1058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898</v>
      </c>
      <c r="C244" t="s">
        <v>892</v>
      </c>
      <c r="D244" s="38" t="s">
        <v>1059</v>
      </c>
      <c r="E244" s="103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898</v>
      </c>
      <c r="C245" t="s">
        <v>892</v>
      </c>
      <c r="D245" s="38" t="s">
        <v>1059</v>
      </c>
      <c r="E245" s="103" t="s">
        <v>1060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898</v>
      </c>
      <c r="C246" t="s">
        <v>892</v>
      </c>
      <c r="D246" s="38" t="s">
        <v>1059</v>
      </c>
      <c r="E246" s="103" t="s">
        <v>1061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898</v>
      </c>
      <c r="C247" t="s">
        <v>892</v>
      </c>
      <c r="D247" s="38" t="s">
        <v>1062</v>
      </c>
      <c r="E247" s="103" t="s">
        <v>1063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898</v>
      </c>
      <c r="C248" t="s">
        <v>892</v>
      </c>
      <c r="D248" s="38" t="s">
        <v>1064</v>
      </c>
      <c r="E248" s="103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898</v>
      </c>
      <c r="C249" t="s">
        <v>892</v>
      </c>
      <c r="D249" s="38" t="s">
        <v>1064</v>
      </c>
      <c r="E249" s="103" t="s">
        <v>1065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898</v>
      </c>
      <c r="C250" t="s">
        <v>892</v>
      </c>
      <c r="D250" s="38" t="s">
        <v>1066</v>
      </c>
      <c r="E250" s="103" t="s">
        <v>1067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898</v>
      </c>
      <c r="C251" t="s">
        <v>892</v>
      </c>
      <c r="D251" s="38" t="s">
        <v>1068</v>
      </c>
      <c r="E251" s="103" t="s">
        <v>1069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898</v>
      </c>
      <c r="C252" t="s">
        <v>892</v>
      </c>
      <c r="D252" s="38" t="s">
        <v>1070</v>
      </c>
      <c r="E252" s="103" t="s">
        <v>1071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898</v>
      </c>
      <c r="C253" t="s">
        <v>892</v>
      </c>
      <c r="D253" s="38" t="s">
        <v>1072</v>
      </c>
      <c r="E253" s="103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898</v>
      </c>
      <c r="C254" t="s">
        <v>892</v>
      </c>
      <c r="D254" s="38" t="s">
        <v>1072</v>
      </c>
      <c r="E254" s="103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898</v>
      </c>
      <c r="C255" t="s">
        <v>892</v>
      </c>
      <c r="D255" s="38" t="s">
        <v>1072</v>
      </c>
      <c r="E255" s="103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898</v>
      </c>
      <c r="C256" t="s">
        <v>892</v>
      </c>
      <c r="D256" s="38" t="s">
        <v>1072</v>
      </c>
      <c r="E256" s="103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898</v>
      </c>
      <c r="C257" t="s">
        <v>892</v>
      </c>
      <c r="D257" s="38" t="s">
        <v>1072</v>
      </c>
      <c r="E257" s="103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898</v>
      </c>
      <c r="C258" t="s">
        <v>892</v>
      </c>
      <c r="D258" s="38" t="s">
        <v>1072</v>
      </c>
      <c r="E258" s="103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898</v>
      </c>
      <c r="C259" t="s">
        <v>892</v>
      </c>
      <c r="D259" s="38" t="s">
        <v>1072</v>
      </c>
      <c r="E259" s="103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898</v>
      </c>
      <c r="C260" t="s">
        <v>892</v>
      </c>
      <c r="D260" s="38" t="s">
        <v>1072</v>
      </c>
      <c r="E260" s="103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898</v>
      </c>
      <c r="C261" t="s">
        <v>892</v>
      </c>
      <c r="D261" s="38" t="s">
        <v>1072</v>
      </c>
      <c r="E261" s="103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898</v>
      </c>
      <c r="C262" t="s">
        <v>892</v>
      </c>
      <c r="D262" s="38" t="s">
        <v>1072</v>
      </c>
      <c r="E262" s="103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898</v>
      </c>
      <c r="C263" t="s">
        <v>892</v>
      </c>
      <c r="D263" s="38" t="s">
        <v>1072</v>
      </c>
      <c r="E263" s="103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898</v>
      </c>
      <c r="C264" t="s">
        <v>892</v>
      </c>
      <c r="D264" s="38" t="s">
        <v>1072</v>
      </c>
      <c r="E264" s="103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898</v>
      </c>
      <c r="C265" t="s">
        <v>892</v>
      </c>
      <c r="D265" s="38" t="s">
        <v>1072</v>
      </c>
      <c r="E265" s="103" t="s">
        <v>1073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898</v>
      </c>
      <c r="C266" t="s">
        <v>892</v>
      </c>
      <c r="D266" s="38" t="s">
        <v>1072</v>
      </c>
      <c r="E266" s="103" t="s">
        <v>1074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898</v>
      </c>
      <c r="C267" t="s">
        <v>892</v>
      </c>
      <c r="D267" s="38" t="s">
        <v>1072</v>
      </c>
      <c r="E267" s="103" t="s">
        <v>1075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898</v>
      </c>
      <c r="C268" t="s">
        <v>892</v>
      </c>
      <c r="D268" s="38" t="s">
        <v>1072</v>
      </c>
      <c r="E268" s="103" t="s">
        <v>1076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898</v>
      </c>
      <c r="C269" t="s">
        <v>892</v>
      </c>
      <c r="D269" s="38" t="s">
        <v>1072</v>
      </c>
      <c r="E269" s="103" t="s">
        <v>1077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898</v>
      </c>
      <c r="C270" t="s">
        <v>892</v>
      </c>
      <c r="D270" s="38" t="s">
        <v>1072</v>
      </c>
      <c r="E270" s="103" t="s">
        <v>1078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898</v>
      </c>
      <c r="C271" t="s">
        <v>892</v>
      </c>
      <c r="D271" s="38" t="s">
        <v>1072</v>
      </c>
      <c r="E271" s="103" t="s">
        <v>1079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898</v>
      </c>
      <c r="C272" t="s">
        <v>892</v>
      </c>
      <c r="D272" s="38" t="s">
        <v>1072</v>
      </c>
      <c r="E272" s="103" t="s">
        <v>1080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898</v>
      </c>
      <c r="C273" t="s">
        <v>892</v>
      </c>
      <c r="D273" s="38" t="s">
        <v>1081</v>
      </c>
      <c r="E273" s="103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898</v>
      </c>
      <c r="C274" t="s">
        <v>892</v>
      </c>
      <c r="D274" s="38" t="s">
        <v>1082</v>
      </c>
      <c r="E274" s="103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898</v>
      </c>
      <c r="C275" t="s">
        <v>892</v>
      </c>
      <c r="D275" s="38" t="s">
        <v>1082</v>
      </c>
      <c r="E275" s="103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898</v>
      </c>
      <c r="C276" t="s">
        <v>892</v>
      </c>
      <c r="D276" s="38" t="s">
        <v>1083</v>
      </c>
      <c r="E276" s="103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898</v>
      </c>
      <c r="C277" t="s">
        <v>892</v>
      </c>
      <c r="D277" s="38" t="s">
        <v>1083</v>
      </c>
      <c r="E277" s="103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898</v>
      </c>
      <c r="C278" t="s">
        <v>892</v>
      </c>
      <c r="D278" s="38" t="s">
        <v>1084</v>
      </c>
      <c r="E278" s="103" t="s">
        <v>1085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898</v>
      </c>
      <c r="C279" t="s">
        <v>892</v>
      </c>
      <c r="D279" s="38" t="s">
        <v>1086</v>
      </c>
      <c r="E279" s="103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898</v>
      </c>
      <c r="C280" t="s">
        <v>892</v>
      </c>
      <c r="D280" s="38" t="s">
        <v>1086</v>
      </c>
      <c r="E280" s="103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898</v>
      </c>
      <c r="C281" t="s">
        <v>892</v>
      </c>
      <c r="D281" s="38" t="s">
        <v>1087</v>
      </c>
      <c r="E281" s="103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898</v>
      </c>
      <c r="C282" t="s">
        <v>892</v>
      </c>
      <c r="D282" s="38" t="s">
        <v>1087</v>
      </c>
      <c r="E282" s="103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898</v>
      </c>
      <c r="C283" t="s">
        <v>892</v>
      </c>
      <c r="D283" s="38" t="s">
        <v>1087</v>
      </c>
      <c r="E283" s="103" t="s">
        <v>1088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898</v>
      </c>
      <c r="C284" t="s">
        <v>892</v>
      </c>
      <c r="D284" s="38" t="s">
        <v>1089</v>
      </c>
      <c r="E284" s="103" t="s">
        <v>1090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898</v>
      </c>
      <c r="C285" t="s">
        <v>892</v>
      </c>
      <c r="D285" s="38" t="s">
        <v>1091</v>
      </c>
      <c r="E285" s="103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898</v>
      </c>
      <c r="C286" t="s">
        <v>892</v>
      </c>
      <c r="D286" s="38" t="s">
        <v>1092</v>
      </c>
      <c r="E286" s="103" t="s">
        <v>1093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898</v>
      </c>
      <c r="C287" t="s">
        <v>892</v>
      </c>
      <c r="D287" s="38" t="s">
        <v>1094</v>
      </c>
      <c r="E287" s="103" t="s">
        <v>1095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898</v>
      </c>
      <c r="C288" t="s">
        <v>892</v>
      </c>
      <c r="D288" s="38" t="s">
        <v>1096</v>
      </c>
      <c r="E288" s="103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898</v>
      </c>
      <c r="C289" t="s">
        <v>892</v>
      </c>
      <c r="D289" s="38" t="s">
        <v>1097</v>
      </c>
      <c r="E289" s="103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898</v>
      </c>
      <c r="C290" t="s">
        <v>892</v>
      </c>
      <c r="D290" s="38" t="s">
        <v>1098</v>
      </c>
      <c r="E290" s="103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898</v>
      </c>
      <c r="C291" t="s">
        <v>892</v>
      </c>
      <c r="D291" s="38" t="s">
        <v>1098</v>
      </c>
      <c r="E291" s="103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898</v>
      </c>
      <c r="C292" t="s">
        <v>892</v>
      </c>
      <c r="D292" s="38" t="s">
        <v>1099</v>
      </c>
      <c r="E292" s="103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898</v>
      </c>
      <c r="C293" t="s">
        <v>892</v>
      </c>
      <c r="D293" s="38" t="s">
        <v>1100</v>
      </c>
      <c r="E293" s="103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898</v>
      </c>
      <c r="C294" t="s">
        <v>892</v>
      </c>
      <c r="D294" s="38" t="s">
        <v>1100</v>
      </c>
      <c r="E294" s="103" t="s">
        <v>1101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898</v>
      </c>
      <c r="C295" t="s">
        <v>892</v>
      </c>
      <c r="D295" s="38" t="s">
        <v>1102</v>
      </c>
      <c r="E295" s="103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898</v>
      </c>
      <c r="C296" t="s">
        <v>892</v>
      </c>
      <c r="D296" s="38" t="s">
        <v>893</v>
      </c>
      <c r="E296" s="103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898</v>
      </c>
      <c r="C297" t="s">
        <v>892</v>
      </c>
      <c r="D297" s="38" t="s">
        <v>893</v>
      </c>
      <c r="E297" s="103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898</v>
      </c>
      <c r="C298" t="s">
        <v>892</v>
      </c>
      <c r="D298" s="38" t="s">
        <v>893</v>
      </c>
      <c r="E298" s="103" t="s">
        <v>1103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898</v>
      </c>
      <c r="C299" t="s">
        <v>892</v>
      </c>
      <c r="D299" s="38" t="s">
        <v>893</v>
      </c>
      <c r="E299" s="103" t="s">
        <v>1104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898</v>
      </c>
      <c r="C300" t="s">
        <v>892</v>
      </c>
      <c r="D300" s="38" t="s">
        <v>893</v>
      </c>
      <c r="E300" s="103" t="s">
        <v>1105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898</v>
      </c>
      <c r="C301" t="s">
        <v>892</v>
      </c>
      <c r="D301" s="38" t="s">
        <v>893</v>
      </c>
      <c r="E301" s="103" t="s">
        <v>1106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898</v>
      </c>
      <c r="C302" t="s">
        <v>892</v>
      </c>
      <c r="D302" s="38" t="s">
        <v>1107</v>
      </c>
      <c r="E302" s="103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898</v>
      </c>
      <c r="C303" t="s">
        <v>892</v>
      </c>
      <c r="D303" s="38" t="s">
        <v>1108</v>
      </c>
      <c r="E303" s="103" t="s">
        <v>1109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898</v>
      </c>
      <c r="C304" t="s">
        <v>892</v>
      </c>
      <c r="D304" s="38" t="s">
        <v>1110</v>
      </c>
      <c r="E304" s="103" t="s">
        <v>1111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898</v>
      </c>
      <c r="C305" t="s">
        <v>892</v>
      </c>
      <c r="D305" s="38" t="s">
        <v>1112</v>
      </c>
      <c r="E305" s="103" t="s">
        <v>1113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898</v>
      </c>
      <c r="C306" t="s">
        <v>892</v>
      </c>
      <c r="D306" s="38" t="s">
        <v>1112</v>
      </c>
      <c r="E306" s="103" t="s">
        <v>1114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898</v>
      </c>
      <c r="C307" t="s">
        <v>892</v>
      </c>
      <c r="D307" s="38" t="s">
        <v>1115</v>
      </c>
      <c r="E307" s="103" t="s">
        <v>1116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898</v>
      </c>
      <c r="C308" t="s">
        <v>1117</v>
      </c>
      <c r="D308" s="38">
        <v>500</v>
      </c>
      <c r="E308" s="103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898</v>
      </c>
      <c r="C309" t="s">
        <v>1117</v>
      </c>
      <c r="D309" s="38" t="s">
        <v>1118</v>
      </c>
      <c r="E309" s="103" t="s">
        <v>1119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898</v>
      </c>
      <c r="C310" t="s">
        <v>1117</v>
      </c>
      <c r="D310" s="38" t="s">
        <v>915</v>
      </c>
      <c r="E310" s="103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898</v>
      </c>
      <c r="C311" t="s">
        <v>1117</v>
      </c>
      <c r="D311" s="38" t="s">
        <v>1068</v>
      </c>
      <c r="E311" s="103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898</v>
      </c>
      <c r="C312" t="s">
        <v>1117</v>
      </c>
      <c r="D312" s="38" t="s">
        <v>1120</v>
      </c>
      <c r="E312" s="103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898</v>
      </c>
      <c r="C313" t="s">
        <v>1121</v>
      </c>
      <c r="D313" s="38" t="s">
        <v>1122</v>
      </c>
      <c r="E313" s="103" t="s">
        <v>1123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898</v>
      </c>
      <c r="D314" s="38" t="s">
        <v>965</v>
      </c>
      <c r="E314" s="103" t="s">
        <v>1124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sheetProtection algorithmName="SHA-512" hashValue="vRN+ZOzKCzhWtoG3Fz/Kk1tIHYrQiOP5r6Qvs9gLqD74sMsOePv0JGvh4lZHFgFN7Xy559GYsSv/UjdGBX1/lA==" saltValue="2whdmY4WSceAhX+Qa+Q1sw==" spinCount="100000" sheet="1" objects="1" scenarios="1"/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8"/>
  <sheetViews>
    <sheetView workbookViewId="0">
      <selection activeCell="B18" sqref="B18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1125</v>
      </c>
      <c r="B1" t="s">
        <v>1126</v>
      </c>
      <c r="C1" t="s">
        <v>1127</v>
      </c>
      <c r="D1" t="s">
        <v>1128</v>
      </c>
    </row>
    <row r="2" spans="1:4" x14ac:dyDescent="0.25">
      <c r="A2" s="30">
        <v>42956</v>
      </c>
      <c r="B2" t="s">
        <v>1129</v>
      </c>
      <c r="C2" t="s">
        <v>1130</v>
      </c>
    </row>
    <row r="3" spans="1:4" x14ac:dyDescent="0.25">
      <c r="A3" s="30">
        <v>42965</v>
      </c>
      <c r="B3" t="s">
        <v>1129</v>
      </c>
      <c r="C3" t="s">
        <v>1130</v>
      </c>
    </row>
    <row r="4" spans="1:4" x14ac:dyDescent="0.25">
      <c r="A4" s="30">
        <v>42989</v>
      </c>
      <c r="B4" t="s">
        <v>1129</v>
      </c>
      <c r="C4" t="s">
        <v>1130</v>
      </c>
    </row>
    <row r="5" spans="1:4" x14ac:dyDescent="0.25">
      <c r="A5" s="30">
        <v>42993</v>
      </c>
      <c r="B5" t="s">
        <v>1129</v>
      </c>
      <c r="C5" t="s">
        <v>1130</v>
      </c>
    </row>
    <row r="6" spans="1:4" x14ac:dyDescent="0.25">
      <c r="A6" s="30">
        <v>42996</v>
      </c>
      <c r="B6" t="s">
        <v>1129</v>
      </c>
      <c r="C6" t="s">
        <v>1130</v>
      </c>
    </row>
    <row r="7" spans="1:4" x14ac:dyDescent="0.25">
      <c r="A7" s="30">
        <v>42999</v>
      </c>
      <c r="B7" t="s">
        <v>1129</v>
      </c>
      <c r="C7" t="s">
        <v>1130</v>
      </c>
    </row>
    <row r="8" spans="1:4" x14ac:dyDescent="0.25">
      <c r="A8" s="30">
        <v>43007</v>
      </c>
      <c r="B8" t="s">
        <v>1129</v>
      </c>
      <c r="C8" t="s">
        <v>1130</v>
      </c>
    </row>
    <row r="9" spans="1:4" x14ac:dyDescent="0.25">
      <c r="A9" s="30">
        <v>43644</v>
      </c>
      <c r="B9" t="s">
        <v>1129</v>
      </c>
      <c r="C9" t="s">
        <v>1130</v>
      </c>
    </row>
    <row r="10" spans="1:4" x14ac:dyDescent="0.25">
      <c r="A10" s="30">
        <v>44208</v>
      </c>
      <c r="B10" t="s">
        <v>1129</v>
      </c>
      <c r="C10" t="s">
        <v>1130</v>
      </c>
      <c r="D10" t="s">
        <v>1131</v>
      </c>
    </row>
    <row r="11" spans="1:4" x14ac:dyDescent="0.25">
      <c r="A11" s="30">
        <v>45509</v>
      </c>
      <c r="B11" t="s">
        <v>1132</v>
      </c>
      <c r="C11" t="s">
        <v>1133</v>
      </c>
      <c r="D11" t="s">
        <v>1134</v>
      </c>
    </row>
    <row r="12" spans="1:4" x14ac:dyDescent="0.25">
      <c r="A12" s="30">
        <v>45519</v>
      </c>
      <c r="B12" t="s">
        <v>1135</v>
      </c>
      <c r="C12" t="s">
        <v>1133</v>
      </c>
      <c r="D12" t="s">
        <v>1136</v>
      </c>
    </row>
    <row r="13" spans="1:4" x14ac:dyDescent="0.25">
      <c r="A13" s="30">
        <v>45531</v>
      </c>
      <c r="B13" t="s">
        <v>1137</v>
      </c>
      <c r="C13" t="s">
        <v>1133</v>
      </c>
      <c r="D13" t="s">
        <v>1138</v>
      </c>
    </row>
    <row r="14" spans="1:4" x14ac:dyDescent="0.25">
      <c r="A14" s="30">
        <v>45540</v>
      </c>
      <c r="B14" t="s">
        <v>1139</v>
      </c>
      <c r="C14" t="s">
        <v>1133</v>
      </c>
      <c r="D14" t="s">
        <v>1140</v>
      </c>
    </row>
    <row r="15" spans="1:4" x14ac:dyDescent="0.25">
      <c r="A15" s="30">
        <v>45545</v>
      </c>
      <c r="B15" t="s">
        <v>1141</v>
      </c>
      <c r="C15" t="s">
        <v>1133</v>
      </c>
      <c r="D15" t="s">
        <v>1142</v>
      </c>
    </row>
    <row r="16" spans="1:4" x14ac:dyDescent="0.25">
      <c r="A16" s="30">
        <v>45574</v>
      </c>
      <c r="B16" t="s">
        <v>1143</v>
      </c>
      <c r="C16" t="s">
        <v>1133</v>
      </c>
      <c r="D16" t="s">
        <v>1144</v>
      </c>
    </row>
    <row r="17" spans="1:4" x14ac:dyDescent="0.25">
      <c r="A17" s="30">
        <v>45629</v>
      </c>
      <c r="B17" t="s">
        <v>1145</v>
      </c>
      <c r="C17" t="s">
        <v>1133</v>
      </c>
      <c r="D17" t="s">
        <v>1146</v>
      </c>
    </row>
    <row r="18" spans="1:4" x14ac:dyDescent="0.25">
      <c r="A18" s="30">
        <v>45635</v>
      </c>
      <c r="B18" t="s">
        <v>1147</v>
      </c>
      <c r="C18" t="s">
        <v>1133</v>
      </c>
      <c r="D18" t="s">
        <v>1148</v>
      </c>
    </row>
  </sheetData>
  <sheetProtection algorithmName="SHA-512" hashValue="5xeIhDtYp4gjZdJ2BbMIAQROMTrhac00szv+01eTX3KlS0/ZGF73vEUzgr7ULQoyuxECXKqJ2GhxPaOL4ykXcQ==" saltValue="BAMsa9lHwZx2yEC/3qpzfQ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234D313-B9DD-487F-B287-E0E6CAE0AD7D}">
  <ds:schemaRefs>
    <ds:schemaRef ds:uri="http://purl.org/dc/elements/1.1/"/>
    <ds:schemaRef ds:uri="http://schemas.openxmlformats.org/package/2006/metadata/core-properties"/>
    <ds:schemaRef ds:uri="a7c4c7f9-987c-475d-a26a-521e5d0f4dc5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1ed8a9e0-df63-4c43-b0d4-c670c11769e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Logo Page</vt:lpstr>
      <vt:lpstr>Filter Cert Data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2025-01-18T00:55:44Z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