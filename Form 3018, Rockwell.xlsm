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4F3E775E-AEF6-466C-A016-03C5788E0DE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<sst xmlns="http://schemas.openxmlformats.org/spreadsheetml/2006/main" count="2552" uniqueCount="1158">
  <si>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</si>
  <si>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</si>
  <si>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</si>
  <si>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</si>
  <si>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</si>
  <si>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</si>
  <si>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</si>
  <si>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</si>
  <si>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</si>
  <si>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</si>
  <si>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</si>
  <si>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</si>
  <si>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</si>
  <si>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</si>
  <si>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</si>
  <si>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</si>
  <si>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</si>
  <si>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</si>
  <si>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</si>
  <si>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</si>
  <si>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</si>
  <si>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</si>
  <si>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</si>
  <si>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</si>
  <si>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</si>
  <si>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</si>
  <si>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</si>
  <si>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</si>
  <si>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</si>
  <si>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</si>
  <si>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</si>
  <si>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</si>
  <si>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</si>
  <si>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</si>
  <si>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</si>
  <si>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</si>
  <si>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</si>
  <si>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</si>
  <si>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</si>
  <si>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</si>
  <si>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</si>
  <si>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</si>
  <si>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</si>
  <si>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</si>
  <si>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</si>
  <si>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</si>
  <si>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</si>
  <si>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</si>
  <si>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</si>
  <si>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</si>
  <si>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</si>
  <si>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</si>
  <si>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</si>
  <si>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</si>
  <si>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</si>
  <si>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</si>
  <si>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</si>
  <si>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</si>
  <si>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</si>
  <si>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</si>
  <si>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</si>
  <si>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</si>
  <si>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</si>
  <si>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</si>
  <si>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</si>
  <si>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</si>
  <si>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</si>
  <si>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</si>
  <si>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</si>
  <si>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</si>
  <si>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</si>
  <si>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</si>
  <si>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</si>
  <si>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</si>
  <si>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</si>
  <si>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</si>
  <si>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</si>
  <si>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</si>
  <si>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</si>
  <si>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</si>
  <si>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</si>
  <si>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</si>
  <si>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</si>
  <si>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</si>
  <si>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</si>
  <si>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</si>
  <si>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</si>
  <si>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</si>
  <si>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</si>
  <si>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</si>
  <si>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</si>
  <si>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</si>
  <si>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</si>
  <si>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</si>
  <si>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</si>
  <si>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</si>
  <si>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</si>
  <si>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</si>
  <si>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</si>
  <si>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</si>
  <si>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</si>
  <si>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</si>
  <si>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</si>
  <si>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</si>
  <si>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</si>
  <si>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</si>
  <si>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</si>
  <si>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</si>
  <si>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</si>
  <si>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</si>
  <si>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</si>
  <si>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</si>
  <si>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</si>
  <si>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</si>
  <si>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</si>
  <si>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</si>
  <si>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</si>
  <si>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</si>
  <si>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</si>
  <si>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</si>
  <si>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</si>
  <si>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</si>
  <si>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</si>
  <si>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</si>
  <si>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</si>
  <si>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</si>
  <si>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</si>
  <si>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</si>
  <si>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</si>
  <si>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</si>
  <si>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</si>
  <si>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</si>
  <si>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</si>
  <si>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</si>
  <si>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</si>
  <si>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</si>
  <si>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</si>
  <si>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</si>
  <si>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</si>
  <si>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</si>
  <si>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</si>
  <si>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</si>
  <si>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</si>
  <si>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</si>
  <si>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</si>
  <si>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</si>
  <si>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</si>
  <si>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</si>
  <si>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</si>
  <si>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</si>
  <si>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</si>
  <si>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</si>
  <si>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</si>
  <si>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</si>
  <si>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</si>
  <si>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</si>
  <si>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</si>
  <si>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</si>
  <si>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</si>
  <si>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</si>
  <si>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</si>
  <si>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</si>
  <si>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</si>
  <si>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</si>
  <si>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</si>
  <si>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</si>
  <si>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</si>
  <si>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</si>
  <si>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</si>
  <si>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</si>
  <si>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</si>
  <si>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</si>
  <si>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</si>
  <si>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</si>
  <si>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</si>
  <si>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</si>
  <si>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</si>
  <si>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</si>
  <si>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</si>
  <si>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</si>
  <si>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</si>
  <si>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</si>
  <si>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</si>
  <si>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</si>
  <si>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</si>
  <si>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</si>
  <si>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</si>
  <si>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</si>
  <si>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</si>
  <si>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</si>
  <si>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</si>
  <si>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</si>
  <si>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</si>
  <si>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</si>
  <si>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</si>
  <si>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</si>
  <si>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</si>
  <si>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</si>
  <si>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</si>
  <si>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</si>
  <si>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</si>
  <si>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</si>
  <si>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</si>
  <si>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</si>
  <si>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</si>
  <si>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</si>
  <si>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</si>
  <si>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</si>
  <si>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</si>
  <si>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</si>
  <si>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</si>
  <si>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</si>
  <si>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</si>
  <si>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</si>
  <si>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</si>
  <si>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</si>
  <si>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</si>
  <si>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</si>
  <si>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</si>
  <si>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</si>
  <si>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</si>
  <si>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</si>
  <si>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</si>
  <si>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</si>
  <si>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</si>
  <si>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</si>
  <si>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</si>
  <si>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</si>
  <si>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</si>
  <si>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</si>
  <si>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</si>
  <si>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</si>
  <si>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</si>
  <si>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</si>
  <si>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</si>
  <si>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</si>
  <si>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</si>
  <si>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</si>
  <si>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</si>
  <si>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</si>
  <si>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</si>
  <si>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</si>
  <si>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</si>
  <si>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</si>
  <si>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</si>
  <si>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</si>
  <si>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</si>
  <si>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</si>
  <si>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</si>
  <si>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</si>
  <si>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</si>
  <si>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</si>
  <si>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</si>
  <si>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</si>
  <si>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</si>
  <si>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</si>
  <si>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</si>
  <si>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</si>
  <si>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</si>
  <si>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</si>
  <si>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</si>
  <si>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</si>
  <si>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</si>
  <si>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</si>
  <si>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</si>
  <si>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</si>
  <si>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</si>
  <si>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</si>
  <si>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</si>
  <si>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</si>
  <si>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</si>
  <si>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</si>
  <si>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</si>
  <si>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</si>
  <si>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</si>
  <si>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</si>
  <si>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</si>
  <si>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</si>
  <si>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</si>
  <si>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</si>
  <si>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</si>
  <si>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</si>
  <si>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</si>
  <si>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</si>
  <si>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</si>
  <si>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</si>
  <si>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</si>
  <si>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</si>
  <si>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</si>
  <si>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</si>
  <si>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</si>
  <si>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</si>
  <si>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</si>
  <si>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</si>
  <si>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</si>
  <si>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</si>
  <si>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</si>
  <si>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</si>
  <si>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</si>
  <si>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</si>
  <si>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</si>
  <si>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</si>
  <si>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</si>
  <si>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</si>
  <si>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</si>
  <si>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</si>
  <si>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</si>
  <si>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</si>
  <si>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</si>
  <si>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</si>
  <si>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</si>
  <si>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</si>
  <si>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</si>
  <si>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</si>
  <si>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</si>
  <si>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</si>
  <si>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</si>
  <si>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</si>
  <si>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</si>
  <si>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</si>
  <si>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</si>
  <si>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</si>
  <si>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</si>
  <si>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</si>
  <si>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</si>
  <si>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</si>
  <si>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</si>
  <si>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</si>
  <si>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</si>
  <si>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</si>
  <si>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</si>
  <si>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</si>
  <si>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</si>
  <si>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</si>
  <si>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</si>
  <si>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</si>
  <si>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</si>
  <si>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</si>
  <si>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</si>
  <si>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</si>
  <si>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</si>
  <si>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</si>
  <si>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</si>
  <si>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</si>
  <si>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</si>
  <si>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</si>
  <si>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</si>
  <si>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</si>
  <si>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</si>
  <si>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</si>
  <si>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</si>
  <si>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</si>
  <si>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</si>
  <si>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</si>
  <si>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</si>
  <si>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</si>
  <si>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</si>
  <si>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</si>
  <si>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</si>
  <si>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</si>
  <si>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</si>
  <si>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</si>
  <si>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</si>
  <si>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</si>
  <si>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</si>
  <si>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</si>
  <si>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</si>
  <si>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</si>
  <si>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</si>
  <si>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</si>
  <si>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</si>
  <si>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</si>
  <si>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</si>
  <si>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</si>
  <si>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</si>
  <si>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</si>
  <si>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</si>
  <si>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</si>
  <si>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</si>
  <si>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</si>
  <si>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</si>
  <si>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</si>
  <si>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</si>
  <si>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</si>
  <si>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</si>
  <si>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</si>
  <si>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</si>
  <si>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</si>
  <si>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</si>
  <si>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</si>
  <si>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</si>
  <si>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</si>
  <si>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</si>
  <si>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</si>
  <si>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</si>
  <si>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</si>
  <si>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</si>
  <si>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</si>
  <si>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</si>
  <si>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</si>
  <si>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</si>
  <si>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</si>
  <si>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</si>
  <si>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</si>
  <si>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</si>
  <si>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</si>
  <si>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</si>
  <si>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</si>
  <si>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</si>
  <si>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</si>
  <si>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</si>
  <si>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</si>
  <si>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</si>
  <si>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</si>
  <si>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</si>
  <si>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</si>
  <si>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</si>
  <si>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</si>
  <si>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</si>
  <si>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</si>
  <si>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</si>
  <si>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</si>
  <si>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</si>
  <si>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</si>
  <si>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</si>
  <si>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</si>
  <si>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</si>
  <si>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</si>
  <si>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</si>
  <si>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</si>
  <si>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</si>
  <si>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</si>
  <si>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</si>
  <si>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</si>
  <si>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</si>
  <si>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</si>
  <si>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</si>
  <si>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</si>
  <si>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</si>
  <si>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</si>
  <si>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</si>
  <si>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</si>
  <si>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</si>
  <si>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</si>
  <si>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</si>
  <si>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</si>
  <si>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</si>
  <si>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</si>
  <si>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</si>
  <si>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</si>
  <si>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</si>
  <si>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</si>
  <si>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</si>
  <si>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</si>
  <si>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</si>
  <si>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</si>
  <si>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</si>
  <si>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</si>
  <si>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</si>
  <si>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</si>
  <si>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</si>
  <si>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</si>
  <si>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</si>
  <si>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</si>
  <si>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</si>
  <si>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</si>
  <si>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</si>
  <si>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</si>
  <si>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</si>
  <si>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</si>
  <si>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</si>
  <si>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</si>
  <si>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</si>
  <si>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</si>
  <si>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</si>
  <si>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</si>
  <si>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</si>
  <si>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</si>
  <si>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</si>
  <si>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</si>
  <si>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</si>
  <si>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</si>
  <si>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</si>
  <si>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</si>
  <si>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</si>
  <si>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</si>
  <si>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</si>
  <si>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</si>
  <si>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</si>
  <si>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</si>
  <si>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</si>
  <si>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</si>
  <si>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</si>
  <si>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</si>
  <si>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</si>
  <si>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</si>
  <si>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</si>
  <si>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</si>
  <si>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</si>
  <si>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</si>
  <si>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</si>
  <si>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</si>
  <si>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</si>
  <si>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</si>
  <si>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</si>
  <si>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</si>
  <si>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</si>
  <si>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</si>
  <si>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</si>
  <si>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</si>
  <si>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</si>
  <si>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</si>
  <si>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</si>
  <si>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</si>
  <si>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</si>
  <si>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</si>
  <si>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</si>
  <si>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</si>
  <si>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</si>
  <si>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</si>
  <si>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</si>
  <si>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</si>
  <si>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</si>
  <si>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</si>
  <si>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</si>
  <si>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</si>
  <si>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</si>
  <si>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</si>
  <si>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</si>
  <si>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</si>
  <si>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</si>
  <si>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</si>
  <si>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</si>
  <si>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</si>
  <si>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</si>
  <si>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</si>
  <si>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</si>
  <si>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</si>
  <si>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</si>
  <si>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</si>
  <si>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</si>
  <si>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</si>
  <si>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</si>
  <si>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</si>
  <si>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</si>
  <si>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</si>
  <si>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</si>
  <si>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</si>
  <si>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</si>
  <si>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</si>
  <si>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</si>
  <si>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</si>
  <si>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</si>
  <si>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</si>
  <si>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</si>
  <si>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</si>
  <si>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</si>
  <si>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</si>
  <si>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</si>
  <si>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</si>
  <si>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</si>
  <si>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</si>
  <si>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</si>
  <si>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</si>
  <si>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</si>
  <si>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</si>
  <si>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</si>
  <si>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</si>
  <si>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</si>
  <si>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</si>
  <si>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</si>
  <si>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</si>
  <si>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</si>
  <si>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</si>
  <si>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</si>
  <si>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</si>
  <si>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</si>
  <si>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</si>
  <si>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</si>
  <si>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</si>
  <si>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</si>
  <si>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</si>
  <si>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</si>
  <si>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</si>
  <si>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</si>
  <si>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</si>
  <si>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</si>
  <si>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</si>
  <si>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</si>
  <si>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</si>
  <si>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</si>
  <si>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</si>
  <si>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</si>
  <si>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</si>
  <si>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</si>
  <si>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</si>
  <si>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</si>
  <si>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</si>
  <si>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</si>
  <si>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</si>
  <si>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</si>
  <si>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</si>
  <si>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</si>
  <si>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</si>
  <si>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</si>
  <si>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</si>
  <si>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</si>
  <si>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</si>
  <si>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</si>
  <si>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</si>
  <si>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</si>
  <si>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</si>
  <si>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</si>
  <si>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</si>
  <si>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</si>
  <si>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</si>
  <si>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</si>
  <si>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</si>
  <si>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</si>
  <si>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</si>
  <si>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</si>
  <si>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</si>
  <si>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</si>
  <si>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</si>
  <si>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</si>
  <si>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</si>
  <si>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</si>
  <si>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</si>
  <si>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</si>
  <si>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</si>
  <si>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</si>
  <si>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</si>
  <si>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</si>
  <si>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</si>
  <si>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</si>
  <si>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</si>
  <si>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</si>
  <si>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</si>
  <si>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</si>
  <si>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</si>
  <si>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</si>
  <si>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</si>
  <si>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</si>
  <si>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</si>
  <si>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</si>
  <si>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</si>
  <si>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</si>
  <si>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</si>
  <si>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</si>
  <si>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</si>
  <si>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</si>
  <si>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</si>
  <si>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</si>
  <si>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</si>
  <si>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</si>
  <si>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</si>
  <si>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</si>
  <si>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</si>
  <si>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</si>
  <si>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</si>
  <si>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</si>
  <si>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</si>
  <si>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</si>
  <si>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</si>
  <si>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</si>
  <si>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</si>
  <si>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</si>
  <si>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</si>
  <si>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</si>
  <si>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</si>
  <si>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</si>
  <si>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</si>
  <si>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</si>
  <si>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</si>
  <si>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</si>
  <si>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</si>
  <si>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</si>
  <si>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</si>
  <si>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</si>
  <si>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</si>
  <si>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</si>
  <si>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</si>
  <si>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</si>
  <si>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</si>
  <si>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</si>
  <si>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</si>
  <si>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</si>
  <si>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</si>
  <si>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</si>
  <si>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</si>
  <si>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</si>
  <si>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</si>
  <si>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</si>
  <si>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</si>
  <si>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</si>
  <si>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</si>
  <si>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</si>
  <si>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</si>
  <si>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</si>
  <si>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</si>
  <si>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</si>
  <si>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</si>
  <si>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</si>
  <si>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</si>
  <si>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</si>
  <si>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</si>
  <si>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</si>
  <si>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</si>
  <si>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</si>
  <si>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</si>
  <si>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</si>
  <si>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</si>
  <si>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</si>
  <si>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</si>
  <si>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</si>
  <si>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</si>
  <si>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</si>
  <si>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</si>
  <si>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</si>
  <si>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</si>
  <si>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</si>
  <si>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</si>
  <si>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</si>
  <si>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</si>
  <si>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</si>
  <si>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</si>
  <si>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</si>
  <si>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</si>
  <si>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</si>
  <si>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</si>
  <si>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</si>
  <si>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</si>
  <si>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</si>
  <si>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</si>
  <si>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</si>
  <si>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</si>
  <si>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</si>
  <si>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</si>
  <si>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</si>
  <si>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</si>
  <si>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</si>
  <si>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</si>
  <si>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</si>
  <si>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</si>
  <si>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</si>
  <si>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</si>
  <si>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</si>
  <si>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</si>
  <si>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</si>
  <si>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</si>
  <si>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</si>
  <si>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</si>
  <si>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</si>
  <si>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</si>
  <si>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</si>
  <si>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</si>
  <si>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</si>
  <si>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</si>
  <si>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</si>
  <si>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</si>
  <si>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</si>
  <si>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</si>
  <si>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</si>
  <si>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</si>
  <si>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</si>
  <si>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</si>
  <si>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</si>
  <si>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</si>
  <si>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</si>
  <si>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</si>
  <si>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</si>
  <si>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</si>
  <si>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</si>
  <si>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</si>
  <si>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</si>
  <si>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</si>
  <si>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</si>
  <si>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</si>
  <si>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</si>
  <si>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</si>
  <si>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</si>
  <si>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</si>
  <si>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</si>
  <si>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</si>
  <si>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</si>
  <si>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</si>
  <si>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</si>
  <si>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</si>
  <si>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</si>
  <si>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</si>
  <si>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</si>
  <si>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</si>
  <si>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</si>
  <si>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</si>
  <si>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</si>
  <si>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</si>
  <si>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</si>
  <si>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</si>
  <si>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</si>
  <si>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</si>
  <si>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</si>
  <si>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</si>
  <si>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</si>
  <si>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</si>
  <si>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</si>
  <si>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</si>
  <si>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</si>
  <si>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</si>
  <si>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</si>
  <si>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</si>
  <si>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</si>
  <si>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</si>
  <si>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</si>
  <si>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</si>
  <si>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</si>
  <si>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</si>
  <si>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</si>
  <si>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</si>
  <si>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</si>
  <si>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</si>
  <si>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</si>
  <si>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</si>
  <si>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</si>
  <si>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</si>
  <si>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</si>
  <si>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</si>
  <si>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</si>
  <si>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</si>
  <si>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</si>
  <si>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</si>
  <si>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</si>
  <si>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</si>
  <si>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</si>
  <si>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</si>
  <si>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</si>
  <si>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</si>
  <si>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</si>
  <si>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</si>
  <si>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</si>
  <si>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</si>
  <si>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</si>
  <si>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</si>
  <si>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</si>
  <si>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</si>
  <si>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</si>
  <si>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</si>
  <si>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</si>
  <si>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</si>
  <si>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</si>
  <si>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</si>
  <si>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</si>
  <si>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</si>
  <si>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</si>
  <si>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</si>
  <si>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</si>
  <si>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</si>
  <si>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</si>
  <si>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</si>
  <si>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</si>
  <si>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</si>
  <si>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</si>
  <si>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</si>
  <si>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</si>
  <si>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</si>
  <si>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</si>
  <si>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</si>
  <si>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</si>
  <si>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</si>
  <si>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</si>
  <si>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</si>
  <si>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</si>
  <si>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</si>
  <si>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</si>
  <si>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</si>
  <si>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</si>
  <si>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</si>
  <si>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</si>
  <si>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</si>
  <si>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</si>
  <si>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</si>
  <si>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</si>
  <si>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</si>
  <si>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</si>
  <si>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</si>
  <si>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</si>
  <si>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</si>
  <si>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</si>
  <si>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</si>
  <si>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</si>
  <si>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</si>
  <si>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</si>
  <si>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</si>
  <si>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</si>
  <si>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</si>
  <si>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</si>
  <si>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</si>
  <si>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</si>
  <si>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</si>
  <si>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</si>
  <si>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</si>
  <si>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</si>
  <si>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</si>
  <si>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</si>
  <si>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</si>
  <si>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</si>
  <si>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</si>
  <si>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</si>
  <si>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</si>
  <si>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</si>
  <si>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</si>
  <si>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</si>
  <si>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</si>
  <si>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</si>
  <si>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</si>
  <si>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</si>
  <si>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</si>
  <si>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</si>
  <si>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</si>
  <si>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</si>
  <si>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</si>
  <si>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</si>
  <si>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</si>
  <si>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</si>
  <si>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</si>
  <si>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</si>
  <si>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</si>
  <si>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</si>
  <si>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</si>
  <si>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</si>
  <si>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</si>
  <si>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</si>
  <si>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</si>
  <si>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</si>
  <si>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</si>
  <si>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</si>
  <si>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</si>
  <si>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</si>
  <si>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</si>
  <si>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</si>
  <si>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</si>
  <si>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</si>
  <si>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</si>
  <si>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</si>
  <si>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</si>
  <si>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</si>
  <si>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</si>
  <si>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</si>
  <si>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</si>
  <si>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</si>
  <si>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</si>
  <si>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</si>
  <si>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</si>
  <si>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</si>
  <si>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</si>
  <si>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</si>
  <si>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</si>
  <si>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</si>
  <si>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</si>
  <si>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</si>
  <si>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</si>
  <si>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</si>
  <si>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</si>
  <si>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</si>
  <si>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</si>
  <si>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</si>
  <si>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</si>
  <si>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</si>
  <si>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</si>
  <si>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</si>
  <si>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</si>
  <si>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</si>
  <si>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</si>
  <si>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</si>
  <si>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</si>
  <si>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</si>
  <si>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</si>
  <si>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</si>
  <si>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</si>
  <si>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</si>
  <si>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</si>
  <si>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</si>
  <si>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</si>
  <si>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</si>
  <si>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</si>
  <si>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</si>
  <si>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</si>
  <si>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</si>
  <si>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</si>
  <si>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</si>
  <si>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</si>
  <si>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</si>
  <si>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</si>
  <si>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</si>
  <si>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</si>
  <si>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</si>
  <si>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</si>
  <si>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</si>
  <si>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</si>
  <si>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</si>
  <si>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</si>
  <si>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</si>
  <si>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</si>
  <si>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</si>
  <si>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</si>
  <si>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</si>
  <si>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</si>
  <si>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</si>
  <si>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</si>
  <si>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</si>
  <si>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</si>
  <si>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</si>
  <si>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</si>
  <si>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</si>
  <si>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</si>
  <si>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</si>
  <si>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</si>
  <si>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</si>
  <si>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</si>
  <si>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</si>
  <si>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</si>
  <si>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</si>
  <si>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</si>
  <si>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</si>
  <si>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</si>
  <si>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</si>
  <si>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</si>
  <si>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</si>
  <si>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</si>
  <si>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</si>
  <si>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</si>
  <si>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</si>
  <si>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</si>
  <si>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</si>
  <si>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</si>
  <si>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</si>
  <si>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</si>
  <si>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</si>
  <si>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</si>
  <si>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</si>
  <si>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</si>
  <si>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</si>
  <si>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</si>
  <si>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</si>
  <si>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</si>
  <si>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</si>
  <si>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</si>
  <si>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</si>
  <si>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</si>
  <si>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</si>
  <si>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</si>
  <si>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</si>
  <si>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</si>
  <si>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</si>
  <si>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</si>
  <si>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</si>
  <si>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</si>
  <si>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</si>
  <si>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</si>
  <si>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</si>
  <si>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</si>
  <si>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</si>
  <si>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</si>
  <si>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</si>
  <si>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</si>
  <si>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</si>
  <si>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</si>
  <si>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</si>
  <si>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</si>
  <si>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</si>
  <si>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</si>
  <si>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</si>
  <si>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</si>
  <si>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</si>
  <si>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</si>
  <si>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</si>
  <si>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</si>
  <si>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</si>
  <si>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</si>
  <si>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</si>
  <si>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</si>
  <si>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</si>
  <si>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</si>
  <si>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</si>
  <si>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</si>
  <si>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</si>
  <si>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</si>
  <si>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</si>
  <si>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</si>
  <si>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</si>
  <si>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</si>
  <si>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</si>
  <si>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</si>
  <si>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</si>
  <si>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</si>
  <si>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</si>
  <si>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</si>
  <si>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</si>
  <si>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</si>
  <si>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</si>
  <si>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</si>
  <si>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</si>
  <si>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</si>
  <si>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</si>
  <si>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</si>
  <si>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</si>
  <si>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</si>
  <si>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</si>
  <si>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</si>
  <si>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</si>
  <si>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</si>
  <si>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</si>
  <si>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</si>
  <si>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</si>
  <si>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</si>
  <si>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</si>
  <si>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</si>
  <si>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</si>
  <si>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</si>
  <si>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</si>
  <si>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</si>
  <si>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</si>
  <si>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</si>
  <si>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</si>
  <si>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</si>
  <si>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</si>
  <si>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</si>
  <si>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</si>
  <si>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</si>
  <si>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</si>
  <si>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</si>
  <si>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</si>
  <si>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</si>
  <si>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</si>
  <si>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</si>
  <si>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</si>
  <si>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</si>
  <si>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</si>
  <si>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</si>
  <si>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</si>
  <si>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</si>
  <si>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</si>
  <si>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</si>
  <si>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</si>
  <si>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</si>
  <si>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</si>
  <si>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</si>
  <si>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</si>
  <si>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</si>
  <si>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</si>
  <si>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</si>
  <si>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</si>
  <si>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</si>
  <si>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</si>
  <si>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</si>
  <si>
    <t>Expanded regex (Worksheet!A1) to allow "revisions" in order number (Worksheet!D3)</t>
  </si>
  <si>
    <t>Added uncertainties for HRMW.</t>
  </si>
  <si>
    <t>V</t>
  </si>
  <si>
    <t>Allow "Date Calibrated" to be filled in before "Recalibration Date"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</si>
</sst>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tabSelected="1" view="pageBreakPreview" zoomScaleNormal="100" zoomScaleSheetLayoutView="100" workbookViewId="0">
      <selection activeCell="N6" sqref="N6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 x14ac:dyDescent="0.4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 x14ac:dyDescent="0.2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 x14ac:dyDescent="0.25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 x14ac:dyDescent="0.25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 x14ac:dyDescent="0.25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 x14ac:dyDescent="0.25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 x14ac:dyDescent="0.25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 x14ac:dyDescent="0.25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 x14ac:dyDescent="0.25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 x14ac:dyDescent="0.25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d0Da3T47Orl/aRWLmlGBRunbUX4bLPF8H28+gIzq0sEL6S3R78ov84DAfJHo32e4Xm0DvkLiKZc29rodUeVyeg==" saltValue="HhzxuHlcPDiAhlh5hd+JUA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36526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6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09" t="s">
        <v>141</v>
      </c>
    </row>
    <row r="2" spans="1:16" x14ac:dyDescent="0.25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 x14ac:dyDescent="0.2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 x14ac:dyDescent="0.2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 x14ac:dyDescent="0.2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 x14ac:dyDescent="0.2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 x14ac:dyDescent="0.2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 x14ac:dyDescent="0.2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 x14ac:dyDescent="0.2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 x14ac:dyDescent="0.2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 x14ac:dyDescent="0.2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 x14ac:dyDescent="0.2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 x14ac:dyDescent="0.2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 x14ac:dyDescent="0.2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 x14ac:dyDescent="0.2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 x14ac:dyDescent="0.2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 x14ac:dyDescent="0.3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 x14ac:dyDescent="0.25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 x14ac:dyDescent="0.25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8" t="str">
        <f>IF(Worksheet!L3="","",Worksheet!L3)</f>
        <v>Used</v>
      </c>
      <c r="C59" s="148"/>
    </row>
    <row r="60" spans="1:27" ht="15.75" x14ac:dyDescent="0.25">
      <c r="A60" s="1" t="s">
        <v>116</v>
      </c>
      <c r="B60" s="148" t="str">
        <f>Worksheet!O46</f>
        <v/>
      </c>
      <c r="C60" s="148"/>
    </row>
    <row r="61" spans="1:27" ht="12" customHeight="1" x14ac:dyDescent="0.25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 x14ac:dyDescent="0.25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 x14ac:dyDescent="0.25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 x14ac:dyDescent="0.2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 x14ac:dyDescent="0.3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 x14ac:dyDescent="0.3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 x14ac:dyDescent="0.3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 x14ac:dyDescent="0.3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 x14ac:dyDescent="0.25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 x14ac:dyDescent="0.25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 x14ac:dyDescent="0.25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 x14ac:dyDescent="0.25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8" t="str">
        <f>IF(Worksheet!L3="","",Worksheet!L3)</f>
        <v>Used</v>
      </c>
      <c r="C59" s="148"/>
    </row>
    <row r="60" spans="1:27" ht="15.75" x14ac:dyDescent="0.25">
      <c r="A60" s="1" t="s">
        <v>116</v>
      </c>
      <c r="B60" s="148" t="str">
        <f>Worksheet!O47</f>
        <v/>
      </c>
      <c r="C60" s="148"/>
    </row>
    <row r="61" spans="1:27" ht="12" customHeight="1" x14ac:dyDescent="0.25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 x14ac:dyDescent="0.25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 x14ac:dyDescent="0.25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 x14ac:dyDescent="0.25">
      <c r="A67" s="65" t="s">
        <v>117</v>
      </c>
    </row>
    <row r="68" spans="1:16" x14ac:dyDescent="0.25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 x14ac:dyDescent="0.25">
      <c r="A78" s="65" t="s">
        <v>119</v>
      </c>
    </row>
    <row r="79" spans="1:16" ht="15" customHeight="1" x14ac:dyDescent="0.25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 x14ac:dyDescent="0.2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 x14ac:dyDescent="0.2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 x14ac:dyDescent="0.2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 x14ac:dyDescent="0.25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 x14ac:dyDescent="0.25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 x14ac:dyDescent="0.25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 x14ac:dyDescent="0.25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 x14ac:dyDescent="0.25">
      <c r="A88" s="65" t="s">
        <v>130</v>
      </c>
    </row>
    <row r="89" spans="1:16" x14ac:dyDescent="0.25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 x14ac:dyDescent="0.25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1151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 x14ac:dyDescent="0.25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 x14ac:dyDescent="0.25">
      <c r="B5" t="s">
        <v>152</v>
      </c>
      <c r="H5" t="s">
        <v>124</v>
      </c>
      <c r="I5" t="s">
        <v>150</v>
      </c>
      <c r="J5" t="s">
        <v>125</v>
      </c>
    </row>
    <row r="6" spans="2:35" x14ac:dyDescent="0.25">
      <c r="H6" t="s">
        <v>126</v>
      </c>
      <c r="I6" t="s">
        <v>150</v>
      </c>
      <c r="J6" t="s">
        <v>127</v>
      </c>
    </row>
    <row r="7" spans="2:35" x14ac:dyDescent="0.25">
      <c r="H7" t="s">
        <v>128</v>
      </c>
      <c r="I7" t="s">
        <v>153</v>
      </c>
      <c r="J7" t="s">
        <v>129</v>
      </c>
    </row>
    <row r="8" spans="2:35" x14ac:dyDescent="0.25">
      <c r="H8" t="s">
        <v>154</v>
      </c>
      <c r="I8" t="s">
        <v>150</v>
      </c>
      <c r="J8" t="s">
        <v>132</v>
      </c>
    </row>
    <row r="10" spans="2:35" x14ac:dyDescent="0.25">
      <c r="B10" s="109" t="s">
        <v>155</v>
      </c>
    </row>
    <row r="12" spans="2:35" x14ac:dyDescent="0.2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1150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136</v>
      </c>
      <c r="I13" t="s">
        <v>158</v>
      </c>
      <c r="J13" t="s">
        <v>135</v>
      </c>
    </row>
    <row r="14" spans="2:35" x14ac:dyDescent="0.25">
      <c r="B14" t="str">
        <v>HRC</v>
      </c>
      <c r="H14" t="s">
        <v>137</v>
      </c>
      <c r="I14" t="s">
        <v>153</v>
      </c>
      <c r="J14" t="s">
        <v>138</v>
      </c>
    </row>
    <row r="15" spans="2:35" x14ac:dyDescent="0.25">
      <c r="B15" t="str">
        <v>HREW</v>
      </c>
      <c r="H15" t="s">
        <v>139</v>
      </c>
      <c r="I15" t="s">
        <v>158</v>
      </c>
      <c r="J15" t="s">
        <v>140</v>
      </c>
    </row>
    <row r="16" spans="2:35" x14ac:dyDescent="0.25">
      <c r="B16" t="str">
        <v>HRFW</v>
      </c>
      <c r="I16" t="s">
        <v>159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160</v>
      </c>
      <c r="I18" t="s">
        <v>1152</v>
      </c>
    </row>
    <row r="19" spans="2:14" ht="15.75" thickBot="1" x14ac:dyDescent="0.3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 x14ac:dyDescent="0.25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 x14ac:dyDescent="0.25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 x14ac:dyDescent="0.25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 x14ac:dyDescent="0.25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 x14ac:dyDescent="0.25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 x14ac:dyDescent="0.25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 x14ac:dyDescent="0.25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 x14ac:dyDescent="0.25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 x14ac:dyDescent="0.25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 x14ac:dyDescent="0.25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 x14ac:dyDescent="0.25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 x14ac:dyDescent="0.25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 x14ac:dyDescent="0.25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 x14ac:dyDescent="0.25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 x14ac:dyDescent="0.25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 x14ac:dyDescent="0.25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 x14ac:dyDescent="0.25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895</v>
      </c>
      <c r="C66" t="s">
        <v>889</v>
      </c>
      <c r="D66" s="38" t="s">
        <v>1149</v>
      </c>
      <c r="E66" s="95" t="s">
        <v>1148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895</v>
      </c>
      <c r="C108" t="s">
        <v>1145</v>
      </c>
      <c r="D108" s="38" t="s">
        <v>1146</v>
      </c>
      <c r="E108" s="95" t="s">
        <v>1147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21"/>
  <sheetViews>
    <sheetView topLeftCell="A7" workbookViewId="0">
      <selection activeCell="B32" sqref="B32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1122</v>
      </c>
      <c r="B1" t="s">
        <v>1123</v>
      </c>
      <c r="C1" t="s">
        <v>1124</v>
      </c>
      <c r="D1" t="s">
        <v>1125</v>
      </c>
    </row>
    <row r="2" spans="1:4" x14ac:dyDescent="0.25">
      <c r="A2" s="30">
        <v>42956</v>
      </c>
      <c r="B2" t="s">
        <v>1126</v>
      </c>
      <c r="C2" t="s">
        <v>1127</v>
      </c>
    </row>
    <row r="3" spans="1:4" x14ac:dyDescent="0.25">
      <c r="A3" s="30">
        <v>42965</v>
      </c>
      <c r="B3" t="s">
        <v>1126</v>
      </c>
      <c r="C3" t="s">
        <v>1127</v>
      </c>
    </row>
    <row r="4" spans="1:4" x14ac:dyDescent="0.25">
      <c r="A4" s="30">
        <v>42989</v>
      </c>
      <c r="B4" t="s">
        <v>1126</v>
      </c>
      <c r="C4" t="s">
        <v>1127</v>
      </c>
    </row>
    <row r="5" spans="1:4" x14ac:dyDescent="0.25">
      <c r="A5" s="30">
        <v>42993</v>
      </c>
      <c r="B5" t="s">
        <v>1126</v>
      </c>
      <c r="C5" t="s">
        <v>1127</v>
      </c>
    </row>
    <row r="6" spans="1:4" x14ac:dyDescent="0.25">
      <c r="A6" s="30">
        <v>42996</v>
      </c>
      <c r="B6" t="s">
        <v>1126</v>
      </c>
      <c r="C6" t="s">
        <v>1127</v>
      </c>
    </row>
    <row r="7" spans="1:4" x14ac:dyDescent="0.25">
      <c r="A7" s="30">
        <v>42999</v>
      </c>
      <c r="B7" t="s">
        <v>1126</v>
      </c>
      <c r="C7" t="s">
        <v>1127</v>
      </c>
    </row>
    <row r="8" spans="1:4" x14ac:dyDescent="0.25">
      <c r="A8" s="30">
        <v>43007</v>
      </c>
      <c r="B8" t="s">
        <v>1126</v>
      </c>
      <c r="C8" t="s">
        <v>1127</v>
      </c>
    </row>
    <row r="9" spans="1:4" x14ac:dyDescent="0.25">
      <c r="A9" s="30">
        <v>43644</v>
      </c>
      <c r="B9" t="s">
        <v>1126</v>
      </c>
      <c r="C9" t="s">
        <v>1127</v>
      </c>
    </row>
    <row r="10" spans="1:4" x14ac:dyDescent="0.25">
      <c r="A10" s="30">
        <v>44208</v>
      </c>
      <c r="B10" t="s">
        <v>1126</v>
      </c>
      <c r="C10" t="s">
        <v>1127</v>
      </c>
      <c r="D10" t="s">
        <v>1128</v>
      </c>
    </row>
    <row r="11" spans="1:4" x14ac:dyDescent="0.25">
      <c r="A11" s="30">
        <v>45509</v>
      </c>
      <c r="B11" t="s">
        <v>1129</v>
      </c>
      <c r="C11" t="s">
        <v>1130</v>
      </c>
      <c r="D11" t="s">
        <v>1131</v>
      </c>
    </row>
    <row r="12" spans="1:4" x14ac:dyDescent="0.25">
      <c r="A12" s="30">
        <v>45519</v>
      </c>
      <c r="B12" t="s">
        <v>1132</v>
      </c>
      <c r="C12" t="s">
        <v>1130</v>
      </c>
      <c r="D12" t="s">
        <v>1133</v>
      </c>
    </row>
    <row r="13" spans="1:4" x14ac:dyDescent="0.25">
      <c r="A13" s="30">
        <v>45531</v>
      </c>
      <c r="B13" t="s">
        <v>1134</v>
      </c>
      <c r="C13" t="s">
        <v>1130</v>
      </c>
      <c r="D13" t="s">
        <v>1135</v>
      </c>
    </row>
    <row r="14" spans="1:4" x14ac:dyDescent="0.25">
      <c r="A14" s="30">
        <v>45540</v>
      </c>
      <c r="B14" t="s">
        <v>1136</v>
      </c>
      <c r="C14" t="s">
        <v>1130</v>
      </c>
      <c r="D14" t="s">
        <v>1137</v>
      </c>
    </row>
    <row r="15" spans="1:4" x14ac:dyDescent="0.25">
      <c r="A15" s="30">
        <v>45545</v>
      </c>
      <c r="B15" t="s">
        <v>1138</v>
      </c>
      <c r="C15" t="s">
        <v>1130</v>
      </c>
    </row>
    <row r="16" spans="1:4" x14ac:dyDescent="0.25">
      <c r="A16" s="30">
        <v>45574</v>
      </c>
      <c r="B16" t="s">
        <v>1139</v>
      </c>
      <c r="C16" t="s">
        <v>1130</v>
      </c>
      <c r="D16" t="s">
        <v>1140</v>
      </c>
    </row>
    <row r="17" spans="1:4" x14ac:dyDescent="0.25">
      <c r="A17" s="30">
        <v>45623</v>
      </c>
      <c r="B17" t="s">
        <v>1154</v>
      </c>
      <c r="C17" t="s">
        <v>1130</v>
      </c>
    </row>
    <row r="18" spans="1:4" x14ac:dyDescent="0.25">
      <c r="A18" s="30">
        <v>45629</v>
      </c>
      <c r="B18" t="s">
        <v>1155</v>
      </c>
      <c r="C18" t="s">
        <v>1130</v>
      </c>
      <c r="D18" t="s">
        <v>1141</v>
      </c>
    </row>
    <row r="19" spans="1:4" x14ac:dyDescent="0.25">
      <c r="A19" s="30">
        <v>45635</v>
      </c>
      <c r="B19" t="s">
        <v>1142</v>
      </c>
      <c r="C19" t="s">
        <v>1130</v>
      </c>
      <c r="D19" t="s">
        <v>1143</v>
      </c>
    </row>
    <row r="20" spans="1:4" x14ac:dyDescent="0.25">
      <c r="A20" s="30">
        <v>45645</v>
      </c>
      <c r="B20" t="s">
        <v>1153</v>
      </c>
      <c r="C20" t="s">
        <v>1130</v>
      </c>
      <c r="D20" t="s">
        <v>1144</v>
      </c>
    </row>
    <row r="21" spans="1:4" x14ac:dyDescent="0.25">
      <c r="A21" s="30">
        <v>45687</v>
      </c>
      <c r="B21" t="s">
        <v>1157</v>
      </c>
      <c r="C21" t="s">
        <v>1130</v>
      </c>
      <c r="D21" t="s">
        <v>1156</v>
      </c>
    </row>
  </sheetData>
  <sheetProtection algorithmName="SHA-512" hashValue="LZ1pYuIf+/rgSg/id+BJK0S3WUqQupbQYIlmbheUTyqKbTYdkhxvnxEbXfsBjdQjfKpY1jSWN5iwlk9pBfk1fg==" saltValue="vJywSiSWlSGTJyC6JF+w0A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Props1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2025-01-30T07:24:35Z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