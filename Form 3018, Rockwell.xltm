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rhyth\Desktop\sandbox\JGI\Rockwell-Form-3018\"/>
    </mc:Choice>
  </mc:AlternateContent>
  <xr:revisionPtr revIDLastSave="0" documentId="8_{8437E29C-C75D-4FD9-82A2-E287F1A23AEA}" xr6:coauthVersionLast="47" xr6:coauthVersionMax="47" xr10:uidLastSave="{00000000-0000-0000-0000-000000000000}"/>
  <bookViews>
    <workbookView xWindow="390" yWindow="615" windowWidth="21600" windowHeight="11385" activeTab="10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  <sheet name="Software Validation" sheetId="6" r:id="rId11"/>
  </sheets>
  <functionGroups builtInGroupCount="19"/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6" i="2" l="1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K108" i="14" l="1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F108" i="14" l="1"/>
  <c r="L108" i="14" s="1"/>
  <c r="F66" i="14"/>
  <c r="A33" i="29"/>
  <c r="N108" i="14" l="1"/>
  <c r="M108" i="14"/>
  <c r="O108" i="14"/>
  <c r="O66" i="14"/>
  <c r="L66" i="14"/>
  <c r="M66" i="14"/>
  <c r="N66" i="14"/>
  <c r="L29" i="29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AD22" i="1"/>
  <c r="J7" i="29"/>
  <c r="AC22" i="1"/>
  <c r="H7" i="29" s="1"/>
  <c r="AC20" i="1"/>
  <c r="H5" i="29" s="1"/>
  <c r="K122" i="14"/>
  <c r="K16" i="14"/>
  <c r="K99" i="14"/>
  <c r="K254" i="14"/>
  <c r="K263" i="14"/>
  <c r="K267" i="14"/>
  <c r="AD19" i="1"/>
  <c r="A24" i="1"/>
  <c r="AM24" i="1" s="1"/>
  <c r="O32" i="1"/>
  <c r="P35" i="1"/>
  <c r="I50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M30" i="1" s="1"/>
  <c r="K119" i="14"/>
  <c r="K275" i="14"/>
  <c r="K171" i="14"/>
  <c r="K86" i="14"/>
  <c r="F161" i="15" s="1" a="1"/>
  <c r="F161" i="15" s="1"/>
  <c r="O19" i="1"/>
  <c r="AD20" i="1"/>
  <c r="A31" i="1"/>
  <c r="AM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M28" i="1" s="1"/>
  <c r="A38" i="1"/>
  <c r="AM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6" i="29" s="1"/>
  <c r="P19" i="1"/>
  <c r="I34" i="29" s="1"/>
  <c r="O23" i="1"/>
  <c r="AD24" i="1"/>
  <c r="O28" i="1"/>
  <c r="P38" i="1"/>
  <c r="I53" i="29" s="1"/>
  <c r="A43" i="1"/>
  <c r="AM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M20" i="1" s="1"/>
  <c r="A27" i="1"/>
  <c r="AM27" i="1" s="1"/>
  <c r="A34" i="1"/>
  <c r="AM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M32" i="1" s="1"/>
  <c r="A35" i="1"/>
  <c r="AM35" i="1" s="1"/>
  <c r="P43" i="1"/>
  <c r="I58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123" i="14"/>
  <c r="N123" i="14"/>
  <c r="M123" i="14"/>
  <c r="L123" i="14"/>
  <c r="P22" i="1"/>
  <c r="I37" i="29" s="1"/>
  <c r="Q34" i="1"/>
  <c r="O40" i="1"/>
  <c r="A42" i="1"/>
  <c r="AM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Q32" i="1" l="1"/>
  <c r="J47" i="29" s="1"/>
  <c r="Q30" i="1"/>
  <c r="J45" i="29" s="1"/>
  <c r="Q38" i="1"/>
  <c r="T38" i="1" s="1"/>
  <c r="Q40" i="1"/>
  <c r="T40" i="1" s="1"/>
  <c r="Q31" i="1"/>
  <c r="T31" i="1" s="1"/>
  <c r="Q43" i="1"/>
  <c r="J58" i="29" s="1"/>
  <c r="Q42" i="1"/>
  <c r="T42" i="1" s="1"/>
  <c r="T39" i="1"/>
  <c r="Q36" i="1"/>
  <c r="T36" i="1" s="1"/>
  <c r="Q44" i="1"/>
  <c r="T44" i="1" s="1"/>
  <c r="Q35" i="1"/>
  <c r="T35" i="1" s="1"/>
  <c r="T34" i="1"/>
  <c r="AE20" i="1"/>
  <c r="I5" i="29"/>
  <c r="AE19" i="1"/>
  <c r="J4" i="29" s="1"/>
  <c r="I4" i="29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J57" i="29" l="1"/>
  <c r="A45" i="2" s="1" a="1"/>
  <c r="A45" i="2" s="1"/>
  <c r="T30" i="1"/>
  <c r="T32" i="1"/>
  <c r="J51" i="29"/>
  <c r="J55" i="29"/>
  <c r="J46" i="29"/>
  <c r="J53" i="29"/>
  <c r="J59" i="29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<sst xmlns="http://schemas.openxmlformats.org/spreadsheetml/2006/main" count="2465" uniqueCount="1157">
  <si>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</si>
  <si>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</si>
  <si>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</si>
  <si>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</si>
  <si>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</si>
  <si>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</si>
  <si>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</si>
  <si>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</si>
  <si>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</si>
  <si>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</si>
  <si>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</si>
  <si>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</si>
  <si>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</si>
  <si>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</si>
  <si>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</si>
  <si>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</si>
  <si>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</si>
  <si>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</si>
  <si>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</si>
  <si>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</si>
  <si>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</si>
  <si>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</si>
  <si>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</si>
  <si>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</si>
  <si>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</si>
  <si>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</si>
  <si>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</si>
  <si>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</si>
  <si>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</si>
  <si>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</si>
  <si>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</si>
  <si>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</si>
  <si>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</si>
  <si>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</si>
  <si>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</si>
  <si>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</si>
  <si>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</si>
  <si>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</si>
  <si>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</si>
  <si>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</si>
  <si>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</si>
  <si>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</si>
  <si>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</si>
  <si>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</si>
  <si>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</si>
  <si>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</si>
  <si>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</si>
  <si>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</si>
  <si>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</si>
  <si>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</si>
  <si>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</si>
  <si>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</si>
  <si>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</si>
  <si>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</si>
  <si>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</si>
  <si>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</si>
  <si>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</si>
  <si>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</si>
  <si>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</si>
  <si>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</si>
  <si>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</si>
  <si>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</si>
  <si>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</si>
  <si>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</si>
  <si>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</si>
  <si>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</si>
  <si>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</si>
  <si>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</si>
  <si>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</si>
  <si>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</si>
  <si>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</si>
  <si>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</si>
  <si>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</si>
  <si>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Unc. AL pre-round</t>
  </si>
  <si>
    <t>Unc. AF pre-round</t>
  </si>
  <si>
    <t>UncBase</t>
  </si>
  <si>
    <t>UncMult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</si>
  <si>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</si>
  <si>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</si>
  <si>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</si>
  <si>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</si>
  <si>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</si>
  <si>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</si>
  <si>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</si>
  <si>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</si>
  <si>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</si>
  <si>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</si>
  <si>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</si>
  <si>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</si>
  <si>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</si>
  <si>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</si>
  <si>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</si>
  <si>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</si>
  <si>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</si>
  <si>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</si>
  <si>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</si>
  <si>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</si>
  <si>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</si>
  <si>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</si>
  <si>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</si>
  <si>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</si>
  <si>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</si>
  <si>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</si>
  <si>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</si>
  <si>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</si>
  <si>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</si>
  <si>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</si>
  <si>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</si>
  <si>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</si>
  <si>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</si>
  <si>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</si>
  <si>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</si>
  <si>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</si>
  <si>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</si>
  <si>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</si>
  <si>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</si>
  <si>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</si>
  <si>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</si>
  <si>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</si>
  <si>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</si>
  <si>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</si>
  <si>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</si>
  <si>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</si>
  <si>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</si>
  <si>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</si>
  <si>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</si>
  <si>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</si>
  <si>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</si>
  <si>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</si>
  <si>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</si>
  <si>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</si>
  <si>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</si>
  <si>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</si>
  <si>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</si>
  <si>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</si>
  <si>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</si>
  <si>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</si>
  <si>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</si>
  <si>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</si>
  <si>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</si>
  <si>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</si>
  <si>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</si>
  <si>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</si>
  <si>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</si>
  <si>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</si>
  <si>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</si>
  <si>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</si>
  <si>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</si>
  <si>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</si>
  <si>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</si>
  <si>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</si>
  <si>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</si>
  <si>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</si>
  <si>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</si>
  <si>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</si>
  <si>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</si>
  <si>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</si>
  <si>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</si>
  <si>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</si>
  <si>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</si>
  <si>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</si>
  <si>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</si>
  <si>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</si>
  <si>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</si>
  <si>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</si>
  <si>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</si>
  <si>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</si>
  <si>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</si>
  <si>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</si>
  <si>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</si>
  <si>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</si>
  <si>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</si>
  <si>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</si>
  <si>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</si>
  <si>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</si>
  <si>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</si>
  <si>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</si>
  <si>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</si>
  <si>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</si>
  <si>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</si>
  <si>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</si>
  <si>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</si>
  <si>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</si>
  <si>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</si>
  <si>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</si>
  <si>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</si>
  <si>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</si>
  <si>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</si>
  <si>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</si>
  <si>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</si>
  <si>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</si>
  <si>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</si>
  <si>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</si>
  <si>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</si>
  <si>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</si>
  <si>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</si>
  <si>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</si>
  <si>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</si>
  <si>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</si>
  <si>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</si>
  <si>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</si>
  <si>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</si>
  <si>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</si>
  <si>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</si>
  <si>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</si>
  <si>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</si>
  <si>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</si>
  <si>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</si>
  <si>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</si>
  <si>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</si>
  <si>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</si>
  <si>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</si>
  <si>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</si>
  <si>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</si>
  <si>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</si>
  <si>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</si>
  <si>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</si>
  <si>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</si>
  <si>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</si>
  <si>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</si>
  <si>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</si>
  <si>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</si>
  <si>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</si>
  <si>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</si>
  <si>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</si>
  <si>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</si>
  <si>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</si>
  <si>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</si>
  <si>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</si>
  <si>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</si>
  <si>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</si>
  <si>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Uncertainty lookup tables</t>
  </si>
  <si>
    <t>Thresholds</t>
  </si>
  <si>
    <t>LOW</t>
  </si>
  <si>
    <t>MID</t>
  </si>
  <si>
    <t>HIGH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</si>
  <si>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</si>
  <si>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</si>
  <si>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</si>
  <si>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</si>
  <si>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</si>
  <si>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</si>
  <si>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</si>
  <si>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</si>
  <si>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</si>
  <si>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</si>
  <si>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</si>
  <si>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</si>
  <si>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</si>
  <si>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</si>
  <si>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</si>
  <si>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</si>
  <si>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</si>
  <si>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</si>
  <si>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</si>
  <si>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</si>
  <si>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</si>
  <si>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</si>
  <si>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</si>
  <si>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</si>
  <si>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</si>
  <si>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</si>
  <si>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</si>
  <si>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</si>
  <si>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</si>
  <si>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</si>
  <si>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</si>
  <si>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</si>
  <si>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</si>
  <si>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</si>
  <si>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</si>
  <si>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</si>
  <si>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</si>
  <si>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</si>
  <si>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</si>
  <si>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</si>
  <si>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</si>
  <si>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</si>
  <si>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</si>
  <si>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</si>
  <si>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</si>
  <si>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</si>
  <si>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</si>
  <si>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</si>
  <si>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</si>
  <si>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</si>
  <si>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</si>
  <si>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</si>
  <si>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</si>
  <si>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</si>
  <si>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</si>
  <si>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</si>
  <si>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</si>
  <si>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</si>
  <si>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</si>
  <si>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</si>
  <si>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</si>
  <si>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</si>
  <si>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</si>
  <si>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</si>
  <si>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</si>
  <si>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</si>
  <si>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</si>
  <si>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</si>
  <si>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</si>
  <si>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</si>
  <si>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</si>
  <si>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</si>
  <si>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</si>
  <si>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</si>
  <si>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</si>
  <si>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</si>
  <si>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</si>
  <si>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</si>
  <si>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</si>
  <si>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</si>
  <si>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</si>
  <si>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</si>
  <si>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</si>
  <si>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</si>
  <si>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</si>
  <si>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</si>
  <si>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</si>
  <si>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</si>
  <si>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</si>
  <si>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</si>
  <si>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</si>
  <si>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</si>
  <si>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</si>
  <si>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</si>
  <si>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</si>
  <si>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</si>
  <si>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</si>
  <si>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</si>
  <si>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</si>
  <si>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</si>
  <si>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</si>
  <si>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</si>
  <si>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</si>
  <si>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</si>
  <si>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</si>
  <si>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</si>
  <si>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</si>
  <si>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</si>
  <si>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</si>
  <si>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</si>
  <si>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</si>
  <si>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</si>
  <si>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</si>
  <si>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</si>
  <si>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</si>
  <si>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</si>
  <si>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</si>
  <si>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</si>
  <si>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</si>
  <si>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</si>
  <si>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</si>
  <si>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</si>
  <si>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</si>
  <si>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</si>
  <si>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</si>
  <si>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</si>
  <si>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</si>
  <si>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</si>
  <si>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</si>
  <si>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</si>
  <si>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</si>
  <si>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</si>
  <si>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</si>
  <si>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</si>
  <si>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</si>
  <si>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</si>
  <si>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</si>
  <si>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</si>
  <si>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</si>
  <si>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</si>
  <si>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</si>
  <si>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</si>
  <si>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</si>
  <si>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</si>
  <si>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</si>
  <si>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</si>
  <si>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</si>
  <si>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</si>
  <si>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</si>
  <si>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</si>
  <si>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</si>
  <si>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</si>
  <si>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</si>
  <si>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</si>
  <si>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</si>
  <si>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</si>
  <si>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</si>
  <si>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</si>
  <si>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</si>
  <si>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</si>
  <si>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</si>
  <si>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</si>
  <si>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</si>
  <si>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</si>
  <si>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</si>
  <si>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</si>
  <si>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</si>
  <si>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</si>
  <si>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</si>
  <si>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</si>
  <si>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</si>
  <si>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</si>
  <si>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</si>
  <si>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</si>
  <si>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</si>
  <si>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</si>
  <si>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</si>
  <si>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</si>
  <si>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</si>
  <si>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</si>
  <si>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</si>
  <si>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</si>
  <si>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</si>
  <si>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</si>
  <si>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</si>
  <si>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</si>
  <si>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</si>
  <si>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</si>
  <si>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</si>
  <si>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</si>
  <si>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</si>
  <si>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</si>
  <si>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</si>
  <si>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</si>
  <si>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</si>
  <si>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</si>
  <si>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</si>
  <si>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</si>
  <si>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</si>
  <si>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</si>
  <si>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</si>
  <si>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</si>
  <si>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</si>
  <si>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</si>
  <si>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</si>
  <si>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</si>
  <si>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</si>
  <si>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</si>
  <si>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</si>
  <si>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</si>
  <si>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</si>
  <si>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</si>
  <si>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</si>
  <si>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</si>
  <si>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</si>
  <si>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</si>
  <si>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</si>
  <si>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</si>
  <si>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</si>
  <si>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</si>
  <si>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</si>
  <si>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</si>
  <si>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</si>
  <si>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</si>
  <si>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</si>
  <si>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</si>
  <si>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</si>
  <si>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</si>
  <si>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</si>
  <si>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</si>
  <si>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</si>
  <si>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</si>
  <si>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</si>
  <si>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</si>
  <si>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</si>
  <si>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</si>
  <si>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</si>
  <si>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</si>
  <si>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</si>
  <si>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</si>
  <si>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</si>
  <si>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</si>
  <si>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</si>
  <si>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</si>
  <si>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</si>
  <si>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</si>
  <si>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</si>
  <si>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</si>
  <si>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</si>
  <si>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</si>
  <si>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</si>
  <si>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</si>
  <si>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</si>
  <si>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</si>
  <si>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</si>
  <si>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</si>
  <si>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</si>
  <si>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</si>
  <si>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</si>
  <si>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</si>
  <si>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</si>
  <si>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</si>
  <si>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</si>
  <si>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</si>
  <si>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</si>
  <si>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</si>
  <si>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</si>
  <si>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</si>
  <si>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</si>
  <si>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</si>
  <si>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</si>
  <si>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</si>
  <si>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</si>
  <si>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</si>
  <si>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</si>
  <si>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</si>
  <si>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</si>
  <si>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</si>
  <si>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</si>
  <si>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</si>
  <si>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</si>
  <si>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</si>
  <si>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</si>
  <si>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</si>
  <si>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</si>
  <si>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</si>
  <si>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</si>
  <si>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</si>
  <si>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</si>
  <si>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</si>
  <si>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</si>
  <si>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</si>
  <si>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</si>
  <si>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</si>
  <si>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</si>
  <si>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</si>
  <si>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</si>
  <si>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</si>
  <si>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</si>
  <si>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</si>
  <si>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</si>
  <si>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</si>
  <si>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</si>
  <si>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</si>
  <si>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</si>
  <si>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</si>
  <si>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</si>
  <si>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</si>
  <si>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</si>
  <si>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</si>
  <si>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</si>
  <si>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</si>
  <si>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</si>
  <si>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</si>
  <si>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</si>
  <si>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</si>
  <si>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</si>
  <si>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</si>
  <si>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</si>
  <si>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</si>
  <si>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</si>
  <si>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</si>
  <si>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</si>
  <si>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</si>
  <si>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</si>
  <si>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</si>
  <si>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</si>
  <si>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</si>
  <si>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</si>
  <si>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</si>
  <si>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</si>
  <si>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</si>
  <si>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</si>
  <si>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</si>
  <si>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</si>
  <si>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</si>
  <si>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</si>
  <si>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</si>
  <si>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</si>
  <si>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</si>
  <si>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</si>
  <si>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</si>
  <si>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</si>
  <si>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</si>
  <si>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</si>
  <si>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</si>
  <si>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</si>
  <si>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</si>
  <si>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</si>
  <si>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</si>
  <si>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</si>
  <si>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</si>
  <si>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</si>
  <si>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</si>
  <si>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</si>
  <si>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</si>
  <si>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</si>
  <si>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</si>
  <si>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</si>
  <si>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</si>
  <si>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</si>
  <si>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</si>
  <si>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</si>
  <si>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</si>
  <si>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</si>
  <si>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</si>
  <si>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</si>
  <si>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</si>
  <si>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</si>
  <si>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</si>
  <si>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</si>
  <si>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</si>
  <si>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</si>
  <si>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</si>
  <si>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</si>
  <si>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</si>
  <si>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</si>
  <si>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</si>
  <si>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</si>
  <si>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</si>
  <si>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</si>
  <si>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</si>
  <si>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</si>
  <si>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</si>
  <si>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</si>
  <si>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</si>
  <si>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</si>
  <si>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</si>
  <si>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</si>
  <si>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</si>
  <si>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</si>
  <si>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</si>
  <si>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</si>
  <si>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</si>
  <si>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</si>
  <si>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</si>
  <si>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</si>
  <si>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</si>
  <si>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</si>
  <si>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</si>
  <si>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</si>
  <si>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</si>
  <si>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</si>
  <si>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</si>
  <si>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</si>
  <si>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</si>
  <si>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</si>
  <si>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</si>
  <si>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</si>
  <si>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</si>
  <si>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</si>
  <si>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</si>
  <si>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</si>
  <si>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</si>
  <si>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</si>
  <si>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</si>
  <si>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</si>
  <si>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</si>
  <si>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</si>
  <si>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</si>
  <si>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</si>
  <si>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</si>
  <si>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</si>
  <si>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</si>
  <si>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</si>
  <si>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</si>
  <si>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</si>
  <si>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</si>
  <si>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</si>
  <si>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</si>
  <si>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</si>
  <si>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</si>
  <si>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</si>
  <si>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</si>
  <si>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</si>
  <si>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</si>
  <si>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</si>
  <si>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</si>
  <si>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</si>
  <si>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</si>
  <si>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</si>
  <si>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</si>
  <si>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</si>
  <si>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</si>
  <si>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</si>
  <si>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</si>
  <si>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</si>
  <si>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</si>
  <si>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</si>
  <si>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</si>
  <si>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</si>
  <si>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</si>
  <si>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</si>
  <si>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</si>
  <si>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</si>
  <si>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</si>
  <si>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</si>
  <si>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</si>
  <si>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</si>
  <si>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</si>
  <si>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</si>
  <si>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</si>
  <si>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</si>
  <si>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</si>
  <si>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</si>
  <si>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</si>
  <si>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</si>
  <si>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</si>
  <si>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</si>
  <si>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</si>
  <si>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</si>
  <si>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</si>
  <si>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</si>
  <si>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</si>
  <si>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</si>
  <si>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</si>
  <si>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</si>
  <si>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</si>
  <si>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</si>
  <si>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</si>
  <si>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</si>
  <si>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</si>
  <si>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</si>
  <si>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</si>
  <si>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</si>
  <si>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</si>
  <si>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</si>
  <si>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</si>
  <si>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</si>
  <si>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</si>
  <si>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</si>
  <si>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</si>
  <si>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</si>
  <si>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</si>
  <si>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</si>
  <si>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</si>
  <si>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</si>
  <si>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</si>
  <si>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</si>
  <si>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</si>
  <si>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</si>
  <si>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</si>
  <si>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</si>
  <si>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</si>
  <si>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</si>
  <si>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</si>
  <si>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</si>
  <si>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</si>
  <si>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</si>
  <si>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</si>
  <si>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</si>
  <si>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</si>
  <si>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</si>
  <si>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</si>
  <si>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</si>
  <si>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</si>
  <si>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</si>
  <si>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</si>
  <si>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</si>
  <si>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</si>
  <si>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</si>
  <si>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</si>
  <si>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</si>
  <si>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</si>
  <si>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</si>
  <si>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</si>
  <si>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</si>
  <si>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</si>
  <si>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</si>
  <si>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</si>
  <si>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</si>
  <si>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</si>
  <si>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</si>
  <si>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</si>
  <si>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</si>
  <si>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</si>
  <si>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</si>
  <si>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</si>
  <si>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</si>
  <si>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</si>
  <si>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</si>
  <si>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</si>
  <si>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</si>
  <si>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</si>
  <si>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</si>
  <si>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</si>
  <si>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</si>
  <si>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</si>
  <si>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</si>
  <si>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</si>
  <si>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</si>
  <si>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</si>
  <si>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</si>
  <si>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</si>
  <si>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</si>
  <si>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</si>
  <si>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</si>
  <si>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</si>
  <si>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</si>
  <si>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</si>
  <si>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</si>
  <si>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</si>
  <si>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</si>
  <si>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</si>
  <si>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</si>
  <si>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</si>
  <si>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</si>
  <si>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</si>
  <si>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</si>
  <si>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</si>
  <si>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</si>
  <si>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</si>
  <si>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</si>
  <si>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</si>
  <si>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</si>
  <si>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</si>
  <si>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</si>
  <si>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</si>
  <si>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</si>
  <si>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</si>
  <si>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</si>
  <si>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</si>
  <si>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</si>
  <si>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</si>
  <si>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</si>
  <si>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</si>
  <si>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</si>
  <si>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</si>
  <si>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</si>
  <si>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</si>
  <si>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</si>
  <si>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</si>
  <si>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</si>
  <si>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</si>
  <si>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</si>
  <si>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</si>
  <si>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</si>
  <si>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</si>
  <si>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</si>
  <si>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</si>
  <si>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</si>
  <si>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</si>
  <si>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</si>
  <si>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</si>
  <si>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</si>
  <si>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</si>
  <si>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</si>
  <si>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</si>
  <si>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</si>
  <si>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</si>
  <si>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</si>
  <si>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</si>
  <si>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</si>
  <si>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</si>
  <si>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</si>
  <si>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</si>
  <si>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</si>
  <si>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</si>
  <si>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</si>
  <si>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</si>
  <si>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</si>
  <si>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</si>
  <si>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</si>
  <si>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</si>
  <si>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</si>
  <si>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</si>
  <si>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</si>
  <si>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</si>
  <si>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</si>
  <si>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</si>
  <si>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</si>
  <si>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</si>
  <si>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</si>
  <si>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</si>
  <si>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</si>
  <si>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</si>
  <si>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</si>
  <si>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</si>
  <si>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</si>
  <si>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</si>
  <si>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</si>
  <si>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</si>
  <si>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</si>
  <si>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</si>
  <si>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</si>
  <si>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</si>
  <si>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</si>
  <si>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</si>
  <si>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</si>
  <si>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</si>
  <si>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</si>
  <si>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</si>
  <si>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</si>
  <si>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</si>
  <si>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</si>
  <si>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</si>
  <si>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</si>
  <si>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</si>
  <si>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</si>
  <si>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</si>
  <si>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</si>
  <si>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</si>
  <si>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</si>
  <si>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</si>
  <si>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</si>
  <si>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</si>
  <si>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</si>
  <si>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</si>
  <si>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</si>
  <si>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</si>
  <si>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</si>
  <si>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</si>
  <si>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</si>
  <si>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</si>
  <si>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</si>
  <si>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</si>
  <si>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</si>
  <si>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</si>
  <si>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</si>
  <si>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</si>
  <si>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</si>
  <si>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</si>
  <si>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</si>
  <si>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</si>
  <si>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</si>
  <si>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</si>
  <si>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</si>
  <si>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</si>
  <si>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</si>
  <si>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</si>
  <si>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</si>
  <si>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</si>
  <si>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</si>
  <si>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</si>
  <si>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</si>
  <si>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</si>
  <si>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</si>
  <si>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</si>
  <si>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</si>
  <si>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</si>
  <si>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</si>
  <si>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</si>
  <si>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</si>
  <si>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</si>
  <si>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</si>
  <si>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</si>
  <si>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</si>
  <si>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</si>
  <si>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</si>
  <si>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</si>
  <si>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</si>
  <si>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</si>
  <si>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</si>
  <si>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</si>
  <si>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</si>
  <si>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</si>
  <si>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</si>
  <si>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</si>
  <si>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</si>
  <si>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</si>
  <si>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</si>
  <si>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</si>
  <si>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</si>
  <si>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</si>
  <si>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</si>
  <si>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</si>
  <si>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</si>
  <si>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</si>
  <si>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</si>
  <si>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</si>
  <si>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</si>
  <si>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</si>
  <si>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</si>
  <si>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</si>
  <si>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</si>
  <si>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</si>
  <si>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</si>
  <si>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</si>
  <si>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</si>
  <si>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</si>
  <si>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</si>
  <si>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</si>
  <si>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</si>
  <si>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</si>
  <si>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</si>
  <si>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</si>
  <si>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</si>
  <si>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</si>
  <si>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</si>
  <si>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</si>
  <si>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</si>
  <si>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</si>
  <si>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</si>
  <si>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</si>
  <si>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</si>
  <si>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</si>
  <si>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</si>
  <si>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</si>
  <si>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</si>
  <si>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</si>
  <si>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</si>
  <si>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</si>
  <si>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</si>
  <si>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</si>
  <si>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</si>
  <si>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</si>
  <si>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</si>
  <si>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</si>
  <si>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</si>
  <si>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</si>
  <si>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</si>
  <si>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</si>
  <si>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</si>
  <si>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</si>
  <si>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</si>
  <si>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</si>
  <si>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</si>
  <si>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</si>
  <si>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</si>
  <si>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</si>
  <si>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</si>
  <si>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</si>
  <si>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</si>
  <si>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</si>
  <si>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</si>
  <si>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</si>
  <si>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</si>
  <si>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</si>
  <si>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</si>
  <si>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</si>
  <si>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</si>
  <si>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</si>
  <si>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</si>
  <si>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</si>
  <si>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</si>
  <si>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</si>
  <si>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</si>
  <si>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</si>
  <si>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</si>
  <si>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</si>
  <si>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</si>
  <si>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</si>
  <si>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</si>
  <si>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</si>
  <si>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</si>
  <si>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</si>
  <si>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</si>
  <si>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</si>
  <si>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</si>
  <si>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</si>
  <si>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</si>
  <si>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</si>
  <si>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</si>
  <si>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</si>
  <si>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</si>
  <si>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</si>
  <si>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</si>
  <si>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</si>
  <si>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</si>
  <si>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</si>
  <si>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</si>
  <si>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</si>
  <si>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</si>
  <si>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</si>
  <si>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</si>
  <si>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</si>
  <si>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</si>
  <si>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</si>
  <si>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</si>
  <si>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</si>
  <si>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</si>
  <si>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</si>
  <si>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</si>
  <si>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</si>
  <si>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</si>
  <si>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</si>
  <si>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</si>
  <si>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</si>
  <si>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</si>
  <si>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</si>
  <si>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</si>
  <si>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</si>
  <si>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</si>
  <si>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</si>
  <si>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</si>
  <si>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</si>
  <si>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</si>
  <si>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</si>
  <si>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</si>
  <si>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</si>
  <si>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</si>
  <si>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</si>
  <si>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</si>
  <si>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</si>
  <si>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</si>
  <si>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</si>
  <si>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</si>
  <si>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</si>
  <si>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</si>
  <si>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</si>
  <si>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</si>
  <si>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</si>
  <si>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</si>
  <si>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</si>
  <si>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</si>
  <si>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</si>
  <si>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</si>
  <si>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</si>
  <si>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</si>
  <si>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</si>
  <si>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</si>
  <si>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</si>
  <si>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</si>
  <si>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</si>
  <si>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</si>
  <si>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</si>
  <si>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</si>
  <si>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</si>
  <si>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</si>
  <si>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</si>
  <si>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</si>
  <si>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</si>
  <si>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</si>
  <si>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</si>
  <si>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</si>
  <si>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</si>
  <si>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Date</t>
  </si>
  <si>
    <t>Action Performed:</t>
  </si>
  <si>
    <t>By</t>
  </si>
  <si>
    <t>Revision</t>
  </si>
  <si>
    <t>Validated all operations.</t>
  </si>
  <si>
    <t>SP</t>
  </si>
  <si>
    <t>M</t>
  </si>
  <si>
    <t>Added data validation rules.</t>
  </si>
  <si>
    <t>JH</t>
  </si>
  <si>
    <t>N</t>
  </si>
  <si>
    <t>Improved data validation rules.</t>
  </si>
  <si>
    <t>O</t>
  </si>
  <si>
    <t>Tweaked data validation, added more UUT data and addresses</t>
  </si>
  <si>
    <t>P</t>
  </si>
  <si>
    <t>Reformatted addresses</t>
  </si>
  <si>
    <t>Q</t>
  </si>
  <si>
    <t>Logical Overhaul</t>
  </si>
  <si>
    <t>Added Data Import button, bug fix for Print Anyway functionality, and set order number as default filename on Save As.</t>
  </si>
  <si>
    <t>R</t>
  </si>
  <si>
    <t>S</t>
  </si>
  <si>
    <t>Unlocked cell: Worksheet!G3. Restored formulas in Worksheet!B18:B44. Re-implemented A2LA checkbox. Made formatting consistent between AF and AL certs.</t>
  </si>
  <si>
    <t>T</t>
  </si>
  <si>
    <t>U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</si>
  <si>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</si>
  <si>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</si>
  <si>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</si>
  <si>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</si>
  <si>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</si>
  <si>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</si>
  <si>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</si>
  <si>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</si>
  <si>
    <t>Reformatted certs (asterisks, column widths). Updated RegExMatch() to REGEXTEST(). Improved data validation for AF Worksheet!B46:O47. Import Data now uses toast instead of message box.  Added 2 new UUTs. Fixed AL comment issue. Removed "Insert Comments in Certs" button.</t>
  </si>
  <si>
    <t>Expanded regex (Worksheet!A1) to allow "revisions" in order number (Worksheet!D3)</t>
  </si>
  <si>
    <t>Added uncertainties for HRMW.</t>
  </si>
  <si>
    <t>Fixed data validation in Worksheet!N6, so you can put in the Date Calibration before you enter the Recalibration Date. Also changed filetype from .xlsm to .xltm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</si>
</sst>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9" fillId="7" borderId="0" xfId="3" applyAlignment="1"/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2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5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12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showGridLines="0" view="pageBreakPreview" zoomScaleNormal="100" zoomScaleSheetLayoutView="100" workbookViewId="0">
      <selection activeCell="N6" sqref="N6"/>
    </sheetView>
  </sheetViews>
  <sheetFormatPr defaultRowHeight="1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>
      <c r="A1" s="98"/>
      <c r="B1" s="132" t="s">
        <v>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27" t="s">
        <v>1</v>
      </c>
      <c r="Q1" s="127"/>
      <c r="R1" s="127"/>
      <c r="S1" s="127"/>
      <c r="W1" t="s">
        <v>2</v>
      </c>
    </row>
    <row r="2" spans="1:32" ht="26.25">
      <c r="A2" s="79"/>
      <c r="B2" s="133" t="s">
        <v>3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>
      <c r="C3" s="4" t="s">
        <v>7</v>
      </c>
      <c r="D3" s="122"/>
      <c r="E3" s="122"/>
      <c r="F3" s="91" t="s">
        <v>8</v>
      </c>
      <c r="G3" s="125"/>
      <c r="H3" s="125"/>
      <c r="K3" s="4" t="s">
        <v>9</v>
      </c>
      <c r="L3" s="117" t="s">
        <v>10</v>
      </c>
      <c r="N3" s="134"/>
      <c r="O3" s="134"/>
      <c r="P3" s="63" t="s">
        <v>11</v>
      </c>
      <c r="U3" s="4" t="s">
        <v>12</v>
      </c>
      <c r="V3" s="57"/>
      <c r="W3" s="48"/>
      <c r="X3" s="48"/>
      <c r="Z3" s="48"/>
      <c r="AA3" s="48"/>
      <c r="AB3" s="48"/>
      <c r="AC3" s="48"/>
      <c r="AD3" s="48"/>
    </row>
    <row r="4" spans="1:32" ht="15.75">
      <c r="C4" s="4" t="s">
        <v>13</v>
      </c>
      <c r="D4" s="123"/>
      <c r="E4" s="123"/>
      <c r="F4" s="90" t="s">
        <v>14</v>
      </c>
      <c r="G4" s="125"/>
      <c r="H4" s="125"/>
      <c r="K4" s="92" t="str">
        <f>IFERROR(VLOOKUP($D$4,Table1[],2,FALSE),"")</f>
        <v/>
      </c>
      <c r="L4" s="19"/>
      <c r="N4" s="135"/>
      <c r="O4" s="135"/>
      <c r="P4" s="64" t="s">
        <v>15</v>
      </c>
      <c r="U4" s="4" t="s">
        <v>16</v>
      </c>
      <c r="V4" s="57"/>
      <c r="W4" s="48"/>
      <c r="X4" s="48"/>
      <c r="Z4" s="48"/>
      <c r="AA4" s="48" t="b">
        <v>1</v>
      </c>
      <c r="AB4" s="48"/>
      <c r="AC4" s="48"/>
      <c r="AD4" s="48"/>
      <c r="AE4" s="115"/>
    </row>
    <row r="5" spans="1:32" ht="15.75">
      <c r="C5" s="4" t="s">
        <v>17</v>
      </c>
      <c r="D5" s="120"/>
      <c r="E5" s="120"/>
      <c r="F5" s="90" t="s">
        <v>18</v>
      </c>
      <c r="G5" s="125"/>
      <c r="H5" s="125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Z5" s="48"/>
      <c r="AA5" s="48"/>
      <c r="AB5" s="48"/>
      <c r="AC5" s="48"/>
      <c r="AD5" s="48"/>
    </row>
    <row r="6" spans="1:32" ht="15.75">
      <c r="C6" s="4" t="s">
        <v>22</v>
      </c>
      <c r="D6" s="124"/>
      <c r="E6" s="124"/>
      <c r="F6" s="90" t="s">
        <v>23</v>
      </c>
      <c r="G6" s="125"/>
      <c r="H6" s="125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Z6" s="48"/>
      <c r="AA6" s="48"/>
      <c r="AB6" s="48"/>
      <c r="AC6" s="48"/>
      <c r="AD6" s="48"/>
    </row>
    <row r="7" spans="1:32" ht="15.75">
      <c r="C7" s="4" t="s">
        <v>28</v>
      </c>
      <c r="D7" s="124"/>
      <c r="E7" s="124"/>
      <c r="F7" s="4" t="s">
        <v>29</v>
      </c>
      <c r="G7" s="125"/>
      <c r="H7" s="125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Z7" s="48"/>
      <c r="AA7" s="48"/>
      <c r="AB7" s="48"/>
      <c r="AC7" s="48"/>
      <c r="AD7" s="48"/>
    </row>
    <row r="8" spans="1:32" ht="15.75">
      <c r="C8" s="4" t="s">
        <v>33</v>
      </c>
      <c r="D8" s="119"/>
      <c r="E8" s="119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Z8" s="48"/>
      <c r="AA8" s="48"/>
      <c r="AB8" s="48"/>
      <c r="AC8" s="48"/>
      <c r="AD8" s="48"/>
    </row>
    <row r="9" spans="1:32" ht="15.75">
      <c r="C9" s="4" t="s">
        <v>37</v>
      </c>
      <c r="D9" s="120"/>
      <c r="E9" s="120"/>
      <c r="H9" t="s">
        <v>38</v>
      </c>
      <c r="J9" s="117" t="s">
        <v>152</v>
      </c>
      <c r="M9" s="4" t="s">
        <v>39</v>
      </c>
      <c r="N9" s="60"/>
      <c r="P9" s="64" t="s">
        <v>40</v>
      </c>
      <c r="U9" s="4"/>
    </row>
    <row r="10" spans="1:32">
      <c r="B10" s="136" t="s">
        <v>41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8"/>
      <c r="Q10" s="18"/>
      <c r="R10" s="18"/>
      <c r="U10" s="69" t="s">
        <v>42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>
      <c r="C11" s="4" t="s">
        <v>43</v>
      </c>
      <c r="D11" s="118" t="s">
        <v>152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Z11" s="48"/>
      <c r="AA11" s="48"/>
      <c r="AB11" s="48"/>
      <c r="AC11" s="48"/>
      <c r="AD11" s="48"/>
    </row>
    <row r="12" spans="1:32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Z12" s="48"/>
      <c r="AA12" s="48"/>
      <c r="AB12" s="48"/>
      <c r="AC12" s="48"/>
      <c r="AD12" s="48"/>
    </row>
    <row r="13" spans="1:32">
      <c r="B13" s="136" t="s">
        <v>41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8"/>
      <c r="Q13" s="18"/>
      <c r="R13" s="18"/>
      <c r="U13" s="4" t="s">
        <v>27</v>
      </c>
      <c r="V13" s="57"/>
      <c r="W13" s="48"/>
      <c r="X13" s="48"/>
      <c r="Z13" s="48"/>
      <c r="AA13" s="48"/>
      <c r="AB13" s="48"/>
      <c r="AC13" s="48"/>
      <c r="AD13" s="48"/>
    </row>
    <row r="14" spans="1:32" ht="15.7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Z14" s="48"/>
      <c r="AA14" s="48"/>
      <c r="AB14" s="48"/>
      <c r="AC14" s="48"/>
      <c r="AD14" s="48"/>
    </row>
    <row r="15" spans="1:32" ht="15.7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Z15" s="48"/>
      <c r="AA15" s="48"/>
      <c r="AB15" s="48"/>
      <c r="AC15" s="48"/>
      <c r="AD15" s="48"/>
    </row>
    <row r="16" spans="1:32">
      <c r="B16" s="141" t="s">
        <v>52</v>
      </c>
      <c r="C16" s="141"/>
      <c r="D16" s="141" t="s">
        <v>53</v>
      </c>
      <c r="E16" s="141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F16" s="4"/>
    </row>
    <row r="17" spans="1:39" ht="15" customHeight="1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40"/>
      <c r="T17" s="140"/>
      <c r="U17" s="27" t="s">
        <v>71</v>
      </c>
      <c r="V17" s="27" t="s">
        <v>72</v>
      </c>
      <c r="W17" s="27" t="s">
        <v>73</v>
      </c>
      <c r="X17" s="27" t="s">
        <v>74</v>
      </c>
      <c r="Y17" t="s">
        <v>75</v>
      </c>
      <c r="Z17" s="27" t="s">
        <v>76</v>
      </c>
      <c r="AA17" s="27" t="s">
        <v>77</v>
      </c>
      <c r="AB17" s="27" t="s">
        <v>78</v>
      </c>
      <c r="AC17" s="27" t="s">
        <v>79</v>
      </c>
      <c r="AD17" s="27" t="s">
        <v>80</v>
      </c>
      <c r="AE17" s="4" t="s">
        <v>81</v>
      </c>
      <c r="AF17" s="21" t="s">
        <v>82</v>
      </c>
      <c r="AG17" s="21" t="s">
        <v>83</v>
      </c>
      <c r="AI17" s="108" t="s">
        <v>84</v>
      </c>
      <c r="AJ17" s="15" t="s">
        <v>85</v>
      </c>
      <c r="AK17" s="15" t="s">
        <v>86</v>
      </c>
      <c r="AL17" s="15" t="s">
        <v>63</v>
      </c>
      <c r="AM17" s="15" t="s">
        <v>87</v>
      </c>
    </row>
    <row r="18" spans="1:39" ht="16.5" customHeight="1">
      <c r="A18" s="4" t="str">
        <f>IFERROR(VLOOKUP(B18,Thresholds[],2,FALSE),"")</f>
        <v/>
      </c>
      <c r="B18" s="111" t="str">
        <f>IF(F$14="","",F$14)</f>
        <v/>
      </c>
      <c r="C18" s="62"/>
      <c r="D18" s="142"/>
      <c r="E18" s="143"/>
      <c r="F18" s="67"/>
      <c r="G18" s="67"/>
      <c r="H18" s="81"/>
      <c r="I18" s="82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>
      <c r="A19" s="4" t="str">
        <f>IFERROR(VLOOKUP(B19,Thresholds[],3,FALSE),"")</f>
        <v/>
      </c>
      <c r="B19" s="111" t="str">
        <f>IF(F$14="","",F$14)</f>
        <v/>
      </c>
      <c r="C19" s="62"/>
      <c r="D19" s="142"/>
      <c r="E19" s="143"/>
      <c r="F19" s="67"/>
      <c r="G19" s="67"/>
      <c r="H19" s="81" t="str">
        <f>IF(AND(C19-C18&lt;5,C19&gt;0),"Too Close","")</f>
        <v/>
      </c>
      <c r="I19" s="82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>
      <c r="A20" s="4" t="str">
        <f>IFERROR(VLOOKUP(B20,Thresholds[],4,FALSE),"")</f>
        <v/>
      </c>
      <c r="B20" s="111" t="str">
        <f>IF(F$14="","",F$14)</f>
        <v/>
      </c>
      <c r="C20" s="62"/>
      <c r="D20" s="142"/>
      <c r="E20" s="143"/>
      <c r="F20" s="67"/>
      <c r="G20" s="67"/>
      <c r="H20" s="81" t="str">
        <f>IF(AND(C20-C19&lt;5,C20&gt;0),"Too Close","")</f>
        <v/>
      </c>
      <c r="I20" s="82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7.5" customHeight="1">
      <c r="A21" s="99"/>
      <c r="B21" s="112"/>
      <c r="C21" s="100"/>
      <c r="D21" s="131"/>
      <c r="E21" s="131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>
      <c r="A22" s="4" t="str">
        <f>IFERROR(VLOOKUP(B22,Thresholds[],2,FALSE),"")</f>
        <v/>
      </c>
      <c r="B22" s="111" t="str">
        <f>IF(G$14="","",G$14)</f>
        <v/>
      </c>
      <c r="C22" s="62"/>
      <c r="D22" s="126"/>
      <c r="E22" s="126"/>
      <c r="F22" s="67"/>
      <c r="G22" s="67"/>
      <c r="H22" s="81"/>
      <c r="I22" s="82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>
      <c r="A23" s="4" t="str">
        <f>IFERROR(VLOOKUP(B23,Thresholds[],3,FALSE),"")</f>
        <v/>
      </c>
      <c r="B23" s="111" t="str">
        <f>IF(G$14="","",G$14)</f>
        <v/>
      </c>
      <c r="C23" s="62"/>
      <c r="D23" s="126"/>
      <c r="E23" s="126"/>
      <c r="F23" s="67"/>
      <c r="G23" s="67"/>
      <c r="H23" s="81" t="str">
        <f>IF(AND(C23-C22&lt;5,C23&gt;0),"Too Close","")</f>
        <v/>
      </c>
      <c r="I23" s="82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>
      <c r="A24" s="4" t="str">
        <f>IFERROR(VLOOKUP(B24,Thresholds[],4,FALSE),"")</f>
        <v/>
      </c>
      <c r="B24" s="111" t="str">
        <f>IF(G$14="","",G$14)</f>
        <v/>
      </c>
      <c r="C24" s="62"/>
      <c r="D24" s="126"/>
      <c r="E24" s="126"/>
      <c r="F24" s="67"/>
      <c r="G24" s="67"/>
      <c r="H24" s="81" t="str">
        <f>IF(AND(C24-C23&lt;5,C24&gt;0),"Too Close","")</f>
        <v/>
      </c>
      <c r="I24" s="82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7.5" customHeight="1">
      <c r="A25" s="4"/>
      <c r="B25" s="113"/>
      <c r="C25" s="100"/>
      <c r="D25" s="131"/>
      <c r="E25" s="131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>
      <c r="A26" s="4" t="str">
        <f>IFERROR(VLOOKUP(B26,Thresholds[],2,FALSE),"")</f>
        <v/>
      </c>
      <c r="B26" s="111" t="str">
        <f>IF(H$14="","",H$14)</f>
        <v/>
      </c>
      <c r="C26" s="62"/>
      <c r="D26" s="126"/>
      <c r="E26" s="126"/>
      <c r="F26" s="67"/>
      <c r="G26" s="67"/>
      <c r="H26" s="81"/>
      <c r="I26" s="82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>
      <c r="A27" s="4" t="str">
        <f>IFERROR(VLOOKUP(B27,Thresholds[],3,FALSE),"")</f>
        <v/>
      </c>
      <c r="B27" s="111" t="str">
        <f>IF(H$14="","",H$14)</f>
        <v/>
      </c>
      <c r="C27" s="62"/>
      <c r="D27" s="126"/>
      <c r="E27" s="126"/>
      <c r="F27" s="67"/>
      <c r="G27" s="67"/>
      <c r="H27" s="81" t="str">
        <f>IF(AND(C27-C26&lt;5,C27&gt;0),"Too Close","")</f>
        <v/>
      </c>
      <c r="I27" s="82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>
      <c r="A28" s="4" t="str">
        <f>IFERROR(VLOOKUP(B28,Thresholds[],4,FALSE),"")</f>
        <v/>
      </c>
      <c r="B28" s="111" t="str">
        <f>IF(H$14="","",H$14)</f>
        <v/>
      </c>
      <c r="C28" s="62"/>
      <c r="D28" s="126"/>
      <c r="E28" s="126"/>
      <c r="F28" s="67"/>
      <c r="G28" s="67"/>
      <c r="H28" s="81" t="str">
        <f>IF(AND(C28-C27&lt;5,C28&gt;0),"Too Close","")</f>
        <v/>
      </c>
      <c r="I28" s="82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7.5" customHeight="1">
      <c r="A29" s="4"/>
      <c r="B29" s="113"/>
      <c r="C29" s="100"/>
      <c r="D29" s="131"/>
      <c r="E29" s="131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>
      <c r="A30" s="4" t="str">
        <f>IFERROR(VLOOKUP(B30,Thresholds[],2,FALSE),"")</f>
        <v/>
      </c>
      <c r="B30" s="111" t="str">
        <f>IF(I$14="","",I$14)</f>
        <v/>
      </c>
      <c r="C30" s="62"/>
      <c r="D30" s="126"/>
      <c r="E30" s="126"/>
      <c r="F30" s="67"/>
      <c r="G30" s="67"/>
      <c r="H30" s="81"/>
      <c r="I30" s="82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>
      <c r="A31" s="4" t="str">
        <f>IFERROR(VLOOKUP(B31,Thresholds[],3,FALSE),"")</f>
        <v/>
      </c>
      <c r="B31" s="111" t="str">
        <f>IF(I$14="","",I$14)</f>
        <v/>
      </c>
      <c r="C31" s="62"/>
      <c r="D31" s="126"/>
      <c r="E31" s="126"/>
      <c r="F31" s="67"/>
      <c r="G31" s="67"/>
      <c r="H31" s="81" t="str">
        <f>IF(AND(C31-C30&lt;5,C31&gt;0),"Too Close","")</f>
        <v/>
      </c>
      <c r="I31" s="82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>
      <c r="A32" s="4" t="str">
        <f>IFERROR(VLOOKUP(B32,Thresholds[],4,FALSE),"")</f>
        <v/>
      </c>
      <c r="B32" s="111" t="str">
        <f>IF(I$14="","",I$14)</f>
        <v/>
      </c>
      <c r="C32" s="62"/>
      <c r="D32" s="126"/>
      <c r="E32" s="126"/>
      <c r="F32" s="67"/>
      <c r="G32" s="67"/>
      <c r="H32" s="81" t="str">
        <f>IF(AND(C32-C31&lt;5,C32&gt;0),"Too Close","")</f>
        <v/>
      </c>
      <c r="I32" s="82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7.5" customHeight="1">
      <c r="A33" s="4"/>
      <c r="B33" s="113"/>
      <c r="C33" s="100"/>
      <c r="D33" s="131"/>
      <c r="E33" s="131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>
      <c r="A34" s="4" t="str">
        <f>IFERROR(VLOOKUP(B34,Thresholds[],2,FALSE),"")</f>
        <v/>
      </c>
      <c r="B34" s="111" t="str">
        <f>IF(J$14="","",J$14)</f>
        <v/>
      </c>
      <c r="C34" s="62"/>
      <c r="D34" s="126"/>
      <c r="E34" s="126"/>
      <c r="F34" s="67"/>
      <c r="G34" s="67"/>
      <c r="H34" s="81"/>
      <c r="I34" s="82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>
      <c r="A35" s="4" t="str">
        <f>IFERROR(VLOOKUP(B35,Thresholds[],3,FALSE),"")</f>
        <v/>
      </c>
      <c r="B35" s="111" t="str">
        <f>IF(J$14="","",J$14)</f>
        <v/>
      </c>
      <c r="C35" s="62"/>
      <c r="D35" s="126"/>
      <c r="E35" s="126"/>
      <c r="F35" s="67"/>
      <c r="G35" s="67"/>
      <c r="H35" s="81" t="str">
        <f>IF(AND(C35-C34&lt;5,C35&gt;0),"Too Close","")</f>
        <v/>
      </c>
      <c r="I35" s="82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>
      <c r="A36" s="4" t="str">
        <f>IFERROR(VLOOKUP(B36,Thresholds[],4,FALSE),"")</f>
        <v/>
      </c>
      <c r="B36" s="111" t="str">
        <f>IF(J$14="","",J$14)</f>
        <v/>
      </c>
      <c r="C36" s="62"/>
      <c r="D36" s="126"/>
      <c r="E36" s="126"/>
      <c r="F36" s="67"/>
      <c r="G36" s="67"/>
      <c r="H36" s="81" t="str">
        <f>IF(AND(C36-C35&lt;5,C36&gt;0),"Too Close","")</f>
        <v/>
      </c>
      <c r="I36" s="82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7.5" customHeight="1">
      <c r="A37" s="4"/>
      <c r="B37" s="113"/>
      <c r="C37" s="100"/>
      <c r="D37" s="131"/>
      <c r="E37" s="131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>
      <c r="A38" s="4" t="str">
        <f>IFERROR(VLOOKUP(B38,Thresholds[],2,FALSE),"")</f>
        <v/>
      </c>
      <c r="B38" s="111" t="str">
        <f>IF(K$14="","",K$14)</f>
        <v/>
      </c>
      <c r="C38" s="62"/>
      <c r="D38" s="126"/>
      <c r="E38" s="126"/>
      <c r="F38" s="67"/>
      <c r="G38" s="67"/>
      <c r="H38" s="81"/>
      <c r="I38" s="82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>
      <c r="A39" s="4" t="str">
        <f>IFERROR(VLOOKUP(B39,Thresholds[],3,FALSE),"")</f>
        <v/>
      </c>
      <c r="B39" s="111" t="str">
        <f>IF(K$14="","",K$14)</f>
        <v/>
      </c>
      <c r="C39" s="62"/>
      <c r="D39" s="126"/>
      <c r="E39" s="126"/>
      <c r="F39" s="67"/>
      <c r="G39" s="67"/>
      <c r="H39" s="81" t="str">
        <f>IF(AND(C39-C38&lt;5,C39&gt;0),"Too Close","")</f>
        <v/>
      </c>
      <c r="I39" s="82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>
      <c r="A40" s="4" t="str">
        <f>IFERROR(VLOOKUP(B40,Thresholds[],4,FALSE),"")</f>
        <v/>
      </c>
      <c r="B40" s="111" t="str">
        <f>IF(K$14="","",K$14)</f>
        <v/>
      </c>
      <c r="C40" s="62"/>
      <c r="D40" s="126"/>
      <c r="E40" s="126"/>
      <c r="F40" s="67"/>
      <c r="G40" s="67"/>
      <c r="H40" s="81" t="str">
        <f>IF(AND(C40-C39&lt;5,C40&gt;0),"Too Close","")</f>
        <v/>
      </c>
      <c r="I40" s="82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7.5" customHeight="1">
      <c r="A41" s="4"/>
      <c r="B41" s="113"/>
      <c r="C41" s="100"/>
      <c r="D41" s="131"/>
      <c r="E41" s="131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>
      <c r="A42" s="4" t="str">
        <f>IFERROR(VLOOKUP(B42,Thresholds[],2,FALSE),"")</f>
        <v/>
      </c>
      <c r="B42" s="111" t="str">
        <f>IF(L$14="","",L$14)</f>
        <v/>
      </c>
      <c r="C42" s="62"/>
      <c r="D42" s="126"/>
      <c r="E42" s="126"/>
      <c r="F42" s="67"/>
      <c r="G42" s="67"/>
      <c r="H42" s="81"/>
      <c r="I42" s="82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>
      <c r="A43" s="4" t="str">
        <f>IFERROR(VLOOKUP(B43,Thresholds[],3,FALSE),"")</f>
        <v/>
      </c>
      <c r="B43" s="111" t="str">
        <f>IF(L$14="","",L$14)</f>
        <v/>
      </c>
      <c r="C43" s="62"/>
      <c r="D43" s="126"/>
      <c r="E43" s="126"/>
      <c r="F43" s="67"/>
      <c r="G43" s="67"/>
      <c r="H43" s="81" t="str">
        <f>IF(AND(C43-C42&lt;5,C43&gt;0),"Too Close","")</f>
        <v/>
      </c>
      <c r="I43" s="82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>
      <c r="A44" s="4" t="str">
        <f>IFERROR(VLOOKUP(B44,Thresholds[],4,FALSE),"")</f>
        <v/>
      </c>
      <c r="B44" s="111" t="str">
        <f>IF(L$14="","",L$14)</f>
        <v/>
      </c>
      <c r="C44" s="62"/>
      <c r="D44" s="126"/>
      <c r="E44" s="126"/>
      <c r="F44" s="67"/>
      <c r="G44" s="67"/>
      <c r="H44" s="81" t="str">
        <f>IF(AND(C44-C43&lt;5,C44&gt;0),"Too Close","")</f>
        <v/>
      </c>
      <c r="I44" s="82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7.5" customHeight="1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99"/>
    </row>
    <row r="46" spans="1:39" ht="16.5" customHeight="1">
      <c r="A46" t="s">
        <v>88</v>
      </c>
      <c r="B46" s="137"/>
      <c r="C46" s="138"/>
      <c r="D46" s="138"/>
      <c r="E46" s="138"/>
      <c r="F46" s="138"/>
      <c r="G46" s="138"/>
      <c r="H46" s="138"/>
      <c r="I46" s="138"/>
      <c r="J46" s="138"/>
      <c r="K46" s="138"/>
      <c r="L46" s="139"/>
      <c r="M46" s="9"/>
      <c r="N46" t="s">
        <v>89</v>
      </c>
      <c r="O46" s="121" t="str">
        <f>IFERROR(VLOOKUP(B46,DropDowns!H13:I15,2,FALSE),"")</f>
        <v/>
      </c>
      <c r="P46" s="121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>
      <c r="A47" s="4" t="s">
        <v>90</v>
      </c>
      <c r="B47" s="128"/>
      <c r="C47" s="129"/>
      <c r="D47" s="129"/>
      <c r="E47" s="129"/>
      <c r="F47" s="129"/>
      <c r="G47" s="129"/>
      <c r="H47" s="129"/>
      <c r="I47" s="129"/>
      <c r="J47" s="129"/>
      <c r="K47" s="129"/>
      <c r="L47" s="130"/>
      <c r="N47" t="s">
        <v>91</v>
      </c>
      <c r="O47" s="121" t="str">
        <f>IFERROR(VLOOKUP(B47,DropDowns!H3:I8,2,FALSE),"")</f>
        <v/>
      </c>
      <c r="P47" s="121"/>
    </row>
    <row r="48" spans="1:39">
      <c r="B48" s="80"/>
      <c r="G48" s="4"/>
    </row>
    <row r="52" spans="15:18" ht="14.25" customHeight="1"/>
    <row r="53" spans="15:18" ht="14.25" customHeight="1"/>
    <row r="54" spans="15:18" ht="14.25" customHeight="1"/>
    <row r="55" spans="15:18" ht="14.25" customHeight="1"/>
    <row r="56" spans="15:18" ht="14.25" customHeight="1"/>
    <row r="57" spans="15:18" ht="14.25" customHeight="1"/>
    <row r="58" spans="15:18" ht="14.25" customHeight="1"/>
    <row r="59" spans="15:18" ht="14.25" customHeight="1"/>
    <row r="60" spans="15:18" ht="14.25" customHeight="1"/>
    <row r="61" spans="15:18" ht="14.25" customHeight="1"/>
    <row r="62" spans="15:18" ht="14.25" customHeight="1">
      <c r="O62" s="2"/>
      <c r="P62" s="2"/>
      <c r="Q62" s="2"/>
      <c r="R62" s="2"/>
    </row>
    <row r="63" spans="15:18" ht="14.25" customHeight="1">
      <c r="O63" s="2"/>
      <c r="P63" s="2"/>
      <c r="Q63" s="2"/>
      <c r="R63" s="2"/>
    </row>
  </sheetData>
  <sheetProtection algorithmName="SHA-512" hashValue="uGhGGF4BbCquc6OkyE3eRQHv4NYSmCMKdH6xw1hG8SlOi1SCvX7NNxt2R0EdDMIVqhtONble7qUdWYQstTbk1Q==" saltValue="7i8O4JGsujJd1wf934HXxg==" spinCount="100000" sheet="1" selectLockedCells="1"/>
  <protectedRanges>
    <protectedRange sqref="G4:G6" name="address"/>
  </protectedRanges>
  <mergeCells count="53"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31:E31"/>
    <mergeCell ref="D32:E32"/>
    <mergeCell ref="D33:E33"/>
    <mergeCell ref="D34:E34"/>
    <mergeCell ref="D35:E35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greaterThan" showInputMessage="1" showErrorMessage="1" sqref="N6" xr:uid="{C13D5D0F-8F51-423D-A468-73A663B73DDB}">
      <formula1>32874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>
      <c r="A1" s="27" t="str">
        <f>IF(C3,"A2LA","Blank")</f>
        <v>A2LA</v>
      </c>
    </row>
    <row r="2" spans="1:3" ht="87.75" customHeight="1">
      <c r="B2" s="27" t="e" vm="1">
        <v>#VALUE!</v>
      </c>
    </row>
    <row r="3" spans="1:3">
      <c r="C3" s="116" t="b">
        <v>1</v>
      </c>
    </row>
    <row r="5" spans="1:3" ht="16.5" customHeight="1"/>
    <row r="6" spans="1:3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/>
  <sheetData>
    <row r="1" spans="1:16">
      <c r="A1" s="109" t="s">
        <v>141</v>
      </c>
    </row>
    <row r="2" spans="1:16">
      <c r="A2" s="104" t="s">
        <v>109</v>
      </c>
      <c r="B2" s="104" t="s">
        <v>53</v>
      </c>
      <c r="C2" s="15" t="s">
        <v>56</v>
      </c>
      <c r="D2" s="15" t="s">
        <v>57</v>
      </c>
      <c r="E2" s="15"/>
      <c r="F2" s="15"/>
      <c r="G2" s="15"/>
      <c r="H2" s="15" t="s">
        <v>61</v>
      </c>
      <c r="I2" s="15" t="s">
        <v>62</v>
      </c>
      <c r="J2" s="15" t="s">
        <v>63</v>
      </c>
      <c r="K2" s="36" t="s">
        <v>64</v>
      </c>
      <c r="L2" s="15" t="s">
        <v>110</v>
      </c>
      <c r="P2" s="15" t="s">
        <v>142</v>
      </c>
    </row>
    <row r="3" spans="1:16" ht="15.75">
      <c r="A3" s="101" t="str">
        <f>IF(Worksheet!C18="", "", Worksheet!B18 &amp; IF(Worksheet!D$11="NO", " ", "/P ") &amp; P3)</f>
        <v/>
      </c>
      <c r="B3" s="74" t="str">
        <f>IF(Worksheet!D18="","",Worksheet!D18)</f>
        <v/>
      </c>
      <c r="C3" s="74" t="str">
        <f>IF(Worksheet!F18="","",Worksheet!F18)</f>
        <v/>
      </c>
      <c r="D3" s="74" t="str">
        <f>IF(Worksheet!G18="","",Worksheet!G18)</f>
        <v/>
      </c>
      <c r="E3" s="105"/>
      <c r="F3" s="105"/>
      <c r="G3" s="105"/>
      <c r="H3" s="74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4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>
      <c r="A4" s="102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>
      <c r="A5" s="103" t="str">
        <f>IF(Worksheet!C20="", "", Worksheet!B20 &amp; IF(Worksheet!D$11="NO", " ", "/P ") &amp; P5)</f>
        <v/>
      </c>
      <c r="B5" s="75" t="str">
        <f>IF(Worksheet!D20="","",Worksheet!D20)</f>
        <v/>
      </c>
      <c r="C5" s="75" t="str">
        <f>IF(Worksheet!F20="","",Worksheet!F20)</f>
        <v/>
      </c>
      <c r="D5" s="75" t="str">
        <f>IF(Worksheet!G20="","",Worksheet!G20)</f>
        <v/>
      </c>
      <c r="E5" s="106"/>
      <c r="F5" s="106"/>
      <c r="G5" s="106"/>
      <c r="H5" s="75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5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>
      <c r="A6" s="19"/>
      <c r="B6" s="19"/>
      <c r="C6" s="19"/>
      <c r="D6" s="19"/>
      <c r="E6" s="107"/>
      <c r="F6" s="107"/>
      <c r="G6" s="107"/>
      <c r="H6" s="19"/>
      <c r="I6" s="19"/>
      <c r="J6" s="19"/>
      <c r="K6" s="19"/>
    </row>
    <row r="7" spans="1:16" ht="15.75">
      <c r="A7" s="101" t="str">
        <f>IF(Worksheet!C22="", "", Worksheet!B22 &amp; IF(Worksheet!D$11="NO", " ", "/P ") &amp; P7)</f>
        <v/>
      </c>
      <c r="B7" s="74" t="str">
        <f>IF(Worksheet!D22="","",Worksheet!D22)</f>
        <v/>
      </c>
      <c r="C7" s="74" t="str">
        <f>IF(Worksheet!F22="","",Worksheet!F22)</f>
        <v/>
      </c>
      <c r="D7" s="74" t="str">
        <f>IF(Worksheet!G22="","",Worksheet!G22)</f>
        <v/>
      </c>
      <c r="E7" s="105"/>
      <c r="F7" s="105"/>
      <c r="G7" s="105"/>
      <c r="H7" s="74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4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>
      <c r="A8" s="102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>
      <c r="A9" s="103" t="str">
        <f>IF(Worksheet!C24="", "", Worksheet!B24 &amp; IF(Worksheet!D$11="NO", " ", "/P ") &amp; P9)</f>
        <v/>
      </c>
      <c r="B9" s="75" t="str">
        <f>IF(Worksheet!D24="","",Worksheet!D24)</f>
        <v/>
      </c>
      <c r="C9" s="75" t="str">
        <f>IF(Worksheet!F24="","",Worksheet!F24)</f>
        <v/>
      </c>
      <c r="D9" s="75" t="str">
        <f>IF(Worksheet!G24="","",Worksheet!G24)</f>
        <v/>
      </c>
      <c r="E9" s="106"/>
      <c r="F9" s="106"/>
      <c r="G9" s="106"/>
      <c r="H9" s="75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5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>
      <c r="A10" s="19"/>
      <c r="B10" s="19"/>
      <c r="C10" s="19"/>
      <c r="D10" s="19"/>
      <c r="E10" s="107"/>
      <c r="F10" s="107"/>
      <c r="G10" s="107"/>
      <c r="H10" s="19"/>
      <c r="I10" s="19"/>
      <c r="J10" s="19"/>
      <c r="K10" s="19"/>
    </row>
    <row r="11" spans="1:16" ht="15.75">
      <c r="A11" s="101" t="str">
        <f>IF(Worksheet!C26="", "", Worksheet!B26 &amp; IF(Worksheet!D$11="NO", " ", "/P ") &amp; P11)</f>
        <v/>
      </c>
      <c r="B11" s="74" t="str">
        <f>IF(Worksheet!D26="","",Worksheet!D26)</f>
        <v/>
      </c>
      <c r="C11" s="74" t="str">
        <f>IF(Worksheet!F26="","",Worksheet!F26)</f>
        <v/>
      </c>
      <c r="D11" s="74" t="str">
        <f>IF(Worksheet!G26="","",Worksheet!G26)</f>
        <v/>
      </c>
      <c r="E11" s="105"/>
      <c r="F11" s="105"/>
      <c r="G11" s="105"/>
      <c r="H11" s="74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4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>
      <c r="A12" s="102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>
      <c r="A13" s="103" t="str">
        <f>IF(Worksheet!C28="", "", Worksheet!B28 &amp; IF(Worksheet!D$11="NO", " ", "/P ") &amp; P13)</f>
        <v/>
      </c>
      <c r="B13" s="75" t="str">
        <f>IF(Worksheet!D28="","",Worksheet!D28)</f>
        <v/>
      </c>
      <c r="C13" s="75" t="str">
        <f>IF(Worksheet!F28="","",Worksheet!F28)</f>
        <v/>
      </c>
      <c r="D13" s="75" t="str">
        <f>IF(Worksheet!G28="","",Worksheet!G28)</f>
        <v/>
      </c>
      <c r="E13" s="106"/>
      <c r="F13" s="106"/>
      <c r="G13" s="106"/>
      <c r="H13" s="75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5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>
      <c r="A14" s="19"/>
      <c r="B14" s="19"/>
      <c r="C14" s="19"/>
      <c r="D14" s="19"/>
      <c r="E14" s="107"/>
      <c r="F14" s="107"/>
      <c r="G14" s="107"/>
      <c r="H14" s="19"/>
      <c r="I14" s="19"/>
      <c r="J14" s="19"/>
      <c r="K14" s="19"/>
    </row>
    <row r="15" spans="1:16" ht="15.75">
      <c r="A15" s="101" t="str">
        <f>IF(Worksheet!C30="", "", Worksheet!B30 &amp; IF(Worksheet!D$11="NO", " ", "/P ") &amp; P15)</f>
        <v/>
      </c>
      <c r="B15" s="74" t="str">
        <f>IF(Worksheet!D30="","",Worksheet!D30)</f>
        <v/>
      </c>
      <c r="C15" s="74" t="str">
        <f>IF(Worksheet!F30="","",Worksheet!F30)</f>
        <v/>
      </c>
      <c r="D15" s="74" t="str">
        <f>IF(Worksheet!G30="","",Worksheet!G30)</f>
        <v/>
      </c>
      <c r="E15" s="105"/>
      <c r="F15" s="105"/>
      <c r="G15" s="105"/>
      <c r="H15" s="74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4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>
      <c r="A16" s="102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>
      <c r="A17" s="103" t="str">
        <f>IF(Worksheet!C32="", "", Worksheet!B32 &amp; IF(Worksheet!D$11="NO", " ", "/P ") &amp; P17)</f>
        <v/>
      </c>
      <c r="B17" s="75" t="str">
        <f>IF(Worksheet!D32="","",Worksheet!D32)</f>
        <v/>
      </c>
      <c r="C17" s="75" t="str">
        <f>IF(Worksheet!F32="","",Worksheet!F32)</f>
        <v/>
      </c>
      <c r="D17" s="75" t="str">
        <f>IF(Worksheet!G32="","",Worksheet!G32)</f>
        <v/>
      </c>
      <c r="E17" s="106"/>
      <c r="F17" s="106"/>
      <c r="G17" s="106"/>
      <c r="H17" s="75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5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>
      <c r="A18" s="19"/>
      <c r="B18" s="19"/>
      <c r="C18" s="19"/>
      <c r="D18" s="19"/>
      <c r="E18" s="107"/>
      <c r="F18" s="107"/>
      <c r="G18" s="107"/>
      <c r="H18" s="19"/>
      <c r="I18" s="19"/>
      <c r="J18" s="19"/>
      <c r="K18" s="19"/>
    </row>
    <row r="19" spans="1:16" ht="15.75">
      <c r="A19" s="101" t="str">
        <f>IF(Worksheet!C34="", "", Worksheet!B34 &amp; IF(Worksheet!D$11="NO", " ", "/P ") &amp; P19)</f>
        <v/>
      </c>
      <c r="B19" s="74" t="str">
        <f>IF(Worksheet!D34="","",Worksheet!D34)</f>
        <v/>
      </c>
      <c r="C19" s="74" t="str">
        <f>IF(Worksheet!F34="","",Worksheet!F34)</f>
        <v/>
      </c>
      <c r="D19" s="74" t="str">
        <f>IF(Worksheet!G34="","",Worksheet!G34)</f>
        <v/>
      </c>
      <c r="E19" s="105"/>
      <c r="F19" s="105"/>
      <c r="G19" s="105"/>
      <c r="H19" s="74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4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>
      <c r="A20" s="102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>
      <c r="A21" s="103" t="str">
        <f>IF(Worksheet!C36="", "", Worksheet!B36 &amp; IF(Worksheet!D$11="NO", " ", "/P ") &amp; P21)</f>
        <v/>
      </c>
      <c r="B21" s="75" t="str">
        <f>IF(Worksheet!D36="","",Worksheet!D36)</f>
        <v/>
      </c>
      <c r="C21" s="75" t="str">
        <f>IF(Worksheet!F36="","",Worksheet!F36)</f>
        <v/>
      </c>
      <c r="D21" s="75" t="str">
        <f>IF(Worksheet!G36="","",Worksheet!G36)</f>
        <v/>
      </c>
      <c r="E21" s="106"/>
      <c r="F21" s="106"/>
      <c r="G21" s="106"/>
      <c r="H21" s="75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5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>
      <c r="A22" s="19"/>
      <c r="B22" s="19"/>
      <c r="C22" s="19"/>
      <c r="D22" s="19"/>
      <c r="E22" s="107"/>
      <c r="F22" s="107"/>
      <c r="G22" s="107"/>
      <c r="H22" s="19"/>
      <c r="I22" s="19"/>
      <c r="J22" s="19"/>
      <c r="K22" s="19"/>
    </row>
    <row r="23" spans="1:16" ht="15.75">
      <c r="A23" s="101" t="str">
        <f>IF(Worksheet!C38="", "", Worksheet!B38 &amp; IF(Worksheet!D$11="NO", " ", "/P ") &amp; P23)</f>
        <v/>
      </c>
      <c r="B23" s="74" t="str">
        <f>IF(Worksheet!D38="","",Worksheet!D38)</f>
        <v/>
      </c>
      <c r="C23" s="74" t="str">
        <f>IF(Worksheet!F38="","",Worksheet!F38)</f>
        <v/>
      </c>
      <c r="D23" s="74" t="str">
        <f>IF(Worksheet!G38="","",Worksheet!G38)</f>
        <v/>
      </c>
      <c r="E23" s="105"/>
      <c r="F23" s="105"/>
      <c r="G23" s="105"/>
      <c r="H23" s="74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4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>
      <c r="A24" s="102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>
      <c r="A25" s="103" t="str">
        <f>IF(Worksheet!C40="", "", Worksheet!B40 &amp; IF(Worksheet!D$11="NO", " ", "/P ") &amp; P25)</f>
        <v/>
      </c>
      <c r="B25" s="75" t="str">
        <f>IF(Worksheet!D40="","",Worksheet!D40)</f>
        <v/>
      </c>
      <c r="C25" s="75" t="str">
        <f>IF(Worksheet!F40="","",Worksheet!F40)</f>
        <v/>
      </c>
      <c r="D25" s="75" t="str">
        <f>IF(Worksheet!G40="","",Worksheet!G40)</f>
        <v/>
      </c>
      <c r="E25" s="106"/>
      <c r="F25" s="106"/>
      <c r="G25" s="106"/>
      <c r="H25" s="75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5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>
      <c r="A26" s="19"/>
      <c r="B26" s="19"/>
      <c r="C26" s="19"/>
      <c r="D26" s="19"/>
      <c r="E26" s="107"/>
      <c r="F26" s="107"/>
      <c r="G26" s="107"/>
      <c r="H26" s="19"/>
      <c r="I26" s="19"/>
      <c r="J26" s="19"/>
      <c r="K26" s="19"/>
    </row>
    <row r="27" spans="1:16" ht="15.75">
      <c r="A27" s="101" t="str">
        <f>IF(Worksheet!C42="", "", Worksheet!B42 &amp; IF(Worksheet!D$11="NO", " ", "/P ") &amp; P27)</f>
        <v/>
      </c>
      <c r="B27" s="74" t="str">
        <f>IF(Worksheet!D42="","",Worksheet!D42)</f>
        <v/>
      </c>
      <c r="C27" s="74" t="str">
        <f>IF(Worksheet!F42="","",Worksheet!F42)</f>
        <v/>
      </c>
      <c r="D27" s="74" t="str">
        <f>IF(Worksheet!G42="","",Worksheet!G42)</f>
        <v/>
      </c>
      <c r="E27" s="105"/>
      <c r="F27" s="105"/>
      <c r="G27" s="105"/>
      <c r="H27" s="74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4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>
      <c r="A28" s="102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>
      <c r="A29" s="103" t="str">
        <f>IF(Worksheet!C44="", "", Worksheet!B44 &amp; IF(Worksheet!D$11="NO", " ", "/P ") &amp; P29)</f>
        <v/>
      </c>
      <c r="B29" s="75" t="str">
        <f>IF(Worksheet!D44="","",Worksheet!D44)</f>
        <v/>
      </c>
      <c r="C29" s="75" t="str">
        <f>IF(Worksheet!F44="","",Worksheet!F44)</f>
        <v/>
      </c>
      <c r="D29" s="75" t="str">
        <f>IF(Worksheet!G44="","",Worksheet!G44)</f>
        <v/>
      </c>
      <c r="E29" s="106"/>
      <c r="F29" s="106"/>
      <c r="G29" s="106"/>
      <c r="H29" s="75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5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>
      <c r="A31" s="109" t="s">
        <v>143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>
      <c r="A32" s="104" t="s">
        <v>109</v>
      </c>
      <c r="B32" s="104" t="s">
        <v>53</v>
      </c>
      <c r="C32" s="15" t="s">
        <v>56</v>
      </c>
      <c r="D32" s="15" t="s">
        <v>57</v>
      </c>
      <c r="E32" s="15" t="s">
        <v>58</v>
      </c>
      <c r="F32" s="15" t="s">
        <v>59</v>
      </c>
      <c r="G32" s="15" t="s">
        <v>60</v>
      </c>
      <c r="H32" s="15" t="s">
        <v>61</v>
      </c>
      <c r="I32" s="15" t="s">
        <v>62</v>
      </c>
      <c r="J32" s="15" t="s">
        <v>63</v>
      </c>
      <c r="K32" s="36" t="s">
        <v>64</v>
      </c>
      <c r="L32" s="15" t="s">
        <v>110</v>
      </c>
    </row>
    <row r="33" spans="1:17" ht="15.75">
      <c r="A33" s="74" t="str">
        <f>IF(Worksheet!C18="", "", Worksheet!B18 &amp; IF(Worksheet!D$11="NO"," ","/P ") &amp; P33)</f>
        <v/>
      </c>
      <c r="B33" s="74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4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4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>
      <c r="A35" s="75" t="str">
        <f>IF(Worksheet!C20="", "", Worksheet!B20 &amp; IF(Worksheet!D$11="NO"," ","/P ") &amp; P35)</f>
        <v/>
      </c>
      <c r="B35" s="75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5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5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7" ht="15.75">
      <c r="A37" s="74" t="str">
        <f>IF(Worksheet!C22="", "", Worksheet!B22 &amp; IF(Worksheet!D$11="NO"," ","/P ") &amp; P37)</f>
        <v/>
      </c>
      <c r="B37" s="74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4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4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>
      <c r="A39" s="75" t="str">
        <f>IF(Worksheet!C24="", "", Worksheet!B24 &amp; IF(Worksheet!D$11="NO"," ","/P ") &amp; P39)</f>
        <v/>
      </c>
      <c r="B39" s="75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5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5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7" ht="15.75">
      <c r="A41" s="74" t="str">
        <f>IF(Worksheet!C26="", "", Worksheet!B26 &amp; IF(Worksheet!D$11="NO"," ","/P ") &amp; P41)</f>
        <v/>
      </c>
      <c r="B41" s="74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4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4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>
      <c r="A43" s="75" t="str">
        <f>IF(Worksheet!C28="", "", Worksheet!B28 &amp; IF(Worksheet!D$11="NO"," ","/P ") &amp; P43)</f>
        <v/>
      </c>
      <c r="B43" s="75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5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5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7" ht="15.75">
      <c r="A45" s="74" t="str">
        <f>IF(Worksheet!C30="", "", Worksheet!B30 &amp; IF(Worksheet!D$11="NO"," ","/P ") &amp; P45)</f>
        <v/>
      </c>
      <c r="B45" s="74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4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4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>
      <c r="A47" s="75" t="str">
        <f>IF(Worksheet!C32="", "", Worksheet!B32 &amp; IF(Worksheet!D$11="NO"," ","/P ") &amp; P47)</f>
        <v/>
      </c>
      <c r="B47" s="75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5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5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>
      <c r="A48" s="19"/>
      <c r="B48" s="19"/>
      <c r="C48" s="19"/>
      <c r="D48" s="19"/>
      <c r="E48" s="19"/>
      <c r="F48" s="19"/>
      <c r="G48" s="19"/>
      <c r="H48" s="19"/>
      <c r="I48" s="76"/>
      <c r="J48" s="76"/>
      <c r="K48" s="19"/>
    </row>
    <row r="49" spans="1:16" ht="15.75">
      <c r="A49" s="74" t="str">
        <f>IF(Worksheet!C34="", "", Worksheet!B34 &amp; IF(Worksheet!D$11="NO"," ","/P ") &amp; P49)</f>
        <v/>
      </c>
      <c r="B49" s="74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4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4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>
      <c r="A51" s="75" t="str">
        <f>IF(Worksheet!C36="", "", Worksheet!B36 &amp; IF(Worksheet!D$11="NO"," ","/P ") &amp; P51)</f>
        <v/>
      </c>
      <c r="B51" s="75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5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5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>
      <c r="A52" s="19"/>
      <c r="B52" s="19"/>
      <c r="C52" s="19"/>
      <c r="D52" s="19"/>
      <c r="E52" s="19"/>
      <c r="F52" s="19"/>
      <c r="G52" s="19"/>
      <c r="H52" s="19"/>
      <c r="I52" s="76"/>
      <c r="J52" s="76"/>
      <c r="K52" s="19"/>
    </row>
    <row r="53" spans="1:16" ht="15.75">
      <c r="A53" s="74" t="str">
        <f>IF(Worksheet!C38="", "", Worksheet!B38 &amp; IF(Worksheet!D$11="NO"," ","/P ") &amp; P53)</f>
        <v/>
      </c>
      <c r="B53" s="74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4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4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>
      <c r="A55" s="75" t="str">
        <f>IF(Worksheet!C40="", "", Worksheet!B40 &amp; IF(Worksheet!D$11="NO"," ","/P ") &amp; P55)</f>
        <v/>
      </c>
      <c r="B55" s="75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5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5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>
      <c r="A56" s="19"/>
      <c r="B56" s="19"/>
      <c r="C56" s="19"/>
      <c r="D56" s="19"/>
      <c r="E56" s="19"/>
      <c r="F56" s="19"/>
      <c r="G56" s="19"/>
      <c r="H56" s="19"/>
      <c r="I56" s="76"/>
      <c r="J56" s="76"/>
      <c r="K56" s="19"/>
    </row>
    <row r="57" spans="1:16" ht="15.75">
      <c r="A57" s="74" t="str">
        <f>IF(Worksheet!C42="", "", Worksheet!B42 &amp; IF(Worksheet!D$11="NO"," ","/P ") &amp; P57)</f>
        <v/>
      </c>
      <c r="B57" s="74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4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4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>
      <c r="A59" s="75" t="str">
        <f>IF(Worksheet!C44="", "", Worksheet!B44 &amp; IF(Worksheet!D$11="NO"," ","/P ") &amp; P59)</f>
        <v/>
      </c>
      <c r="B59" s="75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5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5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A68" sqref="A68:O75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3" t="s">
        <v>92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>
      <c r="B2" s="153" t="s">
        <v>93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>
      <c r="B3" s="153" t="s">
        <v>94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>
      <c r="B4" s="71"/>
      <c r="C4" s="72"/>
      <c r="D4" s="155" t="s">
        <v>133</v>
      </c>
      <c r="E4" s="155"/>
      <c r="F4" s="155"/>
      <c r="G4" s="155"/>
      <c r="H4" s="155"/>
      <c r="I4" s="155"/>
      <c r="J4" s="71"/>
      <c r="K4" s="71"/>
    </row>
    <row r="5" spans="1:54" ht="18.75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95</v>
      </c>
      <c r="B6" s="20" t="str">
        <f>IF(Worksheet!D3="","",Worksheet!D3)</f>
        <v/>
      </c>
      <c r="C6" s="4"/>
      <c r="D6" s="1"/>
      <c r="F6" s="154" t="s">
        <v>134</v>
      </c>
      <c r="G6" s="154"/>
      <c r="J6" t="s">
        <v>97</v>
      </c>
      <c r="BB6" s="4"/>
    </row>
    <row r="7" spans="1:54" ht="15.7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100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ht="15" customHeight="1">
      <c r="A16" s="136" t="s">
        <v>105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>
      <c r="A17" s="1" t="s">
        <v>106</v>
      </c>
      <c r="C17" s="19" t="str">
        <f>Worksheet!J11</f>
        <v>ASTM E18-24</v>
      </c>
    </row>
    <row r="18" spans="1:17" ht="15.7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>
      <c r="A19" s="136" t="s">
        <v>105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>
      <c r="A20" s="104" t="s">
        <v>109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>
      <c r="A21" s="101" t="str" cm="1">
        <f t="array" ref="A21">IF(_xlfn._xlws.FILTER('Filter Cert Data'!A3:L5,'Filter Cert Data'!A3:A5&lt;&gt;"","")="", "", _xlfn._xlws.FILTER('Filter Cert Data'!A3:L5,'Filter Cert Data'!A3:A5&lt;&gt;""))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IF(_xlfn._xlws.FILTER('Filter Cert Data'!A7:L9,'Filter Cert Data'!A7:A9&lt;&gt;"","")="", "", _xlfn._xlws.FILTER('Filter Cert Data'!A7:L9,'Filter Cert Data'!A7:A9&lt;&gt;""))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36" t="s">
        <v>105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46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>
      <c r="A55" s="136" t="s">
        <v>105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>
      <c r="A56" s="77" t="s">
        <v>114</v>
      </c>
      <c r="B56" s="147" t="s">
        <v>135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IFERROR(VLOOKUP(Worksheet!$B46,DropDowns!H13:J15,3,FALSE),"")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>
      <c r="A59" s="1" t="s">
        <v>9</v>
      </c>
      <c r="B59" s="148" t="str">
        <f>IF(Worksheet!L3="","",Worksheet!L3)</f>
        <v>Used</v>
      </c>
      <c r="C59" s="148"/>
    </row>
    <row r="60" spans="1:27" ht="15.75">
      <c r="A60" s="1" t="s">
        <v>116</v>
      </c>
      <c r="B60" s="148" t="str">
        <f>Worksheet!O46</f>
        <v/>
      </c>
      <c r="C60" s="148"/>
    </row>
    <row r="61" spans="1:27" ht="12" customHeight="1">
      <c r="A61" s="145" t="str">
        <f>'CERT AL'!A61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>
      <c r="A63" s="136" t="s">
        <v>105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8" spans="1:15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5">
      <c r="B78" s="54"/>
    </row>
    <row r="79" spans="1:1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J11:K11"/>
    <mergeCell ref="B1:K1"/>
    <mergeCell ref="B2:K2"/>
    <mergeCell ref="B3:K3"/>
    <mergeCell ref="F6:G6"/>
    <mergeCell ref="D4:I4"/>
    <mergeCell ref="E5:H5"/>
    <mergeCell ref="J12:K12"/>
    <mergeCell ref="J13:K13"/>
    <mergeCell ref="J14:K14"/>
    <mergeCell ref="J15:K15"/>
    <mergeCell ref="O56:AA58"/>
    <mergeCell ref="A16:M16"/>
    <mergeCell ref="A19:M19"/>
    <mergeCell ref="A49:M49"/>
    <mergeCell ref="A68:O75"/>
    <mergeCell ref="A61:M62"/>
    <mergeCell ref="A52:M54"/>
    <mergeCell ref="B56:M58"/>
    <mergeCell ref="B59:C59"/>
    <mergeCell ref="B60:C60"/>
    <mergeCell ref="A55:M55"/>
    <mergeCell ref="A63:M63"/>
    <mergeCell ref="AG2:AH2"/>
    <mergeCell ref="AJ2:AK2"/>
    <mergeCell ref="AM2:AN2"/>
    <mergeCell ref="AP2:AQ2"/>
    <mergeCell ref="AS2:AT2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zoomScaleNormal="100" zoomScaleSheetLayoutView="100" workbookViewId="0">
      <selection activeCell="E9" sqref="E9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3" t="s">
        <v>92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>
      <c r="B2" s="153" t="s">
        <v>93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>
      <c r="B3" s="153" t="s">
        <v>94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>
      <c r="B4" s="71"/>
      <c r="C4" s="72"/>
      <c r="D4" s="155"/>
      <c r="E4" s="155"/>
      <c r="F4" s="155"/>
      <c r="G4" s="155"/>
      <c r="H4" s="155"/>
      <c r="I4" s="155"/>
      <c r="J4" s="71"/>
      <c r="K4" s="71"/>
    </row>
    <row r="5" spans="1:54" ht="18.75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95</v>
      </c>
      <c r="B6" s="20" t="str">
        <f>IF(Worksheet!D3="","",Worksheet!D3)</f>
        <v/>
      </c>
      <c r="C6" s="4"/>
      <c r="D6" s="1"/>
      <c r="F6" s="154" t="s">
        <v>96</v>
      </c>
      <c r="G6" s="154"/>
      <c r="J6" t="s">
        <v>97</v>
      </c>
      <c r="BB6" s="4"/>
    </row>
    <row r="7" spans="1:54" ht="15.7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100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>
      <c r="A16" s="136" t="s">
        <v>105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>
      <c r="A17" s="1" t="s">
        <v>106</v>
      </c>
      <c r="C17" s="19" t="str">
        <f>Worksheet!J11</f>
        <v>ASTM E18-24</v>
      </c>
    </row>
    <row r="18" spans="1:17" ht="15.7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>
      <c r="A19" s="136" t="s">
        <v>105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>
      <c r="A20" s="104" t="s">
        <v>109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>
      <c r="A21" s="101" t="str" cm="1">
        <f t="array" ref="A21">_xlfn._xlws.FILTER('Filter Cert Data'!A33:L35,'Filter Cert Data'!A33:A35&lt;&gt;"","")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_xlfn._xlws.FILTER('Filter Cert Data'!A37:L39,'Filter Cert Data'!A37:A39&lt;&gt;"","")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_xlfn._xlws.FILTER('Filter Cert Data'!A41:L43,'Filter Cert Data'!A41:A43&lt;&gt;"","")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_xlfn._xlws.FILTER('Filter Cert Data'!A45:L47,'Filter Cert Data'!A45:A47&lt;&gt;"","")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_xlfn._xlws.FILTER('Filter Cert Data'!A49:L51,'Filter Cert Data'!A49:A51&lt;&gt;"","")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_xlfn._xlws.FILTER('Filter Cert Data'!A53:L55,'Filter Cert Data'!A53:A55&lt;&gt;"","")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_xlfn._xlws.FILTER('Filter Cert Data'!A57:L59,'Filter Cert Data'!A57:A59&lt;&gt;"","")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36" t="s">
        <v>105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46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>
      <c r="A55" s="136" t="s">
        <v>105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>
      <c r="A56" s="77" t="s">
        <v>114</v>
      </c>
      <c r="B56" s="147" t="s">
        <v>115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IFERROR(VLOOKUP(Worksheet!$B47,DropDowns!H3:J8,3,FALSE),"")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>
      <c r="A59" s="1" t="s">
        <v>9</v>
      </c>
      <c r="B59" s="148" t="str">
        <f>IF(Worksheet!L3="","",Worksheet!L3)</f>
        <v>Used</v>
      </c>
      <c r="C59" s="148"/>
    </row>
    <row r="60" spans="1:27" ht="15.75">
      <c r="A60" s="1" t="s">
        <v>116</v>
      </c>
      <c r="B60" s="148" t="str">
        <f>Worksheet!O47</f>
        <v/>
      </c>
      <c r="C60" s="148"/>
    </row>
    <row r="61" spans="1:27" ht="12" customHeight="1">
      <c r="A61" s="145" t="str">
        <f>IF(Worksheet!D11="YES",'CERT AL'!A89,"")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>
      <c r="A63" s="136" t="s">
        <v>105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7" spans="1:16">
      <c r="A67" s="65" t="s">
        <v>117</v>
      </c>
    </row>
    <row r="68" spans="1:16">
      <c r="A68" s="144" t="s">
        <v>118</v>
      </c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6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6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6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6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6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6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6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6">
      <c r="A78" s="65" t="s">
        <v>119</v>
      </c>
    </row>
    <row r="79" spans="1:16" ht="15" customHeight="1">
      <c r="A79" s="144" t="s">
        <v>120</v>
      </c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24"/>
    </row>
    <row r="80" spans="1:16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24"/>
    </row>
    <row r="81" spans="1:16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24"/>
    </row>
    <row r="82" spans="1:16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24"/>
    </row>
    <row r="83" spans="1:16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24"/>
    </row>
    <row r="84" spans="1:16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24"/>
    </row>
    <row r="85" spans="1:16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24"/>
    </row>
    <row r="86" spans="1:16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24"/>
    </row>
    <row r="88" spans="1:16">
      <c r="A88" s="65" t="s">
        <v>130</v>
      </c>
    </row>
    <row r="89" spans="1:16">
      <c r="A89" s="144" t="s">
        <v>131</v>
      </c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</row>
    <row r="90" spans="1:16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B1:K1"/>
    <mergeCell ref="B2:K2"/>
    <mergeCell ref="B3:K3"/>
    <mergeCell ref="J11:K11"/>
    <mergeCell ref="J12:K12"/>
    <mergeCell ref="D4:I4"/>
    <mergeCell ref="E5:H5"/>
    <mergeCell ref="F6:G6"/>
    <mergeCell ref="A89:O90"/>
    <mergeCell ref="A61:M62"/>
    <mergeCell ref="A79:O86"/>
    <mergeCell ref="A68:O75"/>
    <mergeCell ref="B56:M58"/>
    <mergeCell ref="O56:AA58"/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>
      <c r="B2" s="109" t="s">
        <v>144</v>
      </c>
      <c r="D2" s="109" t="s">
        <v>145</v>
      </c>
      <c r="H2" s="109" t="s">
        <v>146</v>
      </c>
      <c r="I2" s="109" t="s">
        <v>147</v>
      </c>
      <c r="J2" s="157" t="s">
        <v>1151</v>
      </c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</row>
    <row r="3" spans="2:35">
      <c r="B3" t="s">
        <v>148</v>
      </c>
      <c r="D3" t="s">
        <v>149</v>
      </c>
      <c r="H3" s="25" t="s">
        <v>121</v>
      </c>
      <c r="I3" t="s">
        <v>150</v>
      </c>
      <c r="J3" t="s">
        <v>115</v>
      </c>
    </row>
    <row r="4" spans="2:35" ht="15" customHeight="1">
      <c r="B4" t="s">
        <v>151</v>
      </c>
      <c r="D4" t="s">
        <v>10</v>
      </c>
      <c r="H4" t="s">
        <v>122</v>
      </c>
      <c r="I4" t="s">
        <v>150</v>
      </c>
      <c r="J4" t="s">
        <v>123</v>
      </c>
    </row>
    <row r="5" spans="2:35">
      <c r="B5" t="s">
        <v>152</v>
      </c>
      <c r="H5" t="s">
        <v>124</v>
      </c>
      <c r="I5" t="s">
        <v>150</v>
      </c>
      <c r="J5" t="s">
        <v>125</v>
      </c>
    </row>
    <row r="6" spans="2:35">
      <c r="H6" t="s">
        <v>126</v>
      </c>
      <c r="I6" t="s">
        <v>150</v>
      </c>
      <c r="J6" t="s">
        <v>127</v>
      </c>
    </row>
    <row r="7" spans="2:35">
      <c r="H7" t="s">
        <v>128</v>
      </c>
      <c r="I7" t="s">
        <v>153</v>
      </c>
      <c r="J7" t="s">
        <v>129</v>
      </c>
    </row>
    <row r="8" spans="2:35">
      <c r="H8" t="s">
        <v>154</v>
      </c>
      <c r="I8" t="s">
        <v>150</v>
      </c>
      <c r="J8" t="s">
        <v>132</v>
      </c>
    </row>
    <row r="10" spans="2:35">
      <c r="B10" s="109" t="s">
        <v>155</v>
      </c>
    </row>
    <row r="12" spans="2:35">
      <c r="B12" t="str" cm="1">
        <f t="array" ref="B12:B24">Thresholds[Scale]</f>
        <v>HRA</v>
      </c>
      <c r="H12" s="109" t="s">
        <v>156</v>
      </c>
      <c r="I12" s="109" t="s">
        <v>157</v>
      </c>
      <c r="J12" s="157" t="s">
        <v>1150</v>
      </c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2:35">
      <c r="B13" t="str">
        <v>HRBW</v>
      </c>
      <c r="H13" t="s">
        <v>136</v>
      </c>
      <c r="I13" t="s">
        <v>158</v>
      </c>
      <c r="J13" t="s">
        <v>135</v>
      </c>
    </row>
    <row r="14" spans="2:35">
      <c r="B14" t="str">
        <v>HRC</v>
      </c>
      <c r="H14" t="s">
        <v>137</v>
      </c>
      <c r="I14" t="s">
        <v>153</v>
      </c>
      <c r="J14" t="s">
        <v>138</v>
      </c>
    </row>
    <row r="15" spans="2:35">
      <c r="B15" t="str">
        <v>HREW</v>
      </c>
      <c r="H15" t="s">
        <v>139</v>
      </c>
      <c r="I15" t="s">
        <v>158</v>
      </c>
      <c r="J15" t="s">
        <v>140</v>
      </c>
    </row>
    <row r="16" spans="2:35">
      <c r="B16" t="str">
        <v>HRFW</v>
      </c>
      <c r="I16" t="s">
        <v>159</v>
      </c>
    </row>
    <row r="17" spans="2:14">
      <c r="B17" t="str">
        <v>HRHW</v>
      </c>
    </row>
    <row r="18" spans="2:14">
      <c r="B18" t="str">
        <v>HR15N</v>
      </c>
      <c r="D18" t="s">
        <v>160</v>
      </c>
      <c r="I18" t="s">
        <v>1152</v>
      </c>
    </row>
    <row r="19" spans="2:14" ht="15.75" thickBot="1">
      <c r="B19" t="str">
        <v>HR30N</v>
      </c>
      <c r="D19" s="86" t="s">
        <v>161</v>
      </c>
      <c r="E19" s="87" t="s">
        <v>162</v>
      </c>
      <c r="F19" s="86" t="s">
        <v>163</v>
      </c>
      <c r="G19" s="87" t="s">
        <v>164</v>
      </c>
      <c r="I19" s="85" t="s">
        <v>165</v>
      </c>
      <c r="J19" s="85" t="s">
        <v>166</v>
      </c>
      <c r="K19" s="85" t="s">
        <v>167</v>
      </c>
      <c r="L19" s="85" t="s">
        <v>168</v>
      </c>
      <c r="N19" s="88" t="s">
        <v>169</v>
      </c>
    </row>
    <row r="20" spans="2:14" ht="15.75" thickTop="1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>
      <c r="E28" t="str">
        <v>China</v>
      </c>
      <c r="F28">
        <v>3814</v>
      </c>
      <c r="G28">
        <v>1247</v>
      </c>
      <c r="I28" t="str">
        <v>AERO-TECH ENGINEERING, INC.</v>
      </c>
    </row>
    <row r="29" spans="2:14">
      <c r="E29" t="str">
        <v>Clark</v>
      </c>
      <c r="F29">
        <v>3817</v>
      </c>
      <c r="G29">
        <v>1263</v>
      </c>
      <c r="I29" t="str">
        <v>ALBERTSON &amp; HEIN, INC.</v>
      </c>
    </row>
    <row r="30" spans="2:14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>
      <c r="E44" t="str">
        <v>ProCheck</v>
      </c>
      <c r="F44" t="str">
        <v>2002T</v>
      </c>
      <c r="G44">
        <v>1981</v>
      </c>
      <c r="I44" t="str">
        <v>BRALCO METALS</v>
      </c>
    </row>
    <row r="45" spans="5:9">
      <c r="E45" t="str">
        <v>Rams</v>
      </c>
      <c r="F45" t="str">
        <v>2003T</v>
      </c>
      <c r="G45">
        <v>1994</v>
      </c>
      <c r="I45" t="str">
        <v>BRIJ SYSTEMS, LLC</v>
      </c>
    </row>
    <row r="46" spans="5:9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>
      <c r="E49" t="str">
        <v>Shars</v>
      </c>
      <c r="F49" t="str">
        <v>3PR</v>
      </c>
      <c r="G49">
        <v>2279</v>
      </c>
      <c r="I49" t="str">
        <v>CARLSON COMPANY, INC.</v>
      </c>
    </row>
    <row r="50" spans="5:9">
      <c r="E50" t="str">
        <v>Spi</v>
      </c>
      <c r="F50" t="str">
        <v>3R</v>
      </c>
      <c r="G50">
        <v>2282</v>
      </c>
      <c r="I50" t="str">
        <v>CASTLE METALS</v>
      </c>
    </row>
    <row r="51" spans="5:9">
      <c r="E51" t="str">
        <v>Starrett</v>
      </c>
      <c r="F51" t="str">
        <v>3RJ</v>
      </c>
      <c r="G51">
        <v>2325</v>
      </c>
      <c r="I51" t="str">
        <v>CE MACHINE CO.</v>
      </c>
    </row>
    <row r="52" spans="5:9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>
      <c r="E58" t="str">
        <v>Wilson</v>
      </c>
      <c r="F58" t="str">
        <v>4JS</v>
      </c>
      <c r="G58">
        <v>3746</v>
      </c>
      <c r="I58" t="str">
        <v>CLARK MANUFACTURING</v>
      </c>
    </row>
    <row r="59" spans="5:9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>
      <c r="E62">
        <v>0</v>
      </c>
      <c r="F62" t="str">
        <v>4TT</v>
      </c>
      <c r="G62">
        <v>4385</v>
      </c>
      <c r="I62" t="str">
        <v>COMPLEXX MACHINING</v>
      </c>
    </row>
    <row r="63" spans="5:9">
      <c r="F63" t="str">
        <v>4TTBB</v>
      </c>
      <c r="G63">
        <v>4427</v>
      </c>
      <c r="I63" t="str">
        <v>COX MACHINE, INC - HARPER DIV</v>
      </c>
    </row>
    <row r="64" spans="5:9">
      <c r="F64" t="str">
        <v>504-T</v>
      </c>
      <c r="G64">
        <v>4783</v>
      </c>
      <c r="I64" t="str">
        <v>COX MACHINE, INC - WICHITA DIV</v>
      </c>
    </row>
    <row r="65" spans="6:9">
      <c r="F65" t="str">
        <v>524T</v>
      </c>
      <c r="G65">
        <v>4927</v>
      </c>
      <c r="I65" t="str">
        <v>CROSS MANUFACTURING - HAYS DIVISION</v>
      </c>
    </row>
    <row r="66" spans="6:9">
      <c r="F66" t="str">
        <v>5JR</v>
      </c>
      <c r="G66">
        <v>5042</v>
      </c>
      <c r="I66" t="str">
        <v>CROSS MFG., INC. LEWIS DIVISION</v>
      </c>
    </row>
    <row r="67" spans="6:9">
      <c r="F67" t="str">
        <v>5TTARB</v>
      </c>
      <c r="G67">
        <v>5216</v>
      </c>
      <c r="I67" t="str">
        <v>D &amp; D MACHINE, INC.</v>
      </c>
    </row>
    <row r="68" spans="6:9">
      <c r="F68" t="str">
        <v>670H</v>
      </c>
      <c r="G68">
        <v>5218</v>
      </c>
      <c r="I68" t="str">
        <v>D &amp; S MANUFACTURING</v>
      </c>
    </row>
    <row r="69" spans="6:9">
      <c r="F69" t="str">
        <v>900-387 DNT</v>
      </c>
      <c r="G69">
        <v>5282</v>
      </c>
      <c r="I69" t="str">
        <v>DIVERSIFIED SERVICES</v>
      </c>
    </row>
    <row r="70" spans="6:9">
      <c r="F70" t="str">
        <v>940-131</v>
      </c>
      <c r="G70">
        <v>5431</v>
      </c>
      <c r="I70" t="str">
        <v>D-J AEROSPACE, INC. PHILIPPINES</v>
      </c>
    </row>
    <row r="71" spans="6:9">
      <c r="F71" t="str">
        <v>A644T</v>
      </c>
      <c r="G71">
        <v>5531</v>
      </c>
      <c r="I71" t="str">
        <v>D-J ENGINEERING, INC.</v>
      </c>
    </row>
    <row r="72" spans="6:9">
      <c r="F72" t="str">
        <v>A656T</v>
      </c>
      <c r="G72">
        <v>5942</v>
      </c>
      <c r="I72" t="str">
        <v>D-J EXTRUDING</v>
      </c>
    </row>
    <row r="73" spans="6:9">
      <c r="F73" t="str">
        <v>AERM</v>
      </c>
      <c r="G73">
        <v>5966</v>
      </c>
      <c r="I73" t="str">
        <v>DL DYNAMIC LLC</v>
      </c>
    </row>
    <row r="74" spans="6:9">
      <c r="F74" t="str">
        <v>AT130</v>
      </c>
      <c r="G74">
        <v>6532</v>
      </c>
      <c r="I74" t="str">
        <v>DYNAMIC N/C L.L.C.</v>
      </c>
    </row>
    <row r="75" spans="6:9">
      <c r="F75" t="str">
        <v>AT130R</v>
      </c>
      <c r="G75">
        <v>6561</v>
      </c>
      <c r="I75" t="str">
        <v>ELECTROMECH TECHNOLOGIES</v>
      </c>
    </row>
    <row r="76" spans="6:9">
      <c r="F76" t="str">
        <v>AT130RDS</v>
      </c>
      <c r="G76">
        <v>6579</v>
      </c>
      <c r="I76" t="str">
        <v>ELECTRO-METHODS, INC.</v>
      </c>
    </row>
    <row r="77" spans="6:9">
      <c r="F77" t="str">
        <v>AT130SRDS</v>
      </c>
      <c r="G77">
        <v>6589</v>
      </c>
      <c r="I77" t="str">
        <v>ELEMENT WICHITA</v>
      </c>
    </row>
    <row r="78" spans="6:9">
      <c r="F78" t="str">
        <v>ATS130HD</v>
      </c>
      <c r="G78">
        <v>6602</v>
      </c>
      <c r="I78" t="str">
        <v>ETEZAZI INDUSTRIES</v>
      </c>
    </row>
    <row r="79" spans="6:9">
      <c r="F79" t="str">
        <v>B503-R</v>
      </c>
      <c r="G79">
        <v>6603</v>
      </c>
      <c r="I79" t="str">
        <v>EXACTA AEROSPACE, INC.</v>
      </c>
    </row>
    <row r="80" spans="6:9">
      <c r="F80" t="str">
        <v>B523T</v>
      </c>
      <c r="G80">
        <v>6607</v>
      </c>
      <c r="I80" t="str">
        <v>EXCEL INDUSTRIES</v>
      </c>
    </row>
    <row r="81" spans="6:9">
      <c r="F81" t="str">
        <v>BT130R</v>
      </c>
      <c r="G81">
        <v>6608</v>
      </c>
      <c r="I81" t="str">
        <v>FASTENAIR, LLC</v>
      </c>
    </row>
    <row r="82" spans="6:9">
      <c r="F82" t="str">
        <v>C12A</v>
      </c>
      <c r="G82">
        <v>6624</v>
      </c>
      <c r="I82" t="str">
        <v>FIGEAC AERO</v>
      </c>
    </row>
    <row r="83" spans="6:9">
      <c r="F83" t="str">
        <v>C12AR</v>
      </c>
      <c r="G83">
        <v>6627</v>
      </c>
      <c r="I83" t="str">
        <v>FMW INC.</v>
      </c>
    </row>
    <row r="84" spans="6:9">
      <c r="F84" t="str">
        <v>C505R</v>
      </c>
      <c r="G84">
        <v>6761</v>
      </c>
      <c r="I84" t="str">
        <v>FREEMAN COMPANY</v>
      </c>
    </row>
    <row r="85" spans="6:9">
      <c r="F85" t="str">
        <v>C523-S</v>
      </c>
      <c r="G85">
        <v>6911</v>
      </c>
      <c r="I85" t="str">
        <v>GABRIEL NATOLITANO</v>
      </c>
    </row>
    <row r="86" spans="6:9">
      <c r="F86" t="str">
        <v>CE3R</v>
      </c>
      <c r="G86">
        <v>7013</v>
      </c>
      <c r="I86" t="str">
        <v>GARMIN</v>
      </c>
    </row>
    <row r="87" spans="6:9">
      <c r="F87" t="str">
        <v>Clark CR-1</v>
      </c>
      <c r="G87">
        <v>7039</v>
      </c>
      <c r="I87" t="str">
        <v>GKN PRECISION MACHINING, INC.</v>
      </c>
    </row>
    <row r="88" spans="6:9">
      <c r="F88" t="str">
        <v>CPT</v>
      </c>
      <c r="G88">
        <v>7196</v>
      </c>
      <c r="I88" t="str">
        <v>GLOBE ENGINEERING CO.</v>
      </c>
    </row>
    <row r="89" spans="6:9">
      <c r="F89" t="str">
        <v>CPTXL</v>
      </c>
      <c r="G89">
        <v>7215</v>
      </c>
      <c r="I89" t="str">
        <v>GODDARD MACHINE</v>
      </c>
    </row>
    <row r="90" spans="6:9">
      <c r="F90" t="str">
        <v>CR-3a</v>
      </c>
      <c r="G90">
        <v>7235</v>
      </c>
      <c r="I90" t="str">
        <v>H &amp; R PARTS CO., INC.</v>
      </c>
    </row>
    <row r="91" spans="6:9">
      <c r="F91" t="str">
        <v>CR-3e</v>
      </c>
      <c r="G91">
        <v>7313</v>
      </c>
      <c r="I91" t="str">
        <v>H.M. DUNN AEROSYSTEMS</v>
      </c>
    </row>
    <row r="92" spans="6:9">
      <c r="F92" t="str">
        <v>CR-8</v>
      </c>
      <c r="G92">
        <v>7326</v>
      </c>
      <c r="I92" t="str">
        <v>HARLOW AEROSTRUCTURES LLC</v>
      </c>
    </row>
    <row r="93" spans="6:9">
      <c r="F93" t="str">
        <v>CRX-3</v>
      </c>
      <c r="G93">
        <v>7336</v>
      </c>
      <c r="I93" t="str">
        <v>HUSQVARNA FORESTRY PRODUCTS</v>
      </c>
    </row>
    <row r="94" spans="6:9">
      <c r="F94" t="str">
        <v>CV-600A</v>
      </c>
      <c r="G94">
        <v>7363</v>
      </c>
      <c r="I94" t="str">
        <v>INTEGRATED COMPONENTS, INC.</v>
      </c>
    </row>
    <row r="95" spans="6:9">
      <c r="F95" t="str">
        <v>CV-600MBDL</v>
      </c>
      <c r="G95">
        <v>7549</v>
      </c>
      <c r="I95" t="str">
        <v>JOHNSON CONTROLS-YORK</v>
      </c>
    </row>
    <row r="96" spans="6:9">
      <c r="F96" t="str">
        <v>DCR-12</v>
      </c>
      <c r="G96">
        <v>7597</v>
      </c>
      <c r="I96" t="str">
        <v>JOHNSON GAGE &amp; INSPECTION, INC.</v>
      </c>
    </row>
    <row r="97" spans="6:9">
      <c r="F97" t="str">
        <v>DCR-8</v>
      </c>
      <c r="G97">
        <v>7692</v>
      </c>
      <c r="I97" t="str">
        <v>KANSAS GUN DRILLING, INC.</v>
      </c>
    </row>
    <row r="98" spans="6:9">
      <c r="F98" t="str">
        <v>DRM8</v>
      </c>
      <c r="G98">
        <v>7710</v>
      </c>
      <c r="I98" t="str">
        <v>KISER MANUFACTURING CO., INC.</v>
      </c>
    </row>
    <row r="99" spans="6:9">
      <c r="F99" t="str">
        <v>Dsr-8</v>
      </c>
      <c r="G99">
        <v>7734</v>
      </c>
      <c r="I99" t="str">
        <v>KMG TOOL &amp; MACHINE</v>
      </c>
    </row>
    <row r="100" spans="6:9">
      <c r="F100" t="str">
        <v>GENERIC 164</v>
      </c>
      <c r="G100">
        <v>7772</v>
      </c>
      <c r="I100" t="str">
        <v>KOCH-GLITSCH LP</v>
      </c>
    </row>
    <row r="101" spans="6:9">
      <c r="F101" t="str">
        <v>GENERIC 574</v>
      </c>
      <c r="G101">
        <v>7799</v>
      </c>
      <c r="I101" t="str">
        <v>L S INDUSTRIES</v>
      </c>
    </row>
    <row r="102" spans="6:9">
      <c r="F102" t="str">
        <v>HR-100</v>
      </c>
      <c r="G102">
        <v>7869</v>
      </c>
      <c r="I102" t="str">
        <v>LIGHTNING AEROSPACE LLC</v>
      </c>
    </row>
    <row r="103" spans="6:9">
      <c r="F103" t="str">
        <v>HR-150</v>
      </c>
      <c r="G103">
        <v>7960</v>
      </c>
      <c r="I103" t="str">
        <v>LMI AEROSPACE ESTHNER</v>
      </c>
    </row>
    <row r="104" spans="6:9">
      <c r="F104" t="str">
        <v>HR-150A</v>
      </c>
      <c r="G104">
        <v>8092</v>
      </c>
      <c r="I104" t="str">
        <v>LMI AEROSPACE HILLSIDE</v>
      </c>
    </row>
    <row r="105" spans="6:9">
      <c r="F105" t="str">
        <v>HR-200</v>
      </c>
      <c r="G105">
        <v>8535</v>
      </c>
      <c r="I105" t="str">
        <v>LYONS MANUFACTURING</v>
      </c>
    </row>
    <row r="106" spans="6:9">
      <c r="F106" t="str">
        <v>HR-300</v>
      </c>
      <c r="G106">
        <v>8556</v>
      </c>
      <c r="I106" t="str">
        <v>MANUFACTURING DEVELOPMENT, INC.</v>
      </c>
    </row>
    <row r="107" spans="6:9">
      <c r="F107" t="str">
        <v>HR-521</v>
      </c>
      <c r="G107">
        <v>8975</v>
      </c>
      <c r="I107" t="str">
        <v>MANUFACTURING SOLUTIONS</v>
      </c>
    </row>
    <row r="108" spans="6:9">
      <c r="F108" t="str">
        <v>HRM-45DT</v>
      </c>
      <c r="G108">
        <v>9287</v>
      </c>
      <c r="I108" t="str">
        <v>MARTINREA RIVERSIDE, LLC</v>
      </c>
    </row>
    <row r="109" spans="6:9">
      <c r="F109" t="str">
        <v>I-4S</v>
      </c>
      <c r="G109">
        <v>9321</v>
      </c>
      <c r="I109" t="str">
        <v>MAX AEROSTRUCTURES, LLC</v>
      </c>
    </row>
    <row r="110" spans="6:9">
      <c r="F110" t="str">
        <v>II</v>
      </c>
      <c r="G110">
        <v>9329</v>
      </c>
      <c r="I110" t="str">
        <v>MAYNARD INC.</v>
      </c>
    </row>
    <row r="111" spans="6:9">
      <c r="F111" t="str">
        <v>Indentron</v>
      </c>
      <c r="G111">
        <v>9688</v>
      </c>
      <c r="I111" t="str">
        <v>MAYNARD INC. - WICHITA DIV.</v>
      </c>
    </row>
    <row r="112" spans="6:9">
      <c r="F112" t="str">
        <v>Indentron NI-300C</v>
      </c>
      <c r="G112">
        <v>9873</v>
      </c>
      <c r="I112" t="str">
        <v>McGINTY MACHINE CO., INC.</v>
      </c>
    </row>
    <row r="113" spans="6:9">
      <c r="F113" t="str">
        <v>ISH-BRV-U</v>
      </c>
      <c r="G113">
        <v>9927</v>
      </c>
      <c r="I113" t="str">
        <v>MERRITT PREFERRED COMPONENTS, INC.</v>
      </c>
    </row>
    <row r="114" spans="6:9">
      <c r="F114" t="str">
        <v>M-51ST</v>
      </c>
      <c r="G114">
        <v>9949</v>
      </c>
      <c r="I114" t="str">
        <v>METAL ARTS MACHINE CO. LLC</v>
      </c>
    </row>
    <row r="115" spans="6:9">
      <c r="F115" t="str">
        <v>M51ST 9120-251</v>
      </c>
      <c r="G115">
        <v>10549</v>
      </c>
      <c r="I115" t="str">
        <v>METAL FINISHING CO.</v>
      </c>
    </row>
    <row r="116" spans="6:9">
      <c r="F116" t="str">
        <v>ME-2</v>
      </c>
      <c r="G116">
        <v>10573</v>
      </c>
      <c r="I116" t="str">
        <v>METAL FINISHING CO. -McLean</v>
      </c>
    </row>
    <row r="117" spans="6:9">
      <c r="F117" t="str">
        <v>Misawa Seiki</v>
      </c>
      <c r="G117">
        <v>10624</v>
      </c>
      <c r="I117" t="str">
        <v>METAL FORMING INC.</v>
      </c>
    </row>
    <row r="118" spans="6:9">
      <c r="F118" t="str">
        <v>MZ</v>
      </c>
      <c r="G118">
        <v>10936</v>
      </c>
      <c r="I118" t="str">
        <v>METALFORM INDUSTRIES, INC.</v>
      </c>
    </row>
    <row r="119" spans="6:9">
      <c r="F119" t="str">
        <v>NI-300C</v>
      </c>
      <c r="G119">
        <v>11326</v>
      </c>
      <c r="I119" t="str">
        <v>MFCO HEAT TREAT - HARRY LOCATION</v>
      </c>
    </row>
    <row r="120" spans="6:9">
      <c r="F120" t="str">
        <v>NI-400C</v>
      </c>
      <c r="G120">
        <v>13187</v>
      </c>
      <c r="I120" t="str">
        <v>MFCO-Aluminum Heat Treatment- Murdock</v>
      </c>
    </row>
    <row r="121" spans="6:9">
      <c r="F121" t="str">
        <v>NI-600</v>
      </c>
      <c r="G121">
        <v>13205</v>
      </c>
      <c r="I121" t="str">
        <v>Michael Moore</v>
      </c>
    </row>
    <row r="122" spans="6:9">
      <c r="F122" t="str">
        <v>NI-600C</v>
      </c>
      <c r="G122">
        <v>13696</v>
      </c>
      <c r="I122" t="str">
        <v>MICO MACHINE COMPANY</v>
      </c>
    </row>
    <row r="123" spans="6:9">
      <c r="F123" t="str">
        <v>NRSL</v>
      </c>
      <c r="G123">
        <v>14301</v>
      </c>
      <c r="I123" t="str">
        <v>MILLENNIUM MACHINE &amp; TOOL INC.</v>
      </c>
    </row>
    <row r="124" spans="6:9">
      <c r="F124" t="str">
        <v>P526T</v>
      </c>
      <c r="G124">
        <v>14326</v>
      </c>
      <c r="I124" t="str">
        <v>MILLING PRECISION TOOL</v>
      </c>
    </row>
    <row r="125" spans="6:9">
      <c r="F125" t="str">
        <v>PHT-6005</v>
      </c>
      <c r="G125">
        <v>14348</v>
      </c>
      <c r="I125" t="str">
        <v>MPM, INC.</v>
      </c>
    </row>
    <row r="126" spans="6:9">
      <c r="F126" t="str">
        <v>Portable</v>
      </c>
      <c r="G126">
        <v>14358</v>
      </c>
      <c r="I126" t="str">
        <v>NATOMA MANUFACTURING, LLC</v>
      </c>
    </row>
    <row r="127" spans="6:9">
      <c r="F127" t="str">
        <v>R2150-1</v>
      </c>
      <c r="G127">
        <v>14366</v>
      </c>
      <c r="I127" t="str">
        <v>NIAR - QUALITY CONTROL &amp; STRAIN GAGE LAB</v>
      </c>
    </row>
    <row r="128" spans="6:9">
      <c r="F128" t="str">
        <v>R574T</v>
      </c>
      <c r="G128">
        <v>15382</v>
      </c>
      <c r="I128" t="str">
        <v>NIAR WERX MRO</v>
      </c>
    </row>
    <row r="129" spans="6:9">
      <c r="F129" t="str">
        <v>RB2000</v>
      </c>
      <c r="G129">
        <v>15424</v>
      </c>
      <c r="I129" t="str">
        <v>NWI KANSAS CITY LLC</v>
      </c>
    </row>
    <row r="130" spans="6:9">
      <c r="F130" t="str">
        <v>RH-150</v>
      </c>
      <c r="G130">
        <v>16452</v>
      </c>
      <c r="I130" t="str">
        <v>NWI WICHITA LLC</v>
      </c>
    </row>
    <row r="131" spans="6:9">
      <c r="F131" t="str">
        <v>RH2150</v>
      </c>
      <c r="G131">
        <v>16502</v>
      </c>
      <c r="I131" t="str">
        <v>OMNI AEROSPACE - WICHITA DIVISION</v>
      </c>
    </row>
    <row r="132" spans="6:9">
      <c r="F132" t="str">
        <v>RH-45</v>
      </c>
      <c r="G132">
        <v>16870</v>
      </c>
      <c r="I132" t="str">
        <v>ORIZON AEROSTRUCTURES PROCESSING</v>
      </c>
    </row>
    <row r="133" spans="6:9">
      <c r="F133" t="str">
        <v>RPT1</v>
      </c>
      <c r="G133">
        <v>17527</v>
      </c>
      <c r="I133" t="str">
        <v>OXWELL, INC.</v>
      </c>
    </row>
    <row r="134" spans="6:9">
      <c r="F134" t="str">
        <v>RPT2</v>
      </c>
      <c r="G134">
        <v>17549</v>
      </c>
      <c r="I134" t="str">
        <v>PERFEKTA, INC.</v>
      </c>
    </row>
    <row r="135" spans="6:9">
      <c r="F135" t="str">
        <v>RSD Mag</v>
      </c>
      <c r="G135">
        <v>17557</v>
      </c>
      <c r="I135" t="str">
        <v>PRECISION PRODUCTS</v>
      </c>
    </row>
    <row r="136" spans="6:9">
      <c r="F136" t="str">
        <v>TH550</v>
      </c>
      <c r="G136">
        <v>20257</v>
      </c>
      <c r="I136" t="str">
        <v>PRECISION TOOL IMPROVEMENTS CO.</v>
      </c>
    </row>
    <row r="137" spans="6:9">
      <c r="F137" t="str">
        <v>Tru-Blue II</v>
      </c>
      <c r="G137">
        <v>20638</v>
      </c>
      <c r="I137" t="str">
        <v>PREMIER PROCESSING</v>
      </c>
    </row>
    <row r="138" spans="6:9">
      <c r="F138" t="str">
        <v>Versitron</v>
      </c>
      <c r="G138">
        <v>22098</v>
      </c>
      <c r="I138" t="str">
        <v>PRODUCT MANUFACTURING CORPORATION</v>
      </c>
    </row>
    <row r="139" spans="6:9">
      <c r="F139" t="str">
        <v>WH2002T</v>
      </c>
      <c r="G139">
        <v>22603</v>
      </c>
      <c r="I139" t="str">
        <v>PRODUCT MANUFACTURING CORPORATION - PARK CITY</v>
      </c>
    </row>
    <row r="140" spans="6:9">
      <c r="F140" t="str">
        <v>Wilson Rockwell 2002T Automated</v>
      </c>
      <c r="G140">
        <v>25275</v>
      </c>
      <c r="I140" t="str">
        <v>PROFESSIONAL MACHINE &amp; TOOL</v>
      </c>
    </row>
    <row r="141" spans="6:9">
      <c r="G141">
        <v>30244</v>
      </c>
      <c r="I141" t="str">
        <v>PRYER AEROSPACE</v>
      </c>
    </row>
    <row r="142" spans="6:9">
      <c r="G142">
        <v>34497</v>
      </c>
      <c r="I142" t="str">
        <v>QUIK TEK MACHINING LLC</v>
      </c>
    </row>
    <row r="143" spans="6:9">
      <c r="G143">
        <v>38099</v>
      </c>
      <c r="I143" t="str">
        <v>R &amp; R AEROSPACE</v>
      </c>
    </row>
    <row r="144" spans="6:9">
      <c r="G144">
        <v>38699</v>
      </c>
      <c r="I144" t="str">
        <v>REGASA AEROSPACE, INC.</v>
      </c>
    </row>
    <row r="145" spans="7:9">
      <c r="G145">
        <v>39000</v>
      </c>
      <c r="I145" t="str">
        <v>RICKMAN MACHINE CO.</v>
      </c>
    </row>
    <row r="146" spans="7:9">
      <c r="G146">
        <v>39100</v>
      </c>
      <c r="I146" t="str">
        <v>S&amp;S MANUFACTURING, INC</v>
      </c>
    </row>
    <row r="147" spans="7:9">
      <c r="G147">
        <v>39200</v>
      </c>
      <c r="I147" t="str">
        <v>SHACKELFORD MACHINE</v>
      </c>
    </row>
    <row r="148" spans="7:9">
      <c r="G148">
        <v>45505</v>
      </c>
      <c r="I148" t="str">
        <v>SHIELD INDUSTRIES INC.</v>
      </c>
    </row>
    <row r="149" spans="7:9">
      <c r="G149">
        <v>74111</v>
      </c>
      <c r="I149" t="str">
        <v>SHUTTLE AEROSPACE, INC.</v>
      </c>
    </row>
    <row r="150" spans="7:9">
      <c r="G150">
        <v>74901</v>
      </c>
      <c r="I150" t="str">
        <v>SIMON J MACHINE TOOL LLC</v>
      </c>
    </row>
    <row r="151" spans="7:9">
      <c r="G151">
        <v>75712</v>
      </c>
      <c r="I151" t="str">
        <v>SINCLAIR &amp; SONS CUSTOM WELDING &amp; MACH.</v>
      </c>
    </row>
    <row r="152" spans="7:9">
      <c r="G152">
        <v>76309</v>
      </c>
      <c r="I152" t="str">
        <v>STRAIGHTLINE HDD</v>
      </c>
    </row>
    <row r="153" spans="7:9">
      <c r="G153">
        <v>78502</v>
      </c>
      <c r="I153" t="str">
        <v>SULLIVAN PRECISION METAL FINISHING</v>
      </c>
    </row>
    <row r="154" spans="7:9">
      <c r="G154">
        <v>80728</v>
      </c>
      <c r="I154" t="str">
        <v>SUNSHINE METALS, INC.</v>
      </c>
    </row>
    <row r="155" spans="7:9">
      <c r="G155">
        <v>81278</v>
      </c>
      <c r="I155" t="str">
        <v>SUPPLY TECHNOLOGIES LLC</v>
      </c>
    </row>
    <row r="156" spans="7:9">
      <c r="G156">
        <v>86086</v>
      </c>
      <c r="I156" t="str">
        <v>TAKAKO AMERICA CO., INC</v>
      </c>
    </row>
    <row r="157" spans="7:9">
      <c r="G157">
        <v>99188</v>
      </c>
      <c r="I157" t="str">
        <v>TECT - PARK CITY</v>
      </c>
    </row>
    <row r="158" spans="7:9">
      <c r="G158">
        <v>99242</v>
      </c>
      <c r="I158" t="str">
        <v>TECT AEROSPACE WELLINGTON</v>
      </c>
    </row>
    <row r="159" spans="7:9">
      <c r="G159">
        <v>124528</v>
      </c>
      <c r="I159" t="str">
        <v>TEXTRON AVIATION INC.</v>
      </c>
    </row>
    <row r="160" spans="7:9">
      <c r="G160">
        <v>160648</v>
      </c>
      <c r="I160" t="str">
        <v>THE BRADBURY COMPANY</v>
      </c>
    </row>
    <row r="161" spans="7:9">
      <c r="G161">
        <v>165185</v>
      </c>
      <c r="I161" t="str">
        <v>THYSSENKRUPP AEROSPACE - TMX</v>
      </c>
    </row>
    <row r="162" spans="7:9">
      <c r="G162">
        <v>165186</v>
      </c>
      <c r="I162" t="str">
        <v>TRAN AEROSPACE</v>
      </c>
    </row>
    <row r="163" spans="7:9">
      <c r="G163">
        <v>165279</v>
      </c>
      <c r="I163" t="str">
        <v>TRINITY PRECISION INC.</v>
      </c>
    </row>
    <row r="164" spans="7:9">
      <c r="G164">
        <v>174505</v>
      </c>
      <c r="I164" t="str">
        <v>TURBOCHARGER SOLUTIONS</v>
      </c>
    </row>
    <row r="165" spans="7:9">
      <c r="G165">
        <v>175446</v>
      </c>
      <c r="I165" t="str">
        <v>TW METALS, LLC - KANSAS DIVISION</v>
      </c>
    </row>
    <row r="166" spans="7:9">
      <c r="G166">
        <v>181576</v>
      </c>
      <c r="I166" t="str">
        <v>UNITED MACHINE COMPANY</v>
      </c>
    </row>
    <row r="167" spans="7:9">
      <c r="G167">
        <v>181584</v>
      </c>
      <c r="I167" t="str">
        <v>VANAM TOOL &amp; ENGINEERING</v>
      </c>
    </row>
    <row r="168" spans="7:9">
      <c r="G168">
        <v>181595</v>
      </c>
      <c r="I168" t="str">
        <v>WALDEN'S MACHINE, LLC</v>
      </c>
    </row>
    <row r="169" spans="7:9">
      <c r="G169">
        <v>181596</v>
      </c>
      <c r="I169" t="str">
        <v>WESCON CONTROLS</v>
      </c>
    </row>
    <row r="170" spans="7:9">
      <c r="G170">
        <v>181597</v>
      </c>
      <c r="I170" t="str">
        <v>WICHITA AEROSPACE SPARES, INC.</v>
      </c>
    </row>
    <row r="171" spans="7:9">
      <c r="G171">
        <v>181613</v>
      </c>
      <c r="I171" t="str">
        <v>WICHITA MACHINE PRODUCTS</v>
      </c>
    </row>
    <row r="172" spans="7:9">
      <c r="G172">
        <v>185637</v>
      </c>
      <c r="I172" t="str">
        <v>WILDE TOOL CO., INC.</v>
      </c>
    </row>
    <row r="173" spans="7:9">
      <c r="G173">
        <v>185674</v>
      </c>
      <c r="I173" t="str">
        <v>ZYXAXIS INC.</v>
      </c>
    </row>
    <row r="174" spans="7:9">
      <c r="G174">
        <v>185707</v>
      </c>
    </row>
    <row r="175" spans="7:9">
      <c r="G175">
        <v>185708</v>
      </c>
    </row>
    <row r="176" spans="7:9">
      <c r="G176">
        <v>191641</v>
      </c>
    </row>
    <row r="177" spans="7:7">
      <c r="G177">
        <v>191664</v>
      </c>
    </row>
    <row r="178" spans="7:7">
      <c r="G178">
        <v>195949</v>
      </c>
    </row>
    <row r="179" spans="7:7">
      <c r="G179">
        <v>216238</v>
      </c>
    </row>
    <row r="180" spans="7:7">
      <c r="G180">
        <v>216239</v>
      </c>
    </row>
    <row r="181" spans="7:7">
      <c r="G181">
        <v>221854</v>
      </c>
    </row>
    <row r="182" spans="7:7">
      <c r="G182">
        <v>231889</v>
      </c>
    </row>
    <row r="183" spans="7:7">
      <c r="G183">
        <v>271550</v>
      </c>
    </row>
    <row r="184" spans="7:7">
      <c r="G184">
        <v>671121</v>
      </c>
    </row>
    <row r="185" spans="7:7">
      <c r="G185">
        <v>931071</v>
      </c>
    </row>
    <row r="186" spans="7:7">
      <c r="G186">
        <v>961704</v>
      </c>
    </row>
    <row r="187" spans="7:7">
      <c r="G187">
        <v>971755</v>
      </c>
    </row>
    <row r="188" spans="7:7">
      <c r="G188">
        <v>992144</v>
      </c>
    </row>
    <row r="189" spans="7:7">
      <c r="G189">
        <v>2111719</v>
      </c>
    </row>
    <row r="190" spans="7:7">
      <c r="G190">
        <v>2131838</v>
      </c>
    </row>
    <row r="191" spans="7:7">
      <c r="G191">
        <v>2192283</v>
      </c>
    </row>
    <row r="192" spans="7:7">
      <c r="G192">
        <v>2192284</v>
      </c>
    </row>
    <row r="193" spans="7:7">
      <c r="G193">
        <v>2192285</v>
      </c>
    </row>
    <row r="194" spans="7:7">
      <c r="G194">
        <v>2192286</v>
      </c>
    </row>
    <row r="195" spans="7:7">
      <c r="G195">
        <v>9120251</v>
      </c>
    </row>
    <row r="196" spans="7:7">
      <c r="G196">
        <v>30061037</v>
      </c>
    </row>
    <row r="197" spans="7:7">
      <c r="G197">
        <v>60413007</v>
      </c>
    </row>
    <row r="198" spans="7:7">
      <c r="G198">
        <v>92418012</v>
      </c>
    </row>
    <row r="199" spans="7:7">
      <c r="G199">
        <v>94019101</v>
      </c>
    </row>
    <row r="200" spans="7:7">
      <c r="G200">
        <v>94265110</v>
      </c>
    </row>
    <row r="201" spans="7:7">
      <c r="G201">
        <v>94282110</v>
      </c>
    </row>
    <row r="202" spans="7:7">
      <c r="G202">
        <v>97325508</v>
      </c>
    </row>
    <row r="203" spans="7:7">
      <c r="G203">
        <v>97351607</v>
      </c>
    </row>
    <row r="204" spans="7:7">
      <c r="G204">
        <v>97352503</v>
      </c>
    </row>
    <row r="205" spans="7:7">
      <c r="G205">
        <v>97383408</v>
      </c>
    </row>
    <row r="206" spans="7:7">
      <c r="G206">
        <v>97394803</v>
      </c>
    </row>
    <row r="207" spans="7:7">
      <c r="G207">
        <v>97487903</v>
      </c>
    </row>
    <row r="208" spans="7:7">
      <c r="G208">
        <v>20050401004</v>
      </c>
    </row>
    <row r="209" spans="7:7">
      <c r="G209" t="str">
        <v>0001664</v>
      </c>
    </row>
    <row r="210" spans="7:7">
      <c r="G210" t="str">
        <v>0001671</v>
      </c>
    </row>
    <row r="211" spans="7:7">
      <c r="G211" t="str">
        <v>0063302</v>
      </c>
    </row>
    <row r="212" spans="7:7">
      <c r="G212" t="str">
        <v>0080302</v>
      </c>
    </row>
    <row r="213" spans="7:7">
      <c r="G213" t="str">
        <v>01351</v>
      </c>
    </row>
    <row r="214" spans="7:7">
      <c r="G214" t="str">
        <v>01367</v>
      </c>
    </row>
    <row r="215" spans="7:7">
      <c r="G215" t="str">
        <v>018</v>
      </c>
    </row>
    <row r="216" spans="7:7">
      <c r="G216" t="str">
        <v>01981404</v>
      </c>
    </row>
    <row r="217" spans="7:7">
      <c r="G217" t="str">
        <v>020901</v>
      </c>
    </row>
    <row r="218" spans="7:7">
      <c r="G218" t="str">
        <v>022697</v>
      </c>
    </row>
    <row r="219" spans="7:7">
      <c r="G219" t="str">
        <v>03448</v>
      </c>
    </row>
    <row r="220" spans="7:7">
      <c r="G220" t="str">
        <v>03753</v>
      </c>
    </row>
    <row r="221" spans="7:7">
      <c r="G221" t="str">
        <v>0420</v>
      </c>
    </row>
    <row r="222" spans="7:7">
      <c r="G222" t="str">
        <v>05523</v>
      </c>
    </row>
    <row r="223" spans="7:7">
      <c r="G223" t="str">
        <v>063284</v>
      </c>
    </row>
    <row r="224" spans="7:7">
      <c r="G224" t="str">
        <v>06611</v>
      </c>
    </row>
    <row r="225" spans="7:7">
      <c r="G225" t="str">
        <v>06616</v>
      </c>
    </row>
    <row r="226" spans="7:7">
      <c r="G226" t="str">
        <v>0693</v>
      </c>
    </row>
    <row r="227" spans="7:7">
      <c r="G227" t="str">
        <v>07664</v>
      </c>
    </row>
    <row r="228" spans="7:7">
      <c r="G228" t="str">
        <v>07677</v>
      </c>
    </row>
    <row r="229" spans="7:7">
      <c r="G229" t="str">
        <v>07731</v>
      </c>
    </row>
    <row r="230" spans="7:7">
      <c r="G230" t="str">
        <v>083654</v>
      </c>
    </row>
    <row r="231" spans="7:7">
      <c r="G231" t="str">
        <v>083656</v>
      </c>
    </row>
    <row r="232" spans="7:7">
      <c r="G232" t="str">
        <v>083657</v>
      </c>
    </row>
    <row r="233" spans="7:7">
      <c r="G233" t="str">
        <v>083751</v>
      </c>
    </row>
    <row r="234" spans="7:7">
      <c r="G234" t="str">
        <v>083752</v>
      </c>
    </row>
    <row r="235" spans="7:7">
      <c r="G235" t="str">
        <v>083754</v>
      </c>
    </row>
    <row r="236" spans="7:7">
      <c r="G236" t="str">
        <v>08801</v>
      </c>
    </row>
    <row r="237" spans="7:7">
      <c r="G237" t="str">
        <v>08815</v>
      </c>
    </row>
    <row r="238" spans="7:7">
      <c r="G238" t="str">
        <v>09834</v>
      </c>
    </row>
    <row r="239" spans="7:7">
      <c r="G239" t="str">
        <v>09853</v>
      </c>
    </row>
    <row r="240" spans="7:7">
      <c r="G240" t="str">
        <v>12-50082</v>
      </c>
    </row>
    <row r="241" spans="7:7">
      <c r="G241" t="str">
        <v>12-50130</v>
      </c>
    </row>
    <row r="242" spans="7:7">
      <c r="G242" t="str">
        <v>23-0100</v>
      </c>
    </row>
    <row r="243" spans="7:7">
      <c r="G243" t="str">
        <v>34197R</v>
      </c>
    </row>
    <row r="244" spans="7:7">
      <c r="G244" t="str">
        <v>344R</v>
      </c>
    </row>
    <row r="245" spans="7:7">
      <c r="G245" t="str">
        <v>3JR-4058</v>
      </c>
    </row>
    <row r="246" spans="7:7">
      <c r="G246" t="str">
        <v>3JR52</v>
      </c>
    </row>
    <row r="247" spans="7:7">
      <c r="G247" t="str">
        <v>3JR-7342</v>
      </c>
    </row>
    <row r="248" spans="7:7">
      <c r="G248" t="str">
        <v>3JR-97</v>
      </c>
    </row>
    <row r="249" spans="7:7">
      <c r="G249" t="str">
        <v>3JS-898</v>
      </c>
    </row>
    <row r="250" spans="7:7">
      <c r="G250" t="str">
        <v>3JSBB1416</v>
      </c>
    </row>
    <row r="251" spans="7:7">
      <c r="G251" t="str">
        <v>3PR2710</v>
      </c>
    </row>
    <row r="252" spans="7:7">
      <c r="G252" t="str">
        <v>3R1990</v>
      </c>
    </row>
    <row r="253" spans="7:7">
      <c r="G253" t="str">
        <v>40-100177</v>
      </c>
    </row>
    <row r="254" spans="7:7">
      <c r="G254" t="str">
        <v>40-100179   800007252</v>
      </c>
    </row>
    <row r="255" spans="7:7">
      <c r="G255" t="str">
        <v>40-100195</v>
      </c>
    </row>
    <row r="256" spans="7:7">
      <c r="G256" t="str">
        <v>4JR302</v>
      </c>
    </row>
    <row r="257" spans="7:7">
      <c r="G257" t="str">
        <v>4JR-3307</v>
      </c>
    </row>
    <row r="258" spans="7:7">
      <c r="G258" t="str">
        <v>4JR-3952</v>
      </c>
    </row>
    <row r="259" spans="7:7">
      <c r="G259" t="str">
        <v>4JR-4067</v>
      </c>
    </row>
    <row r="260" spans="7:7">
      <c r="G260" t="str">
        <v>4JR-4171</v>
      </c>
    </row>
    <row r="261" spans="7:7">
      <c r="G261" t="str">
        <v>4JR-4491</v>
      </c>
    </row>
    <row r="262" spans="7:7">
      <c r="G262" t="str">
        <v>4JR4833</v>
      </c>
    </row>
    <row r="263" spans="7:7">
      <c r="G263" t="str">
        <v>4JR634</v>
      </c>
    </row>
    <row r="264" spans="7:7">
      <c r="G264" t="str">
        <v>4JSBB-578</v>
      </c>
    </row>
    <row r="265" spans="7:7">
      <c r="G265" t="str">
        <v>574T-10-242149</v>
      </c>
    </row>
    <row r="266" spans="7:7">
      <c r="G266" t="str">
        <v>65074 (10031817)</v>
      </c>
    </row>
    <row r="267" spans="7:7">
      <c r="G267" t="str">
        <v>6633/41-7684</v>
      </c>
    </row>
    <row r="268" spans="7:7">
      <c r="G268" t="str">
        <v>6844/6668</v>
      </c>
    </row>
    <row r="269" spans="7:7">
      <c r="G269" t="str">
        <v>7678/7690</v>
      </c>
    </row>
    <row r="270" spans="7:7">
      <c r="G270" t="str">
        <v>81349 IV</v>
      </c>
    </row>
    <row r="271" spans="7:7">
      <c r="G271" t="str">
        <v>81D185</v>
      </c>
    </row>
    <row r="272" spans="7:7">
      <c r="G272" t="str">
        <v>9391/9392</v>
      </c>
    </row>
    <row r="273" spans="7:7">
      <c r="G273" t="str">
        <v>97352503  LSM-5-053</v>
      </c>
    </row>
    <row r="274" spans="7:7">
      <c r="G274" t="str">
        <v>A130701090</v>
      </c>
    </row>
    <row r="275" spans="7:7">
      <c r="G275" t="str">
        <v>BBC1835</v>
      </c>
    </row>
    <row r="276" spans="7:7">
      <c r="G276" t="str">
        <v>C2642</v>
      </c>
    </row>
    <row r="277" spans="7:7">
      <c r="G277" t="str">
        <v>C2643</v>
      </c>
    </row>
    <row r="278" spans="7:7">
      <c r="G278" t="str">
        <v>C2946</v>
      </c>
    </row>
    <row r="279" spans="7:7">
      <c r="G279" t="str">
        <v>C2995</v>
      </c>
    </row>
    <row r="280" spans="7:7">
      <c r="G280" t="str">
        <v>C3083</v>
      </c>
    </row>
    <row r="281" spans="7:7">
      <c r="G281" t="str">
        <v>C770</v>
      </c>
    </row>
    <row r="282" spans="7:7">
      <c r="G282" t="str">
        <v>CR 16390</v>
      </c>
    </row>
    <row r="283" spans="7:7">
      <c r="G283" t="str">
        <v>CR 9939</v>
      </c>
    </row>
    <row r="284" spans="7:7">
      <c r="G284" t="str">
        <v>CR0066</v>
      </c>
    </row>
    <row r="285" spans="7:7">
      <c r="G285" t="str">
        <v>CR0182</v>
      </c>
    </row>
    <row r="286" spans="7:7">
      <c r="G286" t="str">
        <v>CR0184</v>
      </c>
    </row>
    <row r="287" spans="7:7">
      <c r="G287" t="str">
        <v>CR0205</v>
      </c>
    </row>
    <row r="288" spans="7:7">
      <c r="G288" t="str">
        <v>CR04137</v>
      </c>
    </row>
    <row r="289" spans="7:7">
      <c r="G289" t="str">
        <v>CR-08204</v>
      </c>
    </row>
    <row r="290" spans="7:7">
      <c r="G290" t="str">
        <v>CR13312</v>
      </c>
    </row>
    <row r="291" spans="7:7">
      <c r="G291" t="str">
        <v>CR17401</v>
      </c>
    </row>
    <row r="292" spans="7:7">
      <c r="G292" t="str">
        <v>CR18439</v>
      </c>
    </row>
    <row r="293" spans="7:7">
      <c r="G293" t="str">
        <v>CR21530 W-CPI-7003</v>
      </c>
    </row>
    <row r="294" spans="7:7">
      <c r="G294" t="str">
        <v>CR21545 W-CPI-1600</v>
      </c>
    </row>
    <row r="295" spans="7:7">
      <c r="G295" t="str">
        <v>CR24614</v>
      </c>
    </row>
    <row r="296" spans="7:7">
      <c r="G296" t="str">
        <v>DC7894</v>
      </c>
    </row>
    <row r="297" spans="7:7">
      <c r="G297" t="str">
        <v>DN103</v>
      </c>
    </row>
    <row r="298" spans="7:7">
      <c r="G298" t="str">
        <v>DN597</v>
      </c>
    </row>
    <row r="299" spans="7:7">
      <c r="G299" t="str">
        <v>FW-M-0430</v>
      </c>
    </row>
    <row r="300" spans="7:7">
      <c r="G300" t="str">
        <v>FW-M-0539</v>
      </c>
    </row>
    <row r="301" spans="7:7">
      <c r="G301" t="str">
        <v>HT-0264</v>
      </c>
    </row>
    <row r="302" spans="7:7">
      <c r="G302" t="str">
        <v>HTC-001</v>
      </c>
    </row>
    <row r="303" spans="7:7">
      <c r="G303" t="str">
        <v>J15-4-40</v>
      </c>
    </row>
    <row r="304" spans="7:7">
      <c r="G304" t="str">
        <v>KMC-61</v>
      </c>
    </row>
    <row r="305" spans="7:7">
      <c r="G305" t="str">
        <v>L-10042A</v>
      </c>
    </row>
    <row r="306" spans="7:7">
      <c r="G306" t="str">
        <v>PH41010270037</v>
      </c>
    </row>
    <row r="307" spans="7:7">
      <c r="G307" t="str">
        <v>PMI-0438</v>
      </c>
    </row>
    <row r="308" spans="7:7">
      <c r="G308" t="str">
        <v>R1317</v>
      </c>
    </row>
    <row r="309" spans="7:7">
      <c r="G309" t="str">
        <v>R2000P1541</v>
      </c>
    </row>
    <row r="310" spans="7:7">
      <c r="G310" t="str">
        <v>R2000P9932</v>
      </c>
    </row>
    <row r="311" spans="7:7">
      <c r="G311" t="str">
        <v>R2K0001</v>
      </c>
    </row>
    <row r="312" spans="7:7">
      <c r="G312" t="str">
        <v>R2K-0099</v>
      </c>
    </row>
    <row r="313" spans="7:7">
      <c r="G313" t="str">
        <v>R2K-0152</v>
      </c>
    </row>
    <row r="314" spans="7:7">
      <c r="G314" t="str">
        <v>R500AQ3466</v>
      </c>
    </row>
    <row r="315" spans="7:7">
      <c r="G315" t="str">
        <v>R500DQ8062</v>
      </c>
    </row>
    <row r="316" spans="7:7">
      <c r="G316" t="str">
        <v>R574-00-0580</v>
      </c>
    </row>
    <row r="317" spans="7:7">
      <c r="G317" t="str">
        <v>R574-00-1246</v>
      </c>
    </row>
    <row r="318" spans="7:7">
      <c r="G318" t="str">
        <v>R574-00-1650</v>
      </c>
    </row>
    <row r="319" spans="7:7">
      <c r="G319" t="str">
        <v>S909701</v>
      </c>
    </row>
    <row r="320" spans="7:7">
      <c r="G320" t="str">
        <v>SEK011</v>
      </c>
    </row>
    <row r="321" spans="7:7">
      <c r="G321" t="str">
        <v>SEK050</v>
      </c>
    </row>
    <row r="322" spans="7:7">
      <c r="G322" t="str">
        <v>SEK060</v>
      </c>
    </row>
    <row r="323" spans="7:7">
      <c r="G323" t="str">
        <v>SEK1515</v>
      </c>
    </row>
    <row r="324" spans="7:7">
      <c r="G324" t="str">
        <v>SRA700</v>
      </c>
    </row>
    <row r="325" spans="7:7">
      <c r="G325" t="str">
        <v>TBD2</v>
      </c>
    </row>
    <row r="326" spans="7:7">
      <c r="G326" t="str">
        <v>TBD3</v>
      </c>
    </row>
    <row r="327" spans="7:7">
      <c r="G327" t="str">
        <v>W2K-0059</v>
      </c>
    </row>
    <row r="328" spans="7:7">
      <c r="G328" t="str">
        <v>W2K-0190</v>
      </c>
    </row>
    <row r="329" spans="7:7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</row>
    <row r="2" spans="1:10">
      <c r="A2" t="s">
        <v>180</v>
      </c>
      <c r="B2" s="31" t="s">
        <v>181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182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>
      <c r="A3" t="s">
        <v>183</v>
      </c>
      <c r="B3" s="33" t="s">
        <v>181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182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>
      <c r="A4" t="s">
        <v>184</v>
      </c>
      <c r="B4" s="33" t="s">
        <v>181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182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>
      <c r="A5" t="s">
        <v>185</v>
      </c>
      <c r="B5" s="33" t="s">
        <v>181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186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>
      <c r="A6" t="s">
        <v>187</v>
      </c>
      <c r="B6" s="33" t="s">
        <v>181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186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>
      <c r="A7" t="s">
        <v>188</v>
      </c>
      <c r="B7" s="33" t="s">
        <v>181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186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>
      <c r="A8" t="s">
        <v>189</v>
      </c>
      <c r="B8" s="33" t="s">
        <v>181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>
      <c r="A9" t="s">
        <v>191</v>
      </c>
      <c r="B9" s="33" t="s">
        <v>181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>
      <c r="A10" t="s">
        <v>192</v>
      </c>
      <c r="B10" s="33" t="s">
        <v>181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>
      <c r="A11" t="s">
        <v>193</v>
      </c>
      <c r="B11" s="33" t="s">
        <v>181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194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>
      <c r="A12" t="s">
        <v>195</v>
      </c>
      <c r="B12" s="33" t="s">
        <v>181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194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>
      <c r="A13" t="s">
        <v>196</v>
      </c>
      <c r="B13" s="33" t="s">
        <v>181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194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>
      <c r="A14" t="s">
        <v>197</v>
      </c>
      <c r="B14" s="33" t="s">
        <v>181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198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>
      <c r="A15" t="s">
        <v>199</v>
      </c>
      <c r="B15" s="33" t="s">
        <v>181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198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>
      <c r="A16" t="s">
        <v>200</v>
      </c>
      <c r="B16" s="33" t="s">
        <v>181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198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>
      <c r="A17" t="s">
        <v>201</v>
      </c>
      <c r="B17" s="33" t="s">
        <v>181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202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>
      <c r="A18" t="s">
        <v>203</v>
      </c>
      <c r="B18" s="33" t="s">
        <v>181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202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>
      <c r="A19" t="s">
        <v>204</v>
      </c>
      <c r="B19" s="33" t="s">
        <v>181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205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>
      <c r="A20" t="s">
        <v>206</v>
      </c>
      <c r="B20" s="33" t="s">
        <v>181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205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>
      <c r="A21" t="s">
        <v>207</v>
      </c>
      <c r="B21" s="33" t="s">
        <v>181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205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>
      <c r="A22" t="s">
        <v>208</v>
      </c>
      <c r="B22" s="33" t="s">
        <v>181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209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>
      <c r="A23" t="s">
        <v>210</v>
      </c>
      <c r="B23" s="33" t="s">
        <v>181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209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>
      <c r="A24" t="s">
        <v>211</v>
      </c>
      <c r="B24" s="33" t="s">
        <v>181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209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>
      <c r="A25" t="s">
        <v>212</v>
      </c>
      <c r="B25" s="33" t="s">
        <v>181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213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>
      <c r="A26" t="s">
        <v>214</v>
      </c>
      <c r="B26" s="33" t="s">
        <v>181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213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>
      <c r="A27" t="s">
        <v>215</v>
      </c>
      <c r="B27" s="33" t="s">
        <v>181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213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>
      <c r="A28" t="s">
        <v>216</v>
      </c>
      <c r="B28" s="33" t="s">
        <v>181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>
      <c r="A29" t="s">
        <v>218</v>
      </c>
      <c r="B29" s="33" t="s">
        <v>181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>
      <c r="A30" t="s">
        <v>219</v>
      </c>
      <c r="B30" s="33" t="s">
        <v>181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217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>
      <c r="A31" t="s">
        <v>220</v>
      </c>
      <c r="B31" s="33" t="s">
        <v>181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221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>
      <c r="A32" t="s">
        <v>222</v>
      </c>
      <c r="B32" s="33" t="s">
        <v>181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221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>
      <c r="A33" t="s">
        <v>223</v>
      </c>
      <c r="B33" s="33" t="s">
        <v>181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221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>
      <c r="A34" t="s">
        <v>224</v>
      </c>
      <c r="B34" s="33" t="s">
        <v>181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225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>
      <c r="A35" t="s">
        <v>226</v>
      </c>
      <c r="B35" s="33" t="s">
        <v>181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225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>
      <c r="A36" t="s">
        <v>227</v>
      </c>
      <c r="B36" s="33" t="s">
        <v>181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225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>
      <c r="A37" t="s">
        <v>228</v>
      </c>
      <c r="B37" s="33" t="s">
        <v>181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>
      <c r="A38" t="s">
        <v>230</v>
      </c>
      <c r="B38" s="34" t="s">
        <v>181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>
      <c r="G1" s="17"/>
      <c r="I1" s="17"/>
      <c r="J1" s="17"/>
      <c r="K1" s="17"/>
      <c r="L1" s="17"/>
      <c r="N1" s="17"/>
      <c r="O1" s="17"/>
      <c r="P1" s="17"/>
      <c r="R1" s="158" t="s">
        <v>231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6"/>
    </row>
    <row r="2" spans="1:31" ht="15.75" thickBot="1">
      <c r="A2" s="17" t="s">
        <v>232</v>
      </c>
      <c r="B2" s="86" t="s">
        <v>233</v>
      </c>
      <c r="C2" s="86" t="s">
        <v>234</v>
      </c>
      <c r="D2" s="88" t="s">
        <v>235</v>
      </c>
      <c r="H2" s="17" t="s">
        <v>63</v>
      </c>
      <c r="M2" s="17" t="s">
        <v>86</v>
      </c>
      <c r="R2" s="158" t="s">
        <v>236</v>
      </c>
      <c r="S2" s="158"/>
      <c r="T2" s="158"/>
      <c r="U2" s="114"/>
      <c r="V2" s="110"/>
      <c r="W2" s="158" t="s">
        <v>237</v>
      </c>
      <c r="X2" s="158"/>
      <c r="Y2" s="158"/>
      <c r="Z2" s="114"/>
      <c r="AA2" s="110"/>
      <c r="AB2" s="158" t="s">
        <v>238</v>
      </c>
      <c r="AC2" s="158"/>
      <c r="AD2" s="158"/>
      <c r="AE2" s="16"/>
    </row>
    <row r="3" spans="1:31" ht="15.75" thickTop="1">
      <c r="A3" t="s">
        <v>65</v>
      </c>
      <c r="B3" t="s">
        <v>239</v>
      </c>
      <c r="C3" t="s">
        <v>240</v>
      </c>
      <c r="D3" t="s">
        <v>241</v>
      </c>
      <c r="E3" t="s">
        <v>242</v>
      </c>
      <c r="F3" t="s">
        <v>243</v>
      </c>
      <c r="H3" t="s">
        <v>65</v>
      </c>
      <c r="I3" t="s">
        <v>233</v>
      </c>
      <c r="J3" t="s">
        <v>234</v>
      </c>
      <c r="K3" t="s">
        <v>235</v>
      </c>
      <c r="M3" t="s">
        <v>24</v>
      </c>
      <c r="N3" t="s">
        <v>233</v>
      </c>
      <c r="O3" t="s">
        <v>234</v>
      </c>
      <c r="P3" t="s">
        <v>235</v>
      </c>
      <c r="R3"/>
      <c r="S3"/>
      <c r="T3"/>
      <c r="U3"/>
      <c r="W3"/>
      <c r="X3"/>
      <c r="Y3"/>
      <c r="Z3"/>
      <c r="AB3"/>
      <c r="AC3"/>
      <c r="AD3"/>
      <c r="AE3"/>
    </row>
    <row r="4" spans="1:31">
      <c r="A4" t="s">
        <v>182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182</v>
      </c>
      <c r="I4">
        <v>1</v>
      </c>
      <c r="J4">
        <v>1</v>
      </c>
      <c r="K4">
        <v>0.5</v>
      </c>
      <c r="M4" t="s">
        <v>182</v>
      </c>
      <c r="N4">
        <v>2</v>
      </c>
      <c r="O4">
        <v>1.5</v>
      </c>
      <c r="P4">
        <v>1</v>
      </c>
      <c r="R4"/>
      <c r="S4"/>
      <c r="T4"/>
      <c r="U4"/>
      <c r="W4"/>
      <c r="X4"/>
      <c r="Y4"/>
      <c r="Z4"/>
      <c r="AB4"/>
      <c r="AC4"/>
      <c r="AD4"/>
      <c r="AE4"/>
    </row>
    <row r="5" spans="1:31">
      <c r="A5" t="s">
        <v>186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186</v>
      </c>
      <c r="I5">
        <v>2.5</v>
      </c>
      <c r="J5">
        <v>2.5</v>
      </c>
      <c r="K5">
        <v>1</v>
      </c>
      <c r="M5" t="s">
        <v>186</v>
      </c>
      <c r="N5">
        <v>2</v>
      </c>
      <c r="O5">
        <v>1.5</v>
      </c>
      <c r="P5">
        <v>1.5</v>
      </c>
      <c r="R5"/>
      <c r="S5"/>
      <c r="T5"/>
      <c r="U5"/>
      <c r="W5"/>
      <c r="X5"/>
      <c r="Y5"/>
      <c r="Z5"/>
      <c r="AB5"/>
      <c r="AC5"/>
      <c r="AD5"/>
      <c r="AE5"/>
    </row>
    <row r="6" spans="1:31">
      <c r="A6" t="s">
        <v>190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190</v>
      </c>
      <c r="I6">
        <v>1</v>
      </c>
      <c r="J6">
        <v>1</v>
      </c>
      <c r="K6">
        <v>0.5</v>
      </c>
      <c r="M6" t="s">
        <v>190</v>
      </c>
      <c r="N6">
        <v>2</v>
      </c>
      <c r="O6">
        <v>1.5</v>
      </c>
      <c r="P6">
        <v>1</v>
      </c>
      <c r="R6"/>
      <c r="S6"/>
      <c r="T6"/>
      <c r="U6"/>
      <c r="W6"/>
      <c r="X6"/>
      <c r="Y6"/>
      <c r="Z6"/>
      <c r="AB6"/>
      <c r="AC6"/>
      <c r="AD6"/>
      <c r="AE6"/>
    </row>
    <row r="7" spans="1:31">
      <c r="A7" t="s">
        <v>194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194</v>
      </c>
      <c r="I7">
        <v>1</v>
      </c>
      <c r="J7">
        <v>1</v>
      </c>
      <c r="K7">
        <v>1</v>
      </c>
      <c r="M7" t="s">
        <v>194</v>
      </c>
      <c r="N7">
        <v>1.5</v>
      </c>
      <c r="O7">
        <v>1.5</v>
      </c>
      <c r="P7">
        <v>1</v>
      </c>
      <c r="R7"/>
      <c r="S7"/>
      <c r="T7"/>
      <c r="U7"/>
      <c r="W7"/>
      <c r="X7"/>
      <c r="Y7"/>
      <c r="Z7"/>
      <c r="AB7"/>
      <c r="AC7"/>
      <c r="AD7"/>
      <c r="AE7"/>
    </row>
    <row r="8" spans="1:31">
      <c r="A8" t="s">
        <v>198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198</v>
      </c>
      <c r="I8">
        <v>1</v>
      </c>
      <c r="J8">
        <v>1</v>
      </c>
      <c r="K8">
        <v>1</v>
      </c>
      <c r="M8" t="s">
        <v>198</v>
      </c>
      <c r="N8">
        <v>1.5</v>
      </c>
      <c r="O8">
        <v>1.5</v>
      </c>
      <c r="P8">
        <v>1</v>
      </c>
      <c r="R8"/>
      <c r="S8"/>
      <c r="T8"/>
      <c r="U8"/>
      <c r="W8"/>
      <c r="X8"/>
      <c r="Y8"/>
      <c r="Z8"/>
      <c r="AB8"/>
      <c r="AC8"/>
      <c r="AD8"/>
      <c r="AE8"/>
    </row>
    <row r="9" spans="1:31">
      <c r="A9" t="s">
        <v>202</v>
      </c>
      <c r="B9" t="str">
        <f>"&lt; "&amp;Thresholds[[#This Row],[Threshold1]]</f>
        <v>&lt; 96</v>
      </c>
      <c r="C9" t="s">
        <v>244</v>
      </c>
      <c r="D9" t="str">
        <f>"≥ "&amp;Thresholds[[#This Row],[Threshold2]]</f>
        <v>≥ 96</v>
      </c>
      <c r="E9">
        <v>96</v>
      </c>
      <c r="F9">
        <v>96</v>
      </c>
      <c r="H9" t="s">
        <v>202</v>
      </c>
      <c r="I9">
        <v>1</v>
      </c>
      <c r="J9" t="e">
        <v>#N/A</v>
      </c>
      <c r="K9">
        <v>1</v>
      </c>
      <c r="M9" t="s">
        <v>202</v>
      </c>
      <c r="N9">
        <v>2</v>
      </c>
      <c r="O9" t="e">
        <v>#N/A</v>
      </c>
      <c r="P9">
        <v>1.5</v>
      </c>
      <c r="R9"/>
      <c r="S9"/>
      <c r="T9"/>
      <c r="U9"/>
      <c r="W9"/>
      <c r="X9"/>
      <c r="Y9"/>
      <c r="Z9"/>
      <c r="AB9"/>
      <c r="AC9"/>
      <c r="AD9"/>
      <c r="AE9"/>
    </row>
    <row r="10" spans="1:31">
      <c r="A10" t="s">
        <v>205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205</v>
      </c>
      <c r="I10">
        <v>1</v>
      </c>
      <c r="J10">
        <v>1</v>
      </c>
      <c r="K10">
        <v>0.7</v>
      </c>
      <c r="M10" t="s">
        <v>205</v>
      </c>
      <c r="N10">
        <v>2</v>
      </c>
      <c r="O10">
        <v>1.5</v>
      </c>
      <c r="P10">
        <v>1</v>
      </c>
      <c r="R10"/>
      <c r="S10"/>
      <c r="T10"/>
      <c r="U10"/>
      <c r="W10"/>
      <c r="X10"/>
      <c r="Y10"/>
      <c r="Z10"/>
      <c r="AB10"/>
      <c r="AC10"/>
      <c r="AD10"/>
      <c r="AE10"/>
    </row>
    <row r="11" spans="1:31">
      <c r="A11" t="s">
        <v>209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209</v>
      </c>
      <c r="I11">
        <v>1</v>
      </c>
      <c r="J11">
        <v>1</v>
      </c>
      <c r="K11">
        <v>0.7</v>
      </c>
      <c r="M11" t="s">
        <v>209</v>
      </c>
      <c r="N11">
        <v>2</v>
      </c>
      <c r="O11">
        <v>1.5</v>
      </c>
      <c r="P11">
        <v>1</v>
      </c>
      <c r="R11"/>
      <c r="S11"/>
      <c r="T11"/>
      <c r="U11"/>
      <c r="W11"/>
      <c r="X11"/>
      <c r="Y11"/>
      <c r="Z11"/>
      <c r="AB11"/>
      <c r="AC11"/>
      <c r="AD11"/>
      <c r="AE11"/>
    </row>
    <row r="12" spans="1:31">
      <c r="A12" t="s">
        <v>213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213</v>
      </c>
      <c r="I12">
        <v>1</v>
      </c>
      <c r="J12">
        <v>1</v>
      </c>
      <c r="K12">
        <v>0.7</v>
      </c>
      <c r="M12" t="s">
        <v>213</v>
      </c>
      <c r="N12">
        <v>2</v>
      </c>
      <c r="O12">
        <v>1.5</v>
      </c>
      <c r="P12">
        <v>1</v>
      </c>
      <c r="R12"/>
      <c r="S12"/>
      <c r="T12"/>
      <c r="U12"/>
      <c r="W12"/>
      <c r="X12"/>
      <c r="Y12"/>
      <c r="Z12"/>
      <c r="AB12"/>
      <c r="AC12"/>
      <c r="AD12"/>
      <c r="AE12"/>
    </row>
    <row r="13" spans="1:31">
      <c r="A13" t="s">
        <v>217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217</v>
      </c>
      <c r="I13">
        <v>1.5</v>
      </c>
      <c r="J13">
        <v>1</v>
      </c>
      <c r="K13">
        <v>1</v>
      </c>
      <c r="M13" t="s">
        <v>217</v>
      </c>
      <c r="N13">
        <v>2</v>
      </c>
      <c r="O13">
        <v>1.5</v>
      </c>
      <c r="P13">
        <v>1.5</v>
      </c>
      <c r="R13"/>
      <c r="S13"/>
      <c r="T13"/>
      <c r="U13"/>
      <c r="W13"/>
      <c r="X13"/>
      <c r="Y13"/>
      <c r="Z13"/>
      <c r="AB13"/>
      <c r="AC13"/>
      <c r="AD13"/>
      <c r="AE13"/>
    </row>
    <row r="14" spans="1:31">
      <c r="A14" t="s">
        <v>221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221</v>
      </c>
      <c r="I14">
        <v>1.5</v>
      </c>
      <c r="J14">
        <v>1</v>
      </c>
      <c r="K14">
        <v>1</v>
      </c>
      <c r="M14" t="s">
        <v>221</v>
      </c>
      <c r="N14">
        <v>2</v>
      </c>
      <c r="O14">
        <v>1.5</v>
      </c>
      <c r="P14">
        <v>1.5</v>
      </c>
      <c r="R14"/>
      <c r="S14"/>
      <c r="T14"/>
      <c r="U14"/>
      <c r="W14"/>
      <c r="X14"/>
      <c r="Y14"/>
      <c r="Z14"/>
      <c r="AB14"/>
      <c r="AC14"/>
      <c r="AD14"/>
      <c r="AE14"/>
    </row>
    <row r="15" spans="1:31">
      <c r="A15" t="s">
        <v>225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225</v>
      </c>
      <c r="I15">
        <v>1.5</v>
      </c>
      <c r="J15">
        <v>1</v>
      </c>
      <c r="K15">
        <v>1</v>
      </c>
      <c r="M15" t="s">
        <v>225</v>
      </c>
      <c r="N15">
        <v>2</v>
      </c>
      <c r="O15">
        <v>1.5</v>
      </c>
      <c r="P15">
        <v>1.5</v>
      </c>
      <c r="R15"/>
      <c r="S15"/>
      <c r="T15"/>
      <c r="U15"/>
      <c r="W15"/>
      <c r="Y15"/>
      <c r="Z15"/>
      <c r="AB15"/>
      <c r="AC15"/>
      <c r="AD15"/>
      <c r="AE15"/>
    </row>
    <row r="16" spans="1:31">
      <c r="A16" t="s">
        <v>229</v>
      </c>
      <c r="B16" t="s">
        <v>244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229</v>
      </c>
      <c r="I16" t="e">
        <v>#N/A</v>
      </c>
      <c r="J16">
        <v>1</v>
      </c>
      <c r="K16">
        <v>1</v>
      </c>
      <c r="M16" t="s">
        <v>229</v>
      </c>
      <c r="N16" t="e">
        <f>NA()</f>
        <v>#N/A</v>
      </c>
      <c r="O16">
        <v>2</v>
      </c>
      <c r="P16">
        <v>2</v>
      </c>
      <c r="AB16"/>
      <c r="AD16"/>
      <c r="AE16"/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A17" sqref="A17"/>
    </sheetView>
  </sheetViews>
  <sheetFormatPr defaultRowHeight="1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>
      <c r="A1" t="s">
        <v>165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G1" t="s">
        <v>250</v>
      </c>
    </row>
    <row r="2" spans="1:7">
      <c r="A2" t="s">
        <v>251</v>
      </c>
      <c r="B2" t="s">
        <v>252</v>
      </c>
      <c r="C2" t="s">
        <v>253</v>
      </c>
      <c r="D2" t="s">
        <v>254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>
      <c r="A3" t="s">
        <v>255</v>
      </c>
      <c r="B3" t="s">
        <v>256</v>
      </c>
      <c r="C3" t="s">
        <v>257</v>
      </c>
      <c r="D3" t="s">
        <v>258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>
      <c r="A4" t="s">
        <v>255</v>
      </c>
      <c r="B4" t="s">
        <v>259</v>
      </c>
      <c r="C4" t="s">
        <v>257</v>
      </c>
      <c r="D4" t="s">
        <v>258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>
      <c r="A5" t="s">
        <v>260</v>
      </c>
      <c r="B5" t="s">
        <v>261</v>
      </c>
      <c r="C5" t="s">
        <v>262</v>
      </c>
      <c r="D5" t="s">
        <v>263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>
      <c r="A6" t="s">
        <v>264</v>
      </c>
      <c r="B6" t="s">
        <v>265</v>
      </c>
      <c r="C6" t="s">
        <v>266</v>
      </c>
      <c r="D6" t="s">
        <v>267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>
      <c r="A7" t="s">
        <v>268</v>
      </c>
      <c r="B7" t="s">
        <v>269</v>
      </c>
      <c r="C7" t="s">
        <v>270</v>
      </c>
      <c r="D7" t="s">
        <v>271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>
      <c r="A8" t="s">
        <v>272</v>
      </c>
      <c r="B8" t="s">
        <v>273</v>
      </c>
      <c r="C8" t="s">
        <v>270</v>
      </c>
      <c r="D8" t="s">
        <v>274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>
      <c r="A9" t="s">
        <v>272</v>
      </c>
      <c r="B9" t="s">
        <v>273</v>
      </c>
      <c r="C9" t="s">
        <v>270</v>
      </c>
      <c r="D9" t="s">
        <v>275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>
      <c r="A10" t="s">
        <v>276</v>
      </c>
      <c r="B10" t="s">
        <v>277</v>
      </c>
      <c r="C10" t="s">
        <v>270</v>
      </c>
      <c r="D10" t="s">
        <v>274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>
      <c r="A11" t="s">
        <v>276</v>
      </c>
      <c r="B11" t="s">
        <v>278</v>
      </c>
      <c r="C11" t="s">
        <v>279</v>
      </c>
      <c r="D11" t="s">
        <v>274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>
      <c r="A12" t="s">
        <v>276</v>
      </c>
      <c r="B12" t="s">
        <v>278</v>
      </c>
      <c r="C12" t="s">
        <v>279</v>
      </c>
      <c r="D12" t="s">
        <v>280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>
      <c r="A13" t="s">
        <v>281</v>
      </c>
      <c r="B13" t="s">
        <v>282</v>
      </c>
      <c r="C13" t="s">
        <v>283</v>
      </c>
      <c r="D13" t="s">
        <v>284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>
      <c r="A14" t="s">
        <v>285</v>
      </c>
      <c r="B14" t="s">
        <v>286</v>
      </c>
      <c r="C14" t="s">
        <v>287</v>
      </c>
      <c r="D14" t="s">
        <v>288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>
      <c r="A15" t="s">
        <v>289</v>
      </c>
      <c r="B15" t="s">
        <v>290</v>
      </c>
      <c r="C15" t="s">
        <v>291</v>
      </c>
      <c r="D15" t="s">
        <v>292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>
      <c r="A16" t="s">
        <v>293</v>
      </c>
      <c r="C16" t="s">
        <v>294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>
      <c r="A17" t="s">
        <v>295</v>
      </c>
      <c r="B17" t="s">
        <v>296</v>
      </c>
      <c r="C17" t="s">
        <v>297</v>
      </c>
      <c r="D17" t="s">
        <v>298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>
      <c r="A18" t="s">
        <v>295</v>
      </c>
      <c r="B18" t="s">
        <v>299</v>
      </c>
      <c r="C18" t="s">
        <v>300</v>
      </c>
      <c r="D18" t="s">
        <v>298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>
      <c r="A19" t="s">
        <v>301</v>
      </c>
      <c r="B19" t="s">
        <v>302</v>
      </c>
      <c r="C19" t="s">
        <v>303</v>
      </c>
      <c r="D19" t="s">
        <v>304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>
      <c r="A20" t="s">
        <v>301</v>
      </c>
      <c r="B20" t="s">
        <v>305</v>
      </c>
      <c r="C20" t="s">
        <v>306</v>
      </c>
      <c r="D20" t="s">
        <v>304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>
      <c r="A21" t="s">
        <v>307</v>
      </c>
      <c r="B21" t="s">
        <v>308</v>
      </c>
      <c r="C21" t="s">
        <v>309</v>
      </c>
      <c r="D21" t="s">
        <v>310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>
      <c r="A22" t="s">
        <v>311</v>
      </c>
      <c r="B22" t="s">
        <v>312</v>
      </c>
      <c r="C22" t="s">
        <v>313</v>
      </c>
      <c r="D22" t="s">
        <v>314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>
      <c r="A23" t="s">
        <v>311</v>
      </c>
      <c r="B23" t="s">
        <v>312</v>
      </c>
      <c r="C23" t="s">
        <v>313</v>
      </c>
      <c r="D23" t="s">
        <v>315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>
      <c r="A24" t="s">
        <v>316</v>
      </c>
      <c r="B24" t="s">
        <v>317</v>
      </c>
      <c r="C24" t="s">
        <v>318</v>
      </c>
      <c r="D24" t="s">
        <v>319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>
      <c r="A25" t="s">
        <v>316</v>
      </c>
      <c r="B25" t="s">
        <v>320</v>
      </c>
      <c r="C25" t="s">
        <v>318</v>
      </c>
      <c r="D25" t="s">
        <v>319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>
      <c r="A26" t="s">
        <v>316</v>
      </c>
      <c r="B26" t="s">
        <v>320</v>
      </c>
      <c r="C26" t="s">
        <v>318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>
      <c r="A27" t="s">
        <v>321</v>
      </c>
      <c r="B27" t="s">
        <v>322</v>
      </c>
      <c r="C27" t="s">
        <v>323</v>
      </c>
      <c r="D27" t="s">
        <v>324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>
      <c r="A28" t="s">
        <v>321</v>
      </c>
      <c r="B28" t="s">
        <v>320</v>
      </c>
      <c r="C28" t="s">
        <v>318</v>
      </c>
      <c r="D28" t="s">
        <v>319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>
      <c r="A29" t="s">
        <v>325</v>
      </c>
      <c r="B29" t="s">
        <v>326</v>
      </c>
      <c r="C29" t="s">
        <v>327</v>
      </c>
      <c r="D29" t="s">
        <v>328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>
      <c r="A30" t="s">
        <v>329</v>
      </c>
      <c r="C30" t="s">
        <v>294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>
      <c r="A31" t="s">
        <v>330</v>
      </c>
      <c r="B31" t="s">
        <v>331</v>
      </c>
      <c r="C31" t="s">
        <v>332</v>
      </c>
      <c r="D31" t="s">
        <v>333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>
      <c r="A32" t="s">
        <v>334</v>
      </c>
      <c r="B32" t="s">
        <v>335</v>
      </c>
      <c r="C32" t="s">
        <v>336</v>
      </c>
      <c r="D32" t="s">
        <v>337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>
      <c r="A33" t="s">
        <v>334</v>
      </c>
      <c r="B33" t="s">
        <v>338</v>
      </c>
      <c r="C33" t="s">
        <v>336</v>
      </c>
      <c r="D33" t="s">
        <v>337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>
      <c r="A34" t="s">
        <v>339</v>
      </c>
      <c r="C34" t="s">
        <v>294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>
      <c r="A35" t="s">
        <v>340</v>
      </c>
      <c r="B35" t="s">
        <v>341</v>
      </c>
      <c r="C35" t="s">
        <v>342</v>
      </c>
      <c r="D35" t="s">
        <v>343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>
      <c r="A36" t="s">
        <v>344</v>
      </c>
      <c r="B36" t="s">
        <v>345</v>
      </c>
      <c r="C36" t="s">
        <v>346</v>
      </c>
      <c r="D36" t="s">
        <v>347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>
      <c r="A37" t="s">
        <v>348</v>
      </c>
      <c r="B37" t="s">
        <v>349</v>
      </c>
      <c r="C37" t="s">
        <v>350</v>
      </c>
      <c r="D37" t="s">
        <v>351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>
      <c r="A38" t="s">
        <v>348</v>
      </c>
      <c r="B38" t="s">
        <v>352</v>
      </c>
      <c r="C38" t="s">
        <v>350</v>
      </c>
      <c r="D38" t="s">
        <v>351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>
      <c r="A39" t="s">
        <v>348</v>
      </c>
      <c r="B39" t="s">
        <v>352</v>
      </c>
      <c r="C39" t="s">
        <v>350</v>
      </c>
      <c r="D39" t="s">
        <v>353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>
      <c r="A40" t="s">
        <v>354</v>
      </c>
      <c r="B40" t="s">
        <v>355</v>
      </c>
      <c r="C40" t="s">
        <v>356</v>
      </c>
      <c r="D40" t="s">
        <v>357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>
      <c r="A41" t="s">
        <v>354</v>
      </c>
      <c r="B41" t="s">
        <v>358</v>
      </c>
      <c r="C41" t="s">
        <v>359</v>
      </c>
      <c r="D41" t="s">
        <v>357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>
      <c r="A42" t="s">
        <v>360</v>
      </c>
      <c r="C42" t="s">
        <v>294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>
      <c r="A43" t="s">
        <v>361</v>
      </c>
      <c r="B43" t="s">
        <v>362</v>
      </c>
      <c r="C43" t="s">
        <v>270</v>
      </c>
      <c r="D43" t="s">
        <v>363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>
      <c r="A44" t="s">
        <v>361</v>
      </c>
      <c r="B44" t="s">
        <v>362</v>
      </c>
      <c r="C44" t="s">
        <v>270</v>
      </c>
      <c r="D44" t="s">
        <v>364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>
      <c r="A45" t="s">
        <v>365</v>
      </c>
      <c r="B45" t="s">
        <v>366</v>
      </c>
      <c r="C45" t="s">
        <v>367</v>
      </c>
      <c r="D45" t="s">
        <v>368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>
      <c r="A46" t="s">
        <v>365</v>
      </c>
      <c r="B46" t="s">
        <v>369</v>
      </c>
      <c r="C46" t="s">
        <v>367</v>
      </c>
      <c r="D46" t="s">
        <v>368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>
      <c r="A47" t="s">
        <v>365</v>
      </c>
      <c r="C47" t="s">
        <v>294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>
      <c r="A48" t="s">
        <v>370</v>
      </c>
      <c r="B48" t="s">
        <v>371</v>
      </c>
      <c r="C48" t="s">
        <v>372</v>
      </c>
      <c r="D48" t="s">
        <v>373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>
      <c r="A49" t="s">
        <v>374</v>
      </c>
      <c r="B49" t="s">
        <v>375</v>
      </c>
      <c r="C49" t="s">
        <v>376</v>
      </c>
      <c r="D49" t="s">
        <v>377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>
      <c r="A50" t="s">
        <v>374</v>
      </c>
      <c r="C50" t="s">
        <v>294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>
      <c r="A51" t="s">
        <v>378</v>
      </c>
      <c r="B51" t="s">
        <v>379</v>
      </c>
      <c r="C51" t="s">
        <v>380</v>
      </c>
      <c r="D51" t="s">
        <v>381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>
      <c r="A52" t="s">
        <v>378</v>
      </c>
      <c r="B52" t="s">
        <v>379</v>
      </c>
      <c r="C52" t="s">
        <v>380</v>
      </c>
      <c r="D52" t="s">
        <v>382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>
      <c r="A53" t="s">
        <v>383</v>
      </c>
      <c r="B53" t="s">
        <v>384</v>
      </c>
      <c r="C53" t="s">
        <v>385</v>
      </c>
      <c r="D53" t="s">
        <v>386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>
      <c r="A54" t="s">
        <v>387</v>
      </c>
      <c r="B54" t="s">
        <v>388</v>
      </c>
      <c r="C54" t="s">
        <v>389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>
      <c r="A55" t="s">
        <v>387</v>
      </c>
      <c r="B55" t="s">
        <v>390</v>
      </c>
      <c r="C55" t="s">
        <v>391</v>
      </c>
      <c r="D55" t="s">
        <v>392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>
      <c r="A56" t="s">
        <v>387</v>
      </c>
      <c r="C56" t="s">
        <v>294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>
      <c r="A57" t="s">
        <v>393</v>
      </c>
      <c r="B57" t="s">
        <v>394</v>
      </c>
      <c r="C57" t="s">
        <v>395</v>
      </c>
      <c r="D57" t="s">
        <v>396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>
      <c r="A58" t="s">
        <v>393</v>
      </c>
      <c r="B58" t="s">
        <v>397</v>
      </c>
      <c r="C58" t="s">
        <v>270</v>
      </c>
      <c r="D58" t="s">
        <v>396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>
      <c r="A59" t="s">
        <v>398</v>
      </c>
      <c r="B59" t="s">
        <v>399</v>
      </c>
      <c r="C59" t="s">
        <v>395</v>
      </c>
      <c r="D59" t="s">
        <v>396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>
      <c r="A60" t="s">
        <v>400</v>
      </c>
      <c r="B60" t="s">
        <v>401</v>
      </c>
      <c r="C60" t="s">
        <v>385</v>
      </c>
      <c r="D60" t="s">
        <v>402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>
      <c r="A61" t="s">
        <v>403</v>
      </c>
      <c r="B61" t="s">
        <v>404</v>
      </c>
      <c r="C61" t="s">
        <v>405</v>
      </c>
      <c r="D61" t="s">
        <v>406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>
      <c r="A62" t="s">
        <v>403</v>
      </c>
      <c r="B62" t="s">
        <v>407</v>
      </c>
      <c r="C62" t="s">
        <v>405</v>
      </c>
      <c r="D62" t="s">
        <v>406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>
      <c r="A63" t="s">
        <v>408</v>
      </c>
      <c r="B63" t="s">
        <v>409</v>
      </c>
      <c r="C63" t="s">
        <v>253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>
      <c r="A64" t="s">
        <v>410</v>
      </c>
      <c r="C64" t="s">
        <v>294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>
      <c r="A65" t="s">
        <v>411</v>
      </c>
      <c r="B65" t="s">
        <v>412</v>
      </c>
      <c r="C65" t="s">
        <v>413</v>
      </c>
      <c r="D65" t="s">
        <v>414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>
      <c r="A66" t="s">
        <v>411</v>
      </c>
      <c r="B66" t="s">
        <v>415</v>
      </c>
      <c r="C66" t="s">
        <v>350</v>
      </c>
      <c r="D66" t="s">
        <v>414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>
      <c r="A67" t="s">
        <v>411</v>
      </c>
      <c r="B67" t="s">
        <v>416</v>
      </c>
      <c r="C67" t="s">
        <v>376</v>
      </c>
      <c r="D67" t="s">
        <v>414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>
      <c r="A68" t="s">
        <v>417</v>
      </c>
      <c r="B68" t="s">
        <v>418</v>
      </c>
      <c r="C68" t="s">
        <v>270</v>
      </c>
      <c r="D68" t="s">
        <v>419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>
      <c r="A69" t="s">
        <v>420</v>
      </c>
      <c r="B69" t="s">
        <v>421</v>
      </c>
      <c r="C69" t="s">
        <v>422</v>
      </c>
      <c r="D69" t="s">
        <v>423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>
      <c r="A70" t="s">
        <v>420</v>
      </c>
      <c r="B70" t="s">
        <v>421</v>
      </c>
      <c r="C70" t="s">
        <v>422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>
      <c r="A71" t="s">
        <v>424</v>
      </c>
      <c r="B71" t="s">
        <v>425</v>
      </c>
      <c r="C71" t="s">
        <v>395</v>
      </c>
      <c r="D71" t="s">
        <v>426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>
      <c r="A72" t="s">
        <v>427</v>
      </c>
      <c r="B72" t="s">
        <v>428</v>
      </c>
      <c r="C72" t="s">
        <v>291</v>
      </c>
      <c r="D72" t="s">
        <v>429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>
      <c r="A73" t="s">
        <v>430</v>
      </c>
      <c r="B73" t="s">
        <v>431</v>
      </c>
      <c r="C73" t="s">
        <v>432</v>
      </c>
      <c r="D73" t="s">
        <v>433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>
      <c r="A74" t="s">
        <v>434</v>
      </c>
      <c r="B74" t="s">
        <v>435</v>
      </c>
      <c r="C74" t="s">
        <v>287</v>
      </c>
      <c r="D74" t="s">
        <v>436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>
      <c r="A75" t="s">
        <v>437</v>
      </c>
      <c r="B75" t="s">
        <v>438</v>
      </c>
      <c r="C75" t="s">
        <v>376</v>
      </c>
      <c r="D75" t="s">
        <v>439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>
      <c r="A76" t="s">
        <v>437</v>
      </c>
      <c r="B76" t="s">
        <v>440</v>
      </c>
      <c r="C76" t="s">
        <v>376</v>
      </c>
      <c r="D76" t="s">
        <v>439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>
      <c r="A77" t="s">
        <v>437</v>
      </c>
      <c r="B77" t="s">
        <v>441</v>
      </c>
      <c r="C77" t="s">
        <v>287</v>
      </c>
      <c r="D77" t="s">
        <v>442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>
      <c r="A78" t="s">
        <v>443</v>
      </c>
      <c r="B78" t="s">
        <v>444</v>
      </c>
      <c r="C78" t="s">
        <v>445</v>
      </c>
      <c r="D78" t="s">
        <v>446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>
      <c r="A79" t="s">
        <v>447</v>
      </c>
      <c r="B79" t="s">
        <v>448</v>
      </c>
      <c r="C79" t="s">
        <v>270</v>
      </c>
      <c r="D79" t="s">
        <v>449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>
      <c r="A80" t="s">
        <v>450</v>
      </c>
      <c r="C80" t="s">
        <v>294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>
      <c r="A81" t="s">
        <v>451</v>
      </c>
      <c r="B81" t="s">
        <v>452</v>
      </c>
      <c r="C81" t="s">
        <v>453</v>
      </c>
      <c r="D81" t="s">
        <v>454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>
      <c r="A82" t="s">
        <v>455</v>
      </c>
      <c r="B82" t="s">
        <v>456</v>
      </c>
      <c r="C82" t="s">
        <v>457</v>
      </c>
      <c r="D82" t="s">
        <v>458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>
      <c r="A83" t="s">
        <v>455</v>
      </c>
      <c r="B83" t="s">
        <v>459</v>
      </c>
      <c r="C83" t="s">
        <v>313</v>
      </c>
      <c r="D83" t="s">
        <v>458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>
      <c r="A84" t="s">
        <v>460</v>
      </c>
      <c r="B84" t="s">
        <v>461</v>
      </c>
      <c r="C84" t="s">
        <v>462</v>
      </c>
      <c r="D84" t="s">
        <v>463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>
      <c r="A85" t="s">
        <v>460</v>
      </c>
      <c r="B85" t="s">
        <v>464</v>
      </c>
      <c r="C85" t="s">
        <v>465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>
      <c r="A86" t="s">
        <v>460</v>
      </c>
      <c r="B86" t="s">
        <v>466</v>
      </c>
      <c r="C86" t="s">
        <v>467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>
      <c r="A87" t="s">
        <v>460</v>
      </c>
      <c r="B87" t="s">
        <v>468</v>
      </c>
      <c r="C87" t="s">
        <v>462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>
      <c r="A88" t="s">
        <v>460</v>
      </c>
      <c r="B88" t="s">
        <v>469</v>
      </c>
      <c r="C88" t="s">
        <v>470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>
      <c r="A89" t="s">
        <v>460</v>
      </c>
      <c r="B89" t="s">
        <v>471</v>
      </c>
      <c r="C89" t="s">
        <v>287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>
      <c r="A90" t="s">
        <v>472</v>
      </c>
      <c r="B90" t="s">
        <v>473</v>
      </c>
      <c r="C90" t="s">
        <v>474</v>
      </c>
      <c r="D90" t="s">
        <v>475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>
      <c r="A91" t="s">
        <v>472</v>
      </c>
      <c r="B91" t="s">
        <v>473</v>
      </c>
      <c r="C91" t="s">
        <v>474</v>
      </c>
      <c r="D91" t="s">
        <v>476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>
      <c r="A92" t="s">
        <v>477</v>
      </c>
      <c r="B92" t="s">
        <v>478</v>
      </c>
      <c r="C92" t="s">
        <v>479</v>
      </c>
      <c r="D92" t="s">
        <v>480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>
      <c r="A93" t="s">
        <v>477</v>
      </c>
      <c r="B93" t="s">
        <v>481</v>
      </c>
      <c r="C93" t="s">
        <v>482</v>
      </c>
      <c r="D93" t="s">
        <v>480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>
      <c r="A94" t="s">
        <v>483</v>
      </c>
      <c r="B94" t="s">
        <v>484</v>
      </c>
      <c r="C94" t="s">
        <v>485</v>
      </c>
      <c r="D94" t="s">
        <v>486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>
      <c r="A95" t="s">
        <v>487</v>
      </c>
      <c r="B95" t="s">
        <v>488</v>
      </c>
      <c r="C95" t="s">
        <v>395</v>
      </c>
      <c r="D95" t="s">
        <v>489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>
      <c r="A96" t="s">
        <v>490</v>
      </c>
      <c r="B96" t="s">
        <v>491</v>
      </c>
      <c r="C96" t="s">
        <v>492</v>
      </c>
      <c r="D96" t="s">
        <v>493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>
      <c r="A97" t="s">
        <v>494</v>
      </c>
      <c r="B97" t="s">
        <v>495</v>
      </c>
      <c r="C97" t="s">
        <v>445</v>
      </c>
      <c r="D97" t="s">
        <v>496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>
      <c r="A98" t="s">
        <v>497</v>
      </c>
      <c r="B98" t="s">
        <v>498</v>
      </c>
      <c r="C98" t="s">
        <v>291</v>
      </c>
      <c r="D98" t="s">
        <v>499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>
      <c r="A99" t="s">
        <v>500</v>
      </c>
      <c r="B99" t="s">
        <v>501</v>
      </c>
      <c r="C99" t="s">
        <v>287</v>
      </c>
      <c r="D99" t="s">
        <v>502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>
      <c r="A100" t="s">
        <v>500</v>
      </c>
      <c r="B100" t="s">
        <v>440</v>
      </c>
      <c r="C100" t="s">
        <v>503</v>
      </c>
      <c r="D100" t="s">
        <v>502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>
      <c r="A101" t="s">
        <v>504</v>
      </c>
      <c r="B101" t="s">
        <v>505</v>
      </c>
      <c r="C101" t="s">
        <v>291</v>
      </c>
      <c r="D101" t="s">
        <v>506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>
      <c r="A102" t="s">
        <v>507</v>
      </c>
      <c r="C102" t="s">
        <v>294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>
      <c r="A103" t="s">
        <v>508</v>
      </c>
      <c r="B103" t="s">
        <v>509</v>
      </c>
      <c r="C103" t="s">
        <v>270</v>
      </c>
      <c r="D103" t="s">
        <v>510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>
      <c r="A104" t="s">
        <v>511</v>
      </c>
      <c r="B104" t="s">
        <v>512</v>
      </c>
      <c r="C104" t="s">
        <v>313</v>
      </c>
      <c r="D104" t="s">
        <v>513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>
      <c r="A105" t="s">
        <v>511</v>
      </c>
      <c r="B105" t="s">
        <v>514</v>
      </c>
      <c r="C105" t="s">
        <v>515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>
      <c r="A106" t="s">
        <v>516</v>
      </c>
      <c r="B106" t="s">
        <v>517</v>
      </c>
      <c r="C106" t="s">
        <v>270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>
      <c r="A107" t="s">
        <v>516</v>
      </c>
      <c r="B107" t="s">
        <v>518</v>
      </c>
      <c r="C107" t="s">
        <v>270</v>
      </c>
      <c r="D107" t="s">
        <v>519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>
      <c r="A108" t="s">
        <v>520</v>
      </c>
      <c r="B108" t="s">
        <v>521</v>
      </c>
      <c r="C108" t="s">
        <v>522</v>
      </c>
      <c r="D108" t="s">
        <v>523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>
      <c r="A109" t="s">
        <v>524</v>
      </c>
      <c r="B109" t="s">
        <v>525</v>
      </c>
      <c r="C109" t="s">
        <v>270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>
      <c r="A110" t="s">
        <v>526</v>
      </c>
      <c r="B110" t="s">
        <v>527</v>
      </c>
      <c r="C110" t="s">
        <v>380</v>
      </c>
      <c r="D110" t="s">
        <v>528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>
      <c r="A111" t="s">
        <v>529</v>
      </c>
      <c r="B111" t="s">
        <v>530</v>
      </c>
      <c r="C111" t="s">
        <v>270</v>
      </c>
      <c r="D111" t="s">
        <v>531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>
      <c r="A112" t="s">
        <v>532</v>
      </c>
      <c r="B112" t="s">
        <v>533</v>
      </c>
      <c r="C112" t="s">
        <v>380</v>
      </c>
      <c r="D112" t="s">
        <v>534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>
      <c r="A113" t="s">
        <v>532</v>
      </c>
      <c r="B113" t="s">
        <v>535</v>
      </c>
      <c r="C113" t="s">
        <v>536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>
      <c r="A114" t="s">
        <v>537</v>
      </c>
      <c r="B114" t="s">
        <v>538</v>
      </c>
      <c r="C114" t="s">
        <v>539</v>
      </c>
      <c r="D114" t="s">
        <v>540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>
      <c r="A115" t="s">
        <v>541</v>
      </c>
      <c r="B115" t="s">
        <v>542</v>
      </c>
      <c r="C115" t="s">
        <v>543</v>
      </c>
      <c r="D115" t="s">
        <v>544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>
      <c r="A116" t="s">
        <v>545</v>
      </c>
      <c r="B116" t="s">
        <v>546</v>
      </c>
      <c r="C116" t="s">
        <v>547</v>
      </c>
      <c r="D116" t="s">
        <v>548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>
      <c r="A117" t="s">
        <v>545</v>
      </c>
      <c r="B117" t="s">
        <v>546</v>
      </c>
      <c r="C117" t="s">
        <v>549</v>
      </c>
      <c r="D117" t="s">
        <v>548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>
      <c r="A118" t="s">
        <v>550</v>
      </c>
      <c r="B118" t="s">
        <v>551</v>
      </c>
      <c r="C118" t="s">
        <v>287</v>
      </c>
      <c r="D118" t="s">
        <v>552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>
      <c r="A119" t="s">
        <v>553</v>
      </c>
      <c r="B119" t="s">
        <v>261</v>
      </c>
      <c r="C119" t="s">
        <v>262</v>
      </c>
      <c r="D119" t="s">
        <v>263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>
      <c r="A120" t="s">
        <v>553</v>
      </c>
      <c r="B120" t="s">
        <v>554</v>
      </c>
      <c r="C120" t="s">
        <v>555</v>
      </c>
      <c r="D120" t="s">
        <v>556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>
      <c r="A121" t="s">
        <v>557</v>
      </c>
      <c r="B121" t="s">
        <v>558</v>
      </c>
      <c r="C121" t="s">
        <v>287</v>
      </c>
      <c r="D121" t="s">
        <v>559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>
      <c r="A122" t="s">
        <v>560</v>
      </c>
      <c r="B122" t="s">
        <v>561</v>
      </c>
      <c r="C122" t="s">
        <v>562</v>
      </c>
      <c r="D122" t="s">
        <v>563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>
      <c r="A123" t="s">
        <v>560</v>
      </c>
      <c r="B123" t="s">
        <v>561</v>
      </c>
      <c r="C123" t="s">
        <v>562</v>
      </c>
      <c r="D123" t="s">
        <v>564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>
      <c r="A124" t="s">
        <v>565</v>
      </c>
      <c r="B124" t="s">
        <v>566</v>
      </c>
      <c r="C124" t="s">
        <v>567</v>
      </c>
      <c r="D124" t="s">
        <v>568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>
      <c r="A125" t="s">
        <v>565</v>
      </c>
      <c r="B125" t="s">
        <v>566</v>
      </c>
      <c r="C125" t="s">
        <v>567</v>
      </c>
      <c r="D125" t="s">
        <v>563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>
      <c r="A126" t="s">
        <v>569</v>
      </c>
      <c r="B126" t="s">
        <v>570</v>
      </c>
      <c r="C126" t="s">
        <v>253</v>
      </c>
      <c r="D126" t="s">
        <v>571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>
      <c r="A127" t="s">
        <v>572</v>
      </c>
      <c r="B127" t="s">
        <v>573</v>
      </c>
      <c r="C127" t="s">
        <v>395</v>
      </c>
      <c r="D127" t="s">
        <v>574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>
      <c r="A128" t="s">
        <v>575</v>
      </c>
      <c r="B128" t="s">
        <v>576</v>
      </c>
      <c r="C128" t="s">
        <v>577</v>
      </c>
      <c r="D128" t="s">
        <v>578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>
      <c r="A129" t="s">
        <v>579</v>
      </c>
      <c r="B129" t="s">
        <v>580</v>
      </c>
      <c r="C129" t="s">
        <v>270</v>
      </c>
      <c r="D129" t="s">
        <v>581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>
      <c r="A130" t="s">
        <v>582</v>
      </c>
      <c r="B130" t="s">
        <v>583</v>
      </c>
      <c r="C130" t="s">
        <v>376</v>
      </c>
      <c r="D130" t="s">
        <v>584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>
      <c r="A131" t="s">
        <v>585</v>
      </c>
      <c r="B131" t="s">
        <v>586</v>
      </c>
      <c r="C131" t="s">
        <v>380</v>
      </c>
      <c r="D131" t="s">
        <v>587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>
      <c r="A132" t="s">
        <v>588</v>
      </c>
      <c r="B132" t="s">
        <v>589</v>
      </c>
      <c r="C132" t="s">
        <v>467</v>
      </c>
      <c r="D132" t="s">
        <v>590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>
      <c r="A133" t="s">
        <v>588</v>
      </c>
      <c r="B133" t="s">
        <v>591</v>
      </c>
      <c r="C133" t="s">
        <v>287</v>
      </c>
      <c r="D133" t="s">
        <v>590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>
      <c r="A134" t="s">
        <v>592</v>
      </c>
      <c r="B134" t="s">
        <v>593</v>
      </c>
      <c r="C134" t="s">
        <v>594</v>
      </c>
      <c r="D134" t="s">
        <v>595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>
      <c r="A135" t="s">
        <v>592</v>
      </c>
      <c r="B135" t="s">
        <v>596</v>
      </c>
      <c r="C135" t="s">
        <v>594</v>
      </c>
      <c r="D135" t="s">
        <v>595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>
      <c r="A136" t="s">
        <v>597</v>
      </c>
      <c r="B136" t="s">
        <v>598</v>
      </c>
      <c r="C136" t="s">
        <v>599</v>
      </c>
      <c r="D136" t="s">
        <v>600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>
      <c r="A137" t="s">
        <v>597</v>
      </c>
      <c r="B137" t="s">
        <v>601</v>
      </c>
      <c r="C137" t="s">
        <v>599</v>
      </c>
      <c r="D137" t="s">
        <v>600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>
      <c r="A138" t="s">
        <v>602</v>
      </c>
      <c r="B138" t="s">
        <v>603</v>
      </c>
      <c r="C138" t="s">
        <v>604</v>
      </c>
      <c r="D138" t="s">
        <v>605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>
      <c r="A139" t="s">
        <v>602</v>
      </c>
      <c r="B139" t="s">
        <v>606</v>
      </c>
      <c r="C139" t="s">
        <v>604</v>
      </c>
      <c r="D139" t="s">
        <v>605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>
      <c r="A140" t="s">
        <v>607</v>
      </c>
      <c r="B140" t="s">
        <v>608</v>
      </c>
      <c r="C140" t="s">
        <v>291</v>
      </c>
      <c r="D140" t="s">
        <v>609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>
      <c r="A141" t="s">
        <v>610</v>
      </c>
      <c r="B141" t="s">
        <v>611</v>
      </c>
      <c r="C141" t="s">
        <v>612</v>
      </c>
      <c r="D141" t="s">
        <v>613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>
      <c r="A142" t="s">
        <v>614</v>
      </c>
      <c r="B142" t="s">
        <v>615</v>
      </c>
      <c r="C142" t="s">
        <v>462</v>
      </c>
      <c r="D142" t="s">
        <v>616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>
      <c r="A143" t="s">
        <v>614</v>
      </c>
      <c r="B143" t="s">
        <v>617</v>
      </c>
      <c r="C143" t="s">
        <v>618</v>
      </c>
      <c r="D143" t="s">
        <v>616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>
      <c r="A144" t="s">
        <v>614</v>
      </c>
      <c r="B144" t="s">
        <v>617</v>
      </c>
      <c r="C144" t="s">
        <v>618</v>
      </c>
      <c r="D144" t="s">
        <v>619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>
      <c r="A145" t="s">
        <v>620</v>
      </c>
      <c r="B145" t="s">
        <v>621</v>
      </c>
      <c r="C145" t="s">
        <v>622</v>
      </c>
      <c r="D145" t="s">
        <v>623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>
      <c r="A146" t="s">
        <v>624</v>
      </c>
      <c r="B146" t="s">
        <v>625</v>
      </c>
      <c r="C146" t="s">
        <v>270</v>
      </c>
      <c r="D146" t="s">
        <v>626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>
      <c r="A147" t="s">
        <v>627</v>
      </c>
      <c r="B147" t="s">
        <v>299</v>
      </c>
      <c r="C147" t="s">
        <v>300</v>
      </c>
      <c r="D147" t="s">
        <v>298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>
      <c r="A148" t="s">
        <v>627</v>
      </c>
      <c r="B148" t="s">
        <v>299</v>
      </c>
      <c r="C148" t="s">
        <v>300</v>
      </c>
      <c r="D148" t="s">
        <v>628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>
      <c r="A149" t="s">
        <v>629</v>
      </c>
      <c r="B149" t="s">
        <v>630</v>
      </c>
      <c r="C149" t="s">
        <v>287</v>
      </c>
      <c r="D149" t="s">
        <v>631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>
      <c r="A150" t="s">
        <v>632</v>
      </c>
      <c r="B150" t="s">
        <v>633</v>
      </c>
      <c r="C150" t="s">
        <v>270</v>
      </c>
      <c r="D150" t="s">
        <v>634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>
      <c r="A151" t="s">
        <v>635</v>
      </c>
      <c r="B151" t="s">
        <v>320</v>
      </c>
      <c r="C151" t="s">
        <v>318</v>
      </c>
      <c r="D151" t="s">
        <v>319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>
      <c r="A152" t="s">
        <v>635</v>
      </c>
      <c r="B152" t="s">
        <v>636</v>
      </c>
      <c r="C152" t="s">
        <v>637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>
      <c r="A153" t="s">
        <v>638</v>
      </c>
      <c r="B153" t="s">
        <v>639</v>
      </c>
      <c r="C153" t="s">
        <v>287</v>
      </c>
      <c r="D153" t="s">
        <v>640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>
      <c r="A154" t="s">
        <v>641</v>
      </c>
      <c r="B154" t="s">
        <v>642</v>
      </c>
      <c r="C154" t="s">
        <v>643</v>
      </c>
      <c r="D154" t="s">
        <v>644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>
      <c r="A155" t="s">
        <v>645</v>
      </c>
      <c r="B155" t="s">
        <v>646</v>
      </c>
      <c r="C155" t="s">
        <v>647</v>
      </c>
      <c r="D155" t="s">
        <v>648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>
      <c r="A156" t="s">
        <v>645</v>
      </c>
      <c r="B156" t="s">
        <v>649</v>
      </c>
      <c r="C156" t="s">
        <v>300</v>
      </c>
      <c r="D156" t="s">
        <v>648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>
      <c r="A157" t="s">
        <v>645</v>
      </c>
      <c r="B157" t="s">
        <v>646</v>
      </c>
      <c r="C157" t="s">
        <v>647</v>
      </c>
      <c r="D157" t="s">
        <v>650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>
      <c r="A158" t="s">
        <v>651</v>
      </c>
      <c r="B158" t="s">
        <v>652</v>
      </c>
      <c r="C158" t="s">
        <v>653</v>
      </c>
      <c r="D158" t="s">
        <v>654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>
      <c r="A159" t="s">
        <v>655</v>
      </c>
      <c r="B159" t="s">
        <v>656</v>
      </c>
      <c r="C159" t="s">
        <v>657</v>
      </c>
      <c r="D159" t="s">
        <v>658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>
      <c r="A160" t="s">
        <v>655</v>
      </c>
      <c r="B160" t="s">
        <v>656</v>
      </c>
      <c r="C160" t="s">
        <v>657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>
      <c r="A161" t="s">
        <v>659</v>
      </c>
      <c r="B161" t="s">
        <v>660</v>
      </c>
      <c r="C161" t="s">
        <v>661</v>
      </c>
      <c r="D161" t="s">
        <v>662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>
      <c r="A162" t="s">
        <v>663</v>
      </c>
      <c r="B162" t="s">
        <v>664</v>
      </c>
      <c r="C162" t="s">
        <v>665</v>
      </c>
      <c r="D162" t="s">
        <v>666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>
      <c r="A163" t="s">
        <v>667</v>
      </c>
      <c r="B163" t="s">
        <v>668</v>
      </c>
      <c r="C163" t="s">
        <v>287</v>
      </c>
      <c r="D163" t="s">
        <v>669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>
      <c r="A164" t="s">
        <v>670</v>
      </c>
      <c r="B164" t="s">
        <v>671</v>
      </c>
      <c r="C164" t="s">
        <v>395</v>
      </c>
      <c r="D164" t="s">
        <v>672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>
      <c r="A165" t="s">
        <v>673</v>
      </c>
      <c r="B165" t="s">
        <v>674</v>
      </c>
      <c r="C165" t="s">
        <v>675</v>
      </c>
      <c r="D165" t="s">
        <v>676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>
      <c r="A166" t="s">
        <v>677</v>
      </c>
      <c r="B166" t="s">
        <v>678</v>
      </c>
      <c r="C166" t="s">
        <v>679</v>
      </c>
      <c r="D166" t="s">
        <v>680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>
      <c r="A167" t="s">
        <v>681</v>
      </c>
      <c r="B167" t="s">
        <v>682</v>
      </c>
      <c r="C167" t="s">
        <v>683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>
      <c r="A168" t="s">
        <v>681</v>
      </c>
      <c r="B168" t="s">
        <v>684</v>
      </c>
      <c r="C168" t="s">
        <v>683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>
      <c r="A169" t="s">
        <v>685</v>
      </c>
      <c r="B169" t="s">
        <v>686</v>
      </c>
      <c r="C169" t="s">
        <v>291</v>
      </c>
      <c r="D169" t="s">
        <v>687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>
      <c r="A170" t="s">
        <v>688</v>
      </c>
      <c r="B170" t="s">
        <v>689</v>
      </c>
      <c r="C170" t="s">
        <v>376</v>
      </c>
      <c r="D170" t="s">
        <v>690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>
      <c r="A171" t="s">
        <v>688</v>
      </c>
      <c r="B171" t="s">
        <v>691</v>
      </c>
      <c r="C171" t="s">
        <v>692</v>
      </c>
      <c r="D171" t="s">
        <v>690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>
      <c r="A172" t="s">
        <v>688</v>
      </c>
      <c r="B172" t="s">
        <v>691</v>
      </c>
      <c r="C172" t="s">
        <v>692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>
      <c r="A173" t="s">
        <v>693</v>
      </c>
      <c r="B173" t="s">
        <v>694</v>
      </c>
      <c r="C173" t="s">
        <v>287</v>
      </c>
      <c r="D173" t="s">
        <v>695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>
      <c r="A174" t="s">
        <v>696</v>
      </c>
      <c r="B174" t="s">
        <v>697</v>
      </c>
      <c r="C174" t="s">
        <v>395</v>
      </c>
      <c r="D174" t="s">
        <v>698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>
      <c r="A175" t="s">
        <v>699</v>
      </c>
      <c r="B175" t="s">
        <v>379</v>
      </c>
      <c r="C175" t="s">
        <v>380</v>
      </c>
      <c r="D175" t="s">
        <v>382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>
      <c r="A176" t="s">
        <v>699</v>
      </c>
      <c r="B176" t="s">
        <v>700</v>
      </c>
      <c r="C176" t="s">
        <v>270</v>
      </c>
      <c r="D176" t="s">
        <v>382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>
      <c r="A177" t="s">
        <v>701</v>
      </c>
      <c r="B177" t="s">
        <v>702</v>
      </c>
      <c r="C177" t="s">
        <v>703</v>
      </c>
      <c r="D177" t="s">
        <v>704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>
      <c r="A178" t="s">
        <v>701</v>
      </c>
      <c r="B178" t="s">
        <v>705</v>
      </c>
      <c r="C178" t="s">
        <v>703</v>
      </c>
      <c r="D178" t="s">
        <v>704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>
      <c r="A179" t="s">
        <v>706</v>
      </c>
      <c r="B179" t="s">
        <v>707</v>
      </c>
      <c r="C179" t="s">
        <v>708</v>
      </c>
      <c r="D179" t="s">
        <v>709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>
      <c r="A180" t="s">
        <v>710</v>
      </c>
      <c r="B180" t="s">
        <v>711</v>
      </c>
      <c r="C180" t="s">
        <v>712</v>
      </c>
      <c r="D180" t="s">
        <v>713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>
      <c r="A181" t="s">
        <v>714</v>
      </c>
      <c r="B181" t="s">
        <v>715</v>
      </c>
      <c r="C181" t="s">
        <v>287</v>
      </c>
      <c r="D181" t="s">
        <v>716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>
      <c r="A182" t="s">
        <v>717</v>
      </c>
      <c r="B182" t="s">
        <v>718</v>
      </c>
      <c r="C182" t="s">
        <v>719</v>
      </c>
      <c r="D182" t="s">
        <v>720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>
      <c r="A183" t="s">
        <v>717</v>
      </c>
      <c r="B183" t="s">
        <v>721</v>
      </c>
      <c r="C183" t="s">
        <v>719</v>
      </c>
      <c r="D183" t="s">
        <v>720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>
      <c r="A184" t="s">
        <v>722</v>
      </c>
      <c r="B184" t="s">
        <v>723</v>
      </c>
      <c r="C184" t="s">
        <v>724</v>
      </c>
      <c r="D184" t="s">
        <v>725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>
      <c r="A185" t="s">
        <v>722</v>
      </c>
      <c r="B185" t="s">
        <v>723</v>
      </c>
      <c r="C185" t="s">
        <v>724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>
      <c r="A186" t="s">
        <v>726</v>
      </c>
      <c r="B186" t="s">
        <v>727</v>
      </c>
      <c r="C186" t="s">
        <v>728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>
      <c r="A187" t="s">
        <v>726</v>
      </c>
      <c r="B187" t="s">
        <v>729</v>
      </c>
      <c r="C187" t="s">
        <v>730</v>
      </c>
      <c r="D187" t="s">
        <v>731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>
      <c r="A188" t="s">
        <v>732</v>
      </c>
      <c r="B188" t="s">
        <v>733</v>
      </c>
      <c r="C188" t="s">
        <v>376</v>
      </c>
      <c r="D188" t="s">
        <v>734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>
      <c r="A189" t="s">
        <v>735</v>
      </c>
      <c r="B189" t="s">
        <v>736</v>
      </c>
      <c r="C189" t="s">
        <v>270</v>
      </c>
      <c r="D189" t="s">
        <v>737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>
      <c r="A190" t="s">
        <v>735</v>
      </c>
      <c r="B190" t="s">
        <v>736</v>
      </c>
      <c r="C190" t="s">
        <v>738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>
      <c r="A191" t="s">
        <v>735</v>
      </c>
      <c r="B191" t="s">
        <v>394</v>
      </c>
      <c r="C191" t="s">
        <v>738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>
      <c r="A192" t="s">
        <v>739</v>
      </c>
      <c r="B192" t="s">
        <v>394</v>
      </c>
      <c r="C192" t="s">
        <v>395</v>
      </c>
      <c r="D192" t="s">
        <v>396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>
      <c r="A193" t="s">
        <v>740</v>
      </c>
      <c r="B193" t="s">
        <v>741</v>
      </c>
      <c r="C193" t="s">
        <v>742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>
      <c r="A194" t="s">
        <v>740</v>
      </c>
      <c r="B194" t="s">
        <v>743</v>
      </c>
      <c r="C194" t="s">
        <v>742</v>
      </c>
      <c r="D194" t="s">
        <v>744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>
      <c r="A195" t="s">
        <v>745</v>
      </c>
      <c r="B195" t="s">
        <v>746</v>
      </c>
      <c r="C195" t="s">
        <v>287</v>
      </c>
      <c r="D195" t="s">
        <v>747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>
      <c r="A196" t="s">
        <v>748</v>
      </c>
      <c r="B196" t="s">
        <v>749</v>
      </c>
      <c r="C196" t="s">
        <v>750</v>
      </c>
      <c r="D196" t="s">
        <v>751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>
      <c r="A197" t="s">
        <v>752</v>
      </c>
      <c r="B197" t="s">
        <v>753</v>
      </c>
      <c r="C197" t="s">
        <v>754</v>
      </c>
      <c r="D197" t="s">
        <v>755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>
      <c r="A198" t="s">
        <v>756</v>
      </c>
      <c r="B198" t="s">
        <v>757</v>
      </c>
      <c r="C198" t="s">
        <v>270</v>
      </c>
      <c r="D198" t="s">
        <v>758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>
      <c r="A199" t="s">
        <v>759</v>
      </c>
      <c r="B199" t="s">
        <v>760</v>
      </c>
      <c r="C199" t="s">
        <v>761</v>
      </c>
      <c r="D199" t="s">
        <v>762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>
      <c r="A200" t="s">
        <v>763</v>
      </c>
      <c r="B200" t="s">
        <v>764</v>
      </c>
      <c r="C200" t="s">
        <v>765</v>
      </c>
      <c r="D200" t="s">
        <v>766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>
      <c r="A201" t="s">
        <v>763</v>
      </c>
      <c r="B201" t="s">
        <v>767</v>
      </c>
      <c r="C201" t="s">
        <v>503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>
      <c r="A202" t="s">
        <v>763</v>
      </c>
      <c r="B202" t="s">
        <v>768</v>
      </c>
      <c r="C202" t="s">
        <v>503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>
      <c r="A203" t="s">
        <v>769</v>
      </c>
      <c r="B203" t="s">
        <v>770</v>
      </c>
      <c r="C203" t="s">
        <v>313</v>
      </c>
      <c r="D203" t="s">
        <v>771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>
      <c r="A204" t="s">
        <v>769</v>
      </c>
      <c r="B204" t="s">
        <v>772</v>
      </c>
      <c r="C204" t="s">
        <v>313</v>
      </c>
      <c r="D204" t="s">
        <v>771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>
      <c r="A205" t="s">
        <v>773</v>
      </c>
      <c r="B205" t="s">
        <v>774</v>
      </c>
      <c r="C205" t="s">
        <v>775</v>
      </c>
      <c r="D205" t="s">
        <v>776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>
      <c r="A206" t="s">
        <v>777</v>
      </c>
      <c r="B206" t="s">
        <v>778</v>
      </c>
      <c r="C206" t="s">
        <v>779</v>
      </c>
      <c r="D206" t="s">
        <v>780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>
      <c r="A207" t="s">
        <v>777</v>
      </c>
      <c r="B207" t="s">
        <v>781</v>
      </c>
      <c r="C207" t="s">
        <v>779</v>
      </c>
      <c r="D207" t="s">
        <v>780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>
      <c r="A208" t="s">
        <v>782</v>
      </c>
      <c r="B208" t="s">
        <v>783</v>
      </c>
      <c r="C208" t="s">
        <v>270</v>
      </c>
      <c r="D208" t="s">
        <v>784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>
      <c r="A209" t="s">
        <v>785</v>
      </c>
      <c r="B209" t="s">
        <v>786</v>
      </c>
      <c r="C209" t="s">
        <v>787</v>
      </c>
      <c r="D209" t="s">
        <v>788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>
      <c r="A210" t="s">
        <v>785</v>
      </c>
      <c r="B210" t="s">
        <v>789</v>
      </c>
      <c r="C210" t="s">
        <v>291</v>
      </c>
      <c r="D210" t="s">
        <v>788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>
      <c r="A211" t="s">
        <v>785</v>
      </c>
      <c r="B211" t="s">
        <v>789</v>
      </c>
      <c r="C211" t="s">
        <v>787</v>
      </c>
      <c r="D211" t="s">
        <v>788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>
      <c r="A212" t="s">
        <v>790</v>
      </c>
      <c r="B212" t="s">
        <v>791</v>
      </c>
      <c r="C212" t="s">
        <v>287</v>
      </c>
      <c r="D212" t="s">
        <v>792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>
      <c r="A213" t="s">
        <v>793</v>
      </c>
      <c r="B213" t="s">
        <v>794</v>
      </c>
      <c r="C213" t="s">
        <v>395</v>
      </c>
      <c r="D213" t="s">
        <v>795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>
      <c r="A214" t="s">
        <v>796</v>
      </c>
      <c r="B214" t="s">
        <v>797</v>
      </c>
      <c r="C214" t="s">
        <v>604</v>
      </c>
      <c r="D214" t="s">
        <v>798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>
      <c r="A215" t="s">
        <v>796</v>
      </c>
      <c r="B215" t="s">
        <v>799</v>
      </c>
      <c r="C215" t="s">
        <v>604</v>
      </c>
      <c r="D215" t="s">
        <v>798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>
      <c r="A216" t="s">
        <v>800</v>
      </c>
      <c r="B216" t="s">
        <v>801</v>
      </c>
      <c r="C216" t="s">
        <v>802</v>
      </c>
      <c r="D216" t="s">
        <v>803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>
      <c r="A217" t="s">
        <v>804</v>
      </c>
      <c r="B217" t="s">
        <v>805</v>
      </c>
      <c r="C217" t="s">
        <v>257</v>
      </c>
      <c r="D217" t="s">
        <v>806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>
      <c r="A218" t="s">
        <v>807</v>
      </c>
      <c r="B218" t="s">
        <v>808</v>
      </c>
      <c r="C218" t="s">
        <v>462</v>
      </c>
      <c r="D218" t="s">
        <v>809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>
      <c r="A219" t="s">
        <v>807</v>
      </c>
      <c r="B219" t="s">
        <v>808</v>
      </c>
      <c r="C219" t="s">
        <v>462</v>
      </c>
      <c r="D219" t="s">
        <v>810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>
      <c r="A220" t="s">
        <v>811</v>
      </c>
      <c r="B220" t="s">
        <v>812</v>
      </c>
      <c r="C220" t="s">
        <v>813</v>
      </c>
      <c r="D220" t="s">
        <v>814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>
      <c r="A221" t="s">
        <v>815</v>
      </c>
      <c r="B221" t="s">
        <v>816</v>
      </c>
      <c r="C221" t="s">
        <v>453</v>
      </c>
      <c r="D221" t="s">
        <v>817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>
      <c r="A222" t="s">
        <v>818</v>
      </c>
      <c r="B222" t="s">
        <v>819</v>
      </c>
      <c r="C222" t="s">
        <v>462</v>
      </c>
      <c r="D222" t="s">
        <v>820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>
      <c r="A223" t="s">
        <v>818</v>
      </c>
      <c r="B223" t="s">
        <v>821</v>
      </c>
      <c r="C223" t="s">
        <v>462</v>
      </c>
      <c r="D223" t="s">
        <v>820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>
      <c r="A224" t="s">
        <v>822</v>
      </c>
      <c r="B224" t="s">
        <v>823</v>
      </c>
      <c r="C224" t="s">
        <v>824</v>
      </c>
      <c r="D224" t="s">
        <v>825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>
      <c r="A225" t="s">
        <v>822</v>
      </c>
      <c r="B225" t="s">
        <v>826</v>
      </c>
      <c r="C225" t="s">
        <v>827</v>
      </c>
      <c r="D225" t="s">
        <v>828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>
      <c r="A226" t="s">
        <v>829</v>
      </c>
      <c r="B226" t="s">
        <v>412</v>
      </c>
      <c r="C226" t="s">
        <v>413</v>
      </c>
      <c r="D226" t="s">
        <v>458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>
      <c r="A227" t="s">
        <v>829</v>
      </c>
      <c r="B227" t="s">
        <v>830</v>
      </c>
      <c r="C227" t="s">
        <v>503</v>
      </c>
      <c r="D227" t="s">
        <v>458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>
      <c r="A228" t="s">
        <v>831</v>
      </c>
      <c r="B228" t="s">
        <v>832</v>
      </c>
      <c r="C228" t="s">
        <v>833</v>
      </c>
      <c r="D228" t="s">
        <v>834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>
      <c r="A229" t="s">
        <v>835</v>
      </c>
      <c r="B229" t="s">
        <v>836</v>
      </c>
      <c r="C229" t="s">
        <v>270</v>
      </c>
      <c r="D229" t="s">
        <v>837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>
      <c r="A230" t="s">
        <v>838</v>
      </c>
      <c r="B230" t="s">
        <v>839</v>
      </c>
      <c r="C230" t="s">
        <v>376</v>
      </c>
      <c r="D230" t="s">
        <v>840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>
      <c r="A231" t="s">
        <v>838</v>
      </c>
      <c r="B231" t="s">
        <v>839</v>
      </c>
      <c r="C231" t="s">
        <v>376</v>
      </c>
      <c r="D231" t="s">
        <v>841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>
      <c r="A232" t="s">
        <v>842</v>
      </c>
      <c r="B232" t="s">
        <v>843</v>
      </c>
      <c r="C232" t="s">
        <v>844</v>
      </c>
      <c r="D232" t="s">
        <v>845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44" workbookViewId="0">
      <selection activeCell="D66" sqref="D66"/>
    </sheetView>
  </sheetViews>
  <sheetFormatPr defaultRowHeight="1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>
      <c r="A1" s="1" t="s">
        <v>250</v>
      </c>
      <c r="B1" s="97" t="s">
        <v>161</v>
      </c>
      <c r="C1" s="89" t="s">
        <v>162</v>
      </c>
      <c r="D1" s="93" t="s">
        <v>163</v>
      </c>
      <c r="E1" s="93" t="s">
        <v>164</v>
      </c>
      <c r="F1" s="1" t="s">
        <v>846</v>
      </c>
      <c r="G1" s="97" t="s">
        <v>847</v>
      </c>
      <c r="H1" s="89" t="s">
        <v>848</v>
      </c>
      <c r="I1" s="89" t="s">
        <v>849</v>
      </c>
      <c r="J1" s="89" t="s">
        <v>850</v>
      </c>
      <c r="K1" s="1" t="s">
        <v>851</v>
      </c>
      <c r="L1" s="1" t="s">
        <v>852</v>
      </c>
      <c r="M1" s="1" t="s">
        <v>853</v>
      </c>
      <c r="N1" s="1" t="s">
        <v>854</v>
      </c>
      <c r="O1" s="1" t="s">
        <v>855</v>
      </c>
    </row>
    <row r="2" spans="1:47" ht="15.75" thickTop="1">
      <c r="A2">
        <v>57072</v>
      </c>
      <c r="B2" t="s">
        <v>895</v>
      </c>
      <c r="C2" t="s">
        <v>956</v>
      </c>
      <c r="D2" s="38">
        <v>2002</v>
      </c>
      <c r="E2" s="95" t="s">
        <v>957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>
      <c r="A3">
        <v>57075</v>
      </c>
      <c r="B3" t="s">
        <v>895</v>
      </c>
      <c r="C3" t="s">
        <v>889</v>
      </c>
      <c r="D3" s="38" t="s">
        <v>890</v>
      </c>
      <c r="E3" s="95" t="s">
        <v>1101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>
      <c r="A4">
        <v>57076</v>
      </c>
      <c r="B4" t="s">
        <v>895</v>
      </c>
      <c r="C4" t="s">
        <v>889</v>
      </c>
      <c r="D4" s="38" t="s">
        <v>1080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>
      <c r="A5">
        <v>57076</v>
      </c>
      <c r="B5" t="s">
        <v>895</v>
      </c>
      <c r="C5" t="s">
        <v>889</v>
      </c>
      <c r="D5" s="38" t="s">
        <v>1080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>
      <c r="A6">
        <v>57093</v>
      </c>
      <c r="B6" t="s">
        <v>895</v>
      </c>
      <c r="C6" t="s">
        <v>864</v>
      </c>
      <c r="D6" s="38" t="s">
        <v>935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>
      <c r="A7">
        <v>57096</v>
      </c>
      <c r="B7" t="s">
        <v>856</v>
      </c>
      <c r="C7" t="s">
        <v>861</v>
      </c>
      <c r="D7" s="38" t="s">
        <v>862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>
      <c r="A8">
        <v>57096</v>
      </c>
      <c r="B8" t="s">
        <v>856</v>
      </c>
      <c r="C8" t="s">
        <v>861</v>
      </c>
      <c r="D8" s="38" t="s">
        <v>862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>
      <c r="A9">
        <v>57097</v>
      </c>
      <c r="B9" t="s">
        <v>856</v>
      </c>
      <c r="C9" t="s">
        <v>861</v>
      </c>
      <c r="D9" s="38" t="s">
        <v>862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>
      <c r="A10">
        <v>57113</v>
      </c>
      <c r="B10" t="s">
        <v>895</v>
      </c>
      <c r="C10" t="s">
        <v>864</v>
      </c>
      <c r="D10" s="38" t="s">
        <v>922</v>
      </c>
      <c r="E10" s="94" t="s">
        <v>926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>
      <c r="A11">
        <v>57114</v>
      </c>
      <c r="B11" t="s">
        <v>895</v>
      </c>
      <c r="C11" t="s">
        <v>1017</v>
      </c>
      <c r="D11" s="38" t="s">
        <v>1019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>
      <c r="A12">
        <v>57119</v>
      </c>
      <c r="B12" t="s">
        <v>856</v>
      </c>
      <c r="C12" t="s">
        <v>861</v>
      </c>
      <c r="D12" s="38" t="s">
        <v>862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>
      <c r="A13">
        <v>57119</v>
      </c>
      <c r="B13" t="s">
        <v>895</v>
      </c>
      <c r="C13" t="s">
        <v>906</v>
      </c>
      <c r="D13" s="38" t="s">
        <v>862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>
      <c r="A14">
        <v>57124</v>
      </c>
      <c r="B14" t="s">
        <v>895</v>
      </c>
      <c r="C14" t="s">
        <v>864</v>
      </c>
      <c r="D14" s="38" t="s">
        <v>928</v>
      </c>
      <c r="E14" s="95" t="s">
        <v>929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>
      <c r="A15">
        <v>57132</v>
      </c>
      <c r="B15" t="s">
        <v>856</v>
      </c>
      <c r="C15" t="s">
        <v>864</v>
      </c>
      <c r="D15" s="38" t="s">
        <v>865</v>
      </c>
      <c r="E15" s="95" t="s">
        <v>866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>
      <c r="A16">
        <v>57132</v>
      </c>
      <c r="B16" t="s">
        <v>856</v>
      </c>
      <c r="C16" t="s">
        <v>864</v>
      </c>
      <c r="D16" s="38" t="s">
        <v>865</v>
      </c>
      <c r="E16" s="95" t="s">
        <v>878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>
      <c r="A17">
        <v>57132</v>
      </c>
      <c r="B17" t="s">
        <v>895</v>
      </c>
      <c r="C17" t="s">
        <v>889</v>
      </c>
      <c r="D17" s="38" t="s">
        <v>1046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>
      <c r="A18">
        <v>57137</v>
      </c>
      <c r="B18" t="s">
        <v>895</v>
      </c>
      <c r="C18" t="s">
        <v>947</v>
      </c>
      <c r="D18" s="38" t="s">
        <v>949</v>
      </c>
      <c r="E18" s="95" t="s">
        <v>950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>
      <c r="A19">
        <v>57146</v>
      </c>
      <c r="B19" t="s">
        <v>895</v>
      </c>
      <c r="C19" t="s">
        <v>1015</v>
      </c>
      <c r="D19" s="38" t="s">
        <v>890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>
      <c r="A20">
        <v>57146</v>
      </c>
      <c r="B20" t="s">
        <v>895</v>
      </c>
      <c r="C20" t="s">
        <v>889</v>
      </c>
      <c r="D20" s="38" t="s">
        <v>1044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>
      <c r="A21">
        <v>57146</v>
      </c>
      <c r="B21" t="s">
        <v>895</v>
      </c>
      <c r="C21" t="s">
        <v>889</v>
      </c>
      <c r="D21" s="38" t="s">
        <v>890</v>
      </c>
      <c r="E21" s="95" t="s">
        <v>1103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>
      <c r="A22">
        <v>57162</v>
      </c>
      <c r="B22" t="s">
        <v>895</v>
      </c>
      <c r="C22" t="s">
        <v>1030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>
      <c r="A23">
        <v>57170</v>
      </c>
      <c r="B23" t="s">
        <v>856</v>
      </c>
      <c r="C23" t="s">
        <v>864</v>
      </c>
      <c r="D23" s="38" t="s">
        <v>865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>
      <c r="A24">
        <v>57170</v>
      </c>
      <c r="B24" t="s">
        <v>895</v>
      </c>
      <c r="C24" t="s">
        <v>964</v>
      </c>
      <c r="D24" s="38" t="s">
        <v>970</v>
      </c>
      <c r="E24" s="95" t="s">
        <v>971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>
      <c r="A25">
        <v>57177</v>
      </c>
      <c r="B25" t="s">
        <v>895</v>
      </c>
      <c r="C25" t="s">
        <v>1022</v>
      </c>
      <c r="D25" s="38" t="s">
        <v>1023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>
      <c r="A26">
        <v>57178</v>
      </c>
      <c r="B26" t="s">
        <v>895</v>
      </c>
      <c r="C26" t="s">
        <v>889</v>
      </c>
      <c r="D26" s="38" t="s">
        <v>912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>
      <c r="A27">
        <v>57182</v>
      </c>
      <c r="B27" t="s">
        <v>895</v>
      </c>
      <c r="C27" t="s">
        <v>889</v>
      </c>
      <c r="D27" s="38" t="s">
        <v>890</v>
      </c>
      <c r="E27" s="95" t="s">
        <v>1100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>
      <c r="A28">
        <v>57198</v>
      </c>
      <c r="B28" t="s">
        <v>895</v>
      </c>
      <c r="C28" t="s">
        <v>889</v>
      </c>
      <c r="D28" s="38" t="s">
        <v>1069</v>
      </c>
      <c r="E28" s="95" t="s">
        <v>1072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>
      <c r="A29">
        <v>57206</v>
      </c>
      <c r="B29" t="s">
        <v>895</v>
      </c>
      <c r="C29" t="s">
        <v>1035</v>
      </c>
      <c r="D29" s="38" t="s">
        <v>1036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>
      <c r="A30">
        <v>57221</v>
      </c>
      <c r="B30" t="s">
        <v>856</v>
      </c>
      <c r="C30" t="s">
        <v>864</v>
      </c>
      <c r="D30" s="38" t="s">
        <v>865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>
      <c r="A31">
        <v>57221</v>
      </c>
      <c r="B31" t="s">
        <v>856</v>
      </c>
      <c r="C31" t="s">
        <v>864</v>
      </c>
      <c r="D31" s="38" t="s">
        <v>865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>
      <c r="A32">
        <v>57221</v>
      </c>
      <c r="B32" t="s">
        <v>856</v>
      </c>
      <c r="C32" t="s">
        <v>864</v>
      </c>
      <c r="D32" s="38" t="s">
        <v>865</v>
      </c>
      <c r="E32" s="95" t="s">
        <v>872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>
      <c r="A33">
        <v>57221</v>
      </c>
      <c r="B33" t="s">
        <v>895</v>
      </c>
      <c r="C33" t="s">
        <v>864</v>
      </c>
      <c r="D33" s="38" t="s">
        <v>930</v>
      </c>
      <c r="E33" s="95" t="s">
        <v>934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>
      <c r="A34">
        <v>57221</v>
      </c>
      <c r="B34" t="s">
        <v>895</v>
      </c>
      <c r="C34" t="s">
        <v>973</v>
      </c>
      <c r="D34" s="38" t="s">
        <v>977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>
      <c r="A35">
        <v>57221</v>
      </c>
      <c r="B35" t="s">
        <v>895</v>
      </c>
      <c r="C35" t="s">
        <v>973</v>
      </c>
      <c r="D35" s="38" t="s">
        <v>978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>
      <c r="A36">
        <v>57221</v>
      </c>
      <c r="B36" t="s">
        <v>895</v>
      </c>
      <c r="C36" t="s">
        <v>973</v>
      </c>
      <c r="D36" s="38" t="s">
        <v>982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>
      <c r="A37">
        <v>57221</v>
      </c>
      <c r="B37" t="s">
        <v>895</v>
      </c>
      <c r="C37" t="s">
        <v>973</v>
      </c>
      <c r="D37" s="38" t="s">
        <v>982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>
      <c r="A38">
        <v>57222</v>
      </c>
      <c r="B38" t="s">
        <v>895</v>
      </c>
      <c r="C38" t="s">
        <v>889</v>
      </c>
      <c r="D38" s="38">
        <v>574</v>
      </c>
      <c r="E38" s="95" t="s">
        <v>1042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>
      <c r="A39">
        <v>57240</v>
      </c>
      <c r="B39" t="s">
        <v>856</v>
      </c>
      <c r="C39" t="s">
        <v>864</v>
      </c>
      <c r="D39" s="38" t="s">
        <v>865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>
      <c r="A40">
        <v>57240</v>
      </c>
      <c r="B40" t="s">
        <v>895</v>
      </c>
      <c r="C40" t="s">
        <v>1024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>
      <c r="A41">
        <v>57248</v>
      </c>
      <c r="B41" t="s">
        <v>856</v>
      </c>
      <c r="C41" t="s">
        <v>861</v>
      </c>
      <c r="D41" s="38" t="s">
        <v>863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>
      <c r="A42">
        <v>57248</v>
      </c>
      <c r="B42" t="s">
        <v>856</v>
      </c>
      <c r="C42" t="s">
        <v>864</v>
      </c>
      <c r="D42" s="38" t="s">
        <v>865</v>
      </c>
      <c r="E42" s="95" t="s">
        <v>872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>
      <c r="A43">
        <v>57248</v>
      </c>
      <c r="B43" t="s">
        <v>856</v>
      </c>
      <c r="C43" t="s">
        <v>889</v>
      </c>
      <c r="D43" s="38" t="s">
        <v>894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>
      <c r="A44">
        <v>57248</v>
      </c>
      <c r="B44" t="s">
        <v>895</v>
      </c>
      <c r="C44" t="s">
        <v>857</v>
      </c>
      <c r="D44" s="38" t="s">
        <v>903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>
      <c r="A45">
        <v>57248</v>
      </c>
      <c r="B45" t="s">
        <v>895</v>
      </c>
      <c r="C45" t="s">
        <v>973</v>
      </c>
      <c r="D45" s="38" t="s">
        <v>977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>
      <c r="A46">
        <v>57248</v>
      </c>
      <c r="B46" t="s">
        <v>895</v>
      </c>
      <c r="C46" t="s">
        <v>973</v>
      </c>
      <c r="D46" s="38" t="s">
        <v>977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>
      <c r="A47">
        <v>57248</v>
      </c>
      <c r="B47" t="s">
        <v>895</v>
      </c>
      <c r="C47" t="s">
        <v>973</v>
      </c>
      <c r="D47" s="38" t="s">
        <v>977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>
      <c r="A48">
        <v>57248</v>
      </c>
      <c r="B48" t="s">
        <v>895</v>
      </c>
      <c r="C48" t="s">
        <v>1035</v>
      </c>
      <c r="D48" s="38" t="s">
        <v>1036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>
      <c r="A49">
        <v>57248</v>
      </c>
      <c r="B49" t="s">
        <v>895</v>
      </c>
      <c r="C49" t="s">
        <v>1035</v>
      </c>
      <c r="D49" s="38" t="s">
        <v>1036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>
      <c r="A50">
        <v>57248</v>
      </c>
      <c r="B50" t="s">
        <v>895</v>
      </c>
      <c r="C50" t="s">
        <v>1035</v>
      </c>
      <c r="D50" s="38" t="s">
        <v>1036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>
      <c r="A51">
        <v>57248</v>
      </c>
      <c r="B51" t="s">
        <v>895</v>
      </c>
      <c r="C51" t="s">
        <v>1035</v>
      </c>
      <c r="D51" s="38" t="s">
        <v>1036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>
      <c r="A52">
        <v>57248</v>
      </c>
      <c r="B52" t="s">
        <v>895</v>
      </c>
      <c r="C52" t="s">
        <v>889</v>
      </c>
      <c r="D52" s="38" t="s">
        <v>1049</v>
      </c>
      <c r="E52" s="95" t="s">
        <v>1050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>
      <c r="A53">
        <v>57248</v>
      </c>
      <c r="B53" t="s">
        <v>895</v>
      </c>
      <c r="C53" t="s">
        <v>889</v>
      </c>
      <c r="D53" s="38" t="s">
        <v>1049</v>
      </c>
      <c r="E53" s="95" t="s">
        <v>1051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>
      <c r="A54">
        <v>57248</v>
      </c>
      <c r="B54" t="s">
        <v>895</v>
      </c>
      <c r="C54" t="s">
        <v>889</v>
      </c>
      <c r="D54" s="38" t="s">
        <v>1056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>
      <c r="A55">
        <v>57250</v>
      </c>
      <c r="B55" t="s">
        <v>895</v>
      </c>
      <c r="C55" t="s">
        <v>889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>
      <c r="A56">
        <v>57273</v>
      </c>
      <c r="B56" t="s">
        <v>895</v>
      </c>
      <c r="C56" t="s">
        <v>1000</v>
      </c>
      <c r="D56" s="38" t="s">
        <v>890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>
      <c r="A57">
        <v>57273</v>
      </c>
      <c r="B57" t="s">
        <v>895</v>
      </c>
      <c r="C57" t="s">
        <v>889</v>
      </c>
      <c r="D57" s="38" t="s">
        <v>1112</v>
      </c>
      <c r="E57" s="95" t="s">
        <v>1113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>
      <c r="A58">
        <v>57283</v>
      </c>
      <c r="B58" t="s">
        <v>895</v>
      </c>
      <c r="C58" t="s">
        <v>864</v>
      </c>
      <c r="D58" s="38" t="s">
        <v>930</v>
      </c>
      <c r="E58" s="95" t="s">
        <v>932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>
      <c r="A59">
        <v>57283</v>
      </c>
      <c r="B59" t="s">
        <v>895</v>
      </c>
      <c r="C59" t="s">
        <v>864</v>
      </c>
      <c r="D59" s="38" t="s">
        <v>930</v>
      </c>
      <c r="E59" s="95" t="s">
        <v>933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>
      <c r="A60">
        <v>57283</v>
      </c>
      <c r="B60" t="s">
        <v>895</v>
      </c>
      <c r="C60" t="s">
        <v>864</v>
      </c>
      <c r="D60" s="38" t="s">
        <v>942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>
      <c r="A61">
        <v>57283</v>
      </c>
      <c r="B61" t="s">
        <v>895</v>
      </c>
      <c r="C61" t="s">
        <v>973</v>
      </c>
      <c r="D61" s="38" t="s">
        <v>998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>
      <c r="A62">
        <v>57286</v>
      </c>
      <c r="B62" t="s">
        <v>895</v>
      </c>
      <c r="C62" t="s">
        <v>889</v>
      </c>
      <c r="D62" s="38" t="s">
        <v>912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>
      <c r="A63">
        <v>57290</v>
      </c>
      <c r="B63" t="s">
        <v>895</v>
      </c>
      <c r="C63" t="s">
        <v>973</v>
      </c>
      <c r="D63" s="38" t="s">
        <v>994</v>
      </c>
      <c r="E63" s="95" t="s">
        <v>995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>
      <c r="A64">
        <v>57290</v>
      </c>
      <c r="B64" t="s">
        <v>895</v>
      </c>
      <c r="C64" t="s">
        <v>973</v>
      </c>
      <c r="D64" s="38" t="s">
        <v>997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>
      <c r="A65">
        <v>57298</v>
      </c>
      <c r="B65" t="s">
        <v>895</v>
      </c>
      <c r="C65" t="s">
        <v>857</v>
      </c>
      <c r="D65" s="38" t="s">
        <v>902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>
      <c r="A66">
        <v>57298</v>
      </c>
      <c r="B66" t="s">
        <v>895</v>
      </c>
      <c r="C66" t="s">
        <v>889</v>
      </c>
      <c r="D66" s="38" t="s">
        <v>1149</v>
      </c>
      <c r="E66" s="95" t="s">
        <v>1148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>
      <c r="A67">
        <v>57298</v>
      </c>
      <c r="B67" t="s">
        <v>895</v>
      </c>
      <c r="C67" t="s">
        <v>889</v>
      </c>
      <c r="D67" s="38" t="s">
        <v>1109</v>
      </c>
      <c r="E67" s="95" t="s">
        <v>1110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>
      <c r="A68">
        <v>57305</v>
      </c>
      <c r="B68" t="s">
        <v>856</v>
      </c>
      <c r="C68" t="s">
        <v>864</v>
      </c>
      <c r="D68" s="38" t="s">
        <v>865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>
      <c r="A69">
        <v>57305</v>
      </c>
      <c r="B69" t="s">
        <v>895</v>
      </c>
      <c r="C69" t="s">
        <v>963</v>
      </c>
      <c r="D69" s="38" t="s">
        <v>963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>
      <c r="A70">
        <v>57305</v>
      </c>
      <c r="B70" t="s">
        <v>895</v>
      </c>
      <c r="C70" t="s">
        <v>889</v>
      </c>
      <c r="D70" s="38" t="s">
        <v>1081</v>
      </c>
      <c r="E70" s="95" t="s">
        <v>1082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>
      <c r="A71">
        <v>57310</v>
      </c>
      <c r="B71" t="s">
        <v>895</v>
      </c>
      <c r="C71" t="s">
        <v>896</v>
      </c>
      <c r="D71" s="38" t="s">
        <v>890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>
      <c r="A72">
        <v>57319</v>
      </c>
      <c r="B72" t="s">
        <v>895</v>
      </c>
      <c r="C72" t="s">
        <v>1024</v>
      </c>
      <c r="D72" s="38">
        <v>6814</v>
      </c>
      <c r="E72" s="95" t="s">
        <v>1028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>
      <c r="A73">
        <v>57319</v>
      </c>
      <c r="B73" t="s">
        <v>895</v>
      </c>
      <c r="C73" t="s">
        <v>1024</v>
      </c>
      <c r="D73" s="38">
        <v>6814</v>
      </c>
      <c r="E73" s="95" t="s">
        <v>1029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>
      <c r="A74">
        <v>57319</v>
      </c>
      <c r="B74" t="s">
        <v>895</v>
      </c>
      <c r="C74" t="s">
        <v>889</v>
      </c>
      <c r="D74" s="38" t="s">
        <v>1069</v>
      </c>
      <c r="E74" s="95" t="s">
        <v>1077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>
      <c r="A75">
        <v>57319</v>
      </c>
      <c r="B75" t="s">
        <v>895</v>
      </c>
      <c r="C75" t="s">
        <v>889</v>
      </c>
      <c r="D75" s="38" t="s">
        <v>1091</v>
      </c>
      <c r="E75" s="95" t="s">
        <v>1092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>
      <c r="A76">
        <v>57327</v>
      </c>
      <c r="B76" t="s">
        <v>895</v>
      </c>
      <c r="C76" t="s">
        <v>889</v>
      </c>
      <c r="D76" s="38">
        <v>500</v>
      </c>
      <c r="E76" s="95" t="s">
        <v>1040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>
      <c r="A77">
        <v>57330</v>
      </c>
      <c r="B77" t="s">
        <v>895</v>
      </c>
      <c r="C77" t="s">
        <v>889</v>
      </c>
      <c r="D77" s="38">
        <v>4</v>
      </c>
      <c r="E77" s="95" t="s">
        <v>1039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>
      <c r="A78">
        <v>57330</v>
      </c>
      <c r="B78" t="s">
        <v>895</v>
      </c>
      <c r="C78" t="s">
        <v>889</v>
      </c>
      <c r="D78" s="38" t="s">
        <v>1056</v>
      </c>
      <c r="E78" s="95" t="s">
        <v>1058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>
      <c r="A79">
        <v>57332</v>
      </c>
      <c r="B79" t="s">
        <v>895</v>
      </c>
      <c r="C79" t="s">
        <v>964</v>
      </c>
      <c r="D79" s="38" t="s">
        <v>965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>
      <c r="A80">
        <v>57332</v>
      </c>
      <c r="B80" t="s">
        <v>895</v>
      </c>
      <c r="C80" t="s">
        <v>889</v>
      </c>
      <c r="D80" s="38" t="s">
        <v>1069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>
      <c r="A81">
        <v>57332</v>
      </c>
      <c r="B81" t="s">
        <v>895</v>
      </c>
      <c r="C81" t="s">
        <v>889</v>
      </c>
      <c r="D81" s="38" t="s">
        <v>1069</v>
      </c>
      <c r="E81" s="95" t="s">
        <v>1075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>
      <c r="A82">
        <v>57341</v>
      </c>
      <c r="B82" t="s">
        <v>895</v>
      </c>
      <c r="C82" t="s">
        <v>864</v>
      </c>
      <c r="D82" s="38" t="s">
        <v>938</v>
      </c>
      <c r="E82" s="95" t="s">
        <v>939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>
      <c r="A83">
        <v>57344</v>
      </c>
      <c r="B83" t="s">
        <v>895</v>
      </c>
      <c r="C83" t="s">
        <v>864</v>
      </c>
      <c r="D83" s="38" t="s">
        <v>912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>
      <c r="A84">
        <v>57358</v>
      </c>
      <c r="B84" t="s">
        <v>895</v>
      </c>
      <c r="C84" t="s">
        <v>889</v>
      </c>
      <c r="D84" s="38" t="s">
        <v>1105</v>
      </c>
      <c r="E84" s="95" t="s">
        <v>1106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>
      <c r="A85">
        <v>57382</v>
      </c>
      <c r="B85" t="s">
        <v>895</v>
      </c>
      <c r="C85" t="s">
        <v>864</v>
      </c>
      <c r="D85" s="38" t="s">
        <v>928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>
      <c r="A86">
        <v>57408</v>
      </c>
      <c r="B86" t="s">
        <v>895</v>
      </c>
      <c r="C86" t="s">
        <v>1002</v>
      </c>
      <c r="D86" s="38" t="s">
        <v>1003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>
      <c r="A87">
        <v>57410</v>
      </c>
      <c r="B87" t="s">
        <v>895</v>
      </c>
      <c r="C87" t="s">
        <v>889</v>
      </c>
      <c r="D87" s="38" t="s">
        <v>1109</v>
      </c>
      <c r="E87" s="95" t="s">
        <v>1111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>
      <c r="A88">
        <v>57416</v>
      </c>
      <c r="B88" t="s">
        <v>895</v>
      </c>
      <c r="C88" t="s">
        <v>895</v>
      </c>
      <c r="D88" s="38" t="s">
        <v>890</v>
      </c>
      <c r="E88" s="95" t="s">
        <v>1016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>
      <c r="A89">
        <v>57416</v>
      </c>
      <c r="B89" t="s">
        <v>895</v>
      </c>
      <c r="C89" t="s">
        <v>1020</v>
      </c>
      <c r="D89" s="38" t="s">
        <v>962</v>
      </c>
      <c r="E89" s="95" t="s">
        <v>1021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>
      <c r="A90">
        <v>57421</v>
      </c>
      <c r="B90" t="s">
        <v>856</v>
      </c>
      <c r="C90" t="s">
        <v>864</v>
      </c>
      <c r="D90" s="38" t="s">
        <v>865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>
      <c r="A91">
        <v>57421</v>
      </c>
      <c r="B91" t="s">
        <v>856</v>
      </c>
      <c r="C91" t="s">
        <v>864</v>
      </c>
      <c r="D91" s="38" t="s">
        <v>865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>
      <c r="A92">
        <v>57421</v>
      </c>
      <c r="B92" t="s">
        <v>895</v>
      </c>
      <c r="C92" t="s">
        <v>909</v>
      </c>
      <c r="D92" s="38" t="s">
        <v>890</v>
      </c>
      <c r="E92" s="95" t="s">
        <v>910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>
      <c r="A93">
        <v>57421</v>
      </c>
      <c r="B93" t="s">
        <v>895</v>
      </c>
      <c r="C93" t="s">
        <v>889</v>
      </c>
      <c r="D93" s="38" t="s">
        <v>1065</v>
      </c>
      <c r="E93" s="95" t="s">
        <v>1066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>
      <c r="A94">
        <v>57431</v>
      </c>
      <c r="B94" t="s">
        <v>895</v>
      </c>
      <c r="C94" t="s">
        <v>889</v>
      </c>
      <c r="D94" s="38" t="s">
        <v>890</v>
      </c>
      <c r="E94" s="95" t="s">
        <v>1102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>
      <c r="A95">
        <v>57433</v>
      </c>
      <c r="B95" t="s">
        <v>895</v>
      </c>
      <c r="C95" t="s">
        <v>889</v>
      </c>
      <c r="D95" s="38" t="s">
        <v>1097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>
      <c r="A96">
        <v>57437</v>
      </c>
      <c r="B96" t="s">
        <v>895</v>
      </c>
      <c r="C96" t="s">
        <v>889</v>
      </c>
      <c r="D96" s="38" t="s">
        <v>912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>
      <c r="A97">
        <v>57437</v>
      </c>
      <c r="B97" t="s">
        <v>895</v>
      </c>
      <c r="C97" t="s">
        <v>889</v>
      </c>
      <c r="D97" s="38" t="s">
        <v>1069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>
      <c r="A98">
        <v>57439</v>
      </c>
      <c r="B98" t="s">
        <v>895</v>
      </c>
      <c r="C98" t="s">
        <v>889</v>
      </c>
      <c r="D98" s="38" t="s">
        <v>1069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>
      <c r="A99">
        <v>57460</v>
      </c>
      <c r="B99" t="s">
        <v>856</v>
      </c>
      <c r="C99" t="s">
        <v>887</v>
      </c>
      <c r="D99" s="38" t="s">
        <v>888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>
      <c r="A100">
        <v>57460</v>
      </c>
      <c r="B100" t="s">
        <v>895</v>
      </c>
      <c r="C100" t="s">
        <v>889</v>
      </c>
      <c r="D100" s="38" t="s">
        <v>1069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>
      <c r="A101">
        <v>57460</v>
      </c>
      <c r="B101" t="s">
        <v>895</v>
      </c>
      <c r="C101" t="s">
        <v>889</v>
      </c>
      <c r="D101" s="38" t="s">
        <v>1107</v>
      </c>
      <c r="E101" s="95" t="s">
        <v>1108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>
      <c r="A102">
        <v>57461</v>
      </c>
      <c r="B102" t="s">
        <v>856</v>
      </c>
      <c r="C102" t="s">
        <v>864</v>
      </c>
      <c r="D102" s="38" t="s">
        <v>865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>
      <c r="A103">
        <v>57461</v>
      </c>
      <c r="B103" t="s">
        <v>856</v>
      </c>
      <c r="C103" t="s">
        <v>864</v>
      </c>
      <c r="D103" s="38" t="s">
        <v>865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>
      <c r="A104">
        <v>57461</v>
      </c>
      <c r="B104" t="s">
        <v>856</v>
      </c>
      <c r="C104" t="s">
        <v>864</v>
      </c>
      <c r="D104" s="38" t="s">
        <v>865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>
      <c r="A105">
        <v>57461</v>
      </c>
      <c r="B105" t="s">
        <v>856</v>
      </c>
      <c r="C105" t="s">
        <v>864</v>
      </c>
      <c r="D105" s="38" t="s">
        <v>880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>
      <c r="A106">
        <v>57461</v>
      </c>
      <c r="B106" t="s">
        <v>856</v>
      </c>
      <c r="C106" t="s">
        <v>887</v>
      </c>
      <c r="D106" s="38" t="s">
        <v>888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>
      <c r="A107">
        <v>57461</v>
      </c>
      <c r="B107" t="s">
        <v>895</v>
      </c>
      <c r="C107" t="s">
        <v>864</v>
      </c>
      <c r="D107" s="38" t="s">
        <v>880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>
      <c r="A108">
        <v>57461</v>
      </c>
      <c r="B108" t="s">
        <v>895</v>
      </c>
      <c r="C108" t="s">
        <v>1145</v>
      </c>
      <c r="D108" s="38" t="s">
        <v>1146</v>
      </c>
      <c r="E108" s="95" t="s">
        <v>1147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>
      <c r="A109">
        <v>57461</v>
      </c>
      <c r="B109" t="s">
        <v>895</v>
      </c>
      <c r="C109" t="s">
        <v>973</v>
      </c>
      <c r="D109" s="38" t="s">
        <v>974</v>
      </c>
      <c r="E109" s="95" t="s">
        <v>976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>
      <c r="A110">
        <v>57462</v>
      </c>
      <c r="B110" t="s">
        <v>856</v>
      </c>
      <c r="C110" t="s">
        <v>861</v>
      </c>
      <c r="D110" s="38" t="s">
        <v>862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>
      <c r="A111">
        <v>57464</v>
      </c>
      <c r="B111" t="s">
        <v>856</v>
      </c>
      <c r="C111" t="s">
        <v>864</v>
      </c>
      <c r="D111" s="38" t="s">
        <v>865</v>
      </c>
      <c r="E111" s="95" t="s">
        <v>867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>
      <c r="A112">
        <v>57470</v>
      </c>
      <c r="B112" t="s">
        <v>895</v>
      </c>
      <c r="C112" t="s">
        <v>889</v>
      </c>
      <c r="D112" s="38" t="s">
        <v>1069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>
      <c r="A113">
        <v>57480</v>
      </c>
      <c r="B113" t="s">
        <v>895</v>
      </c>
      <c r="C113" t="s">
        <v>896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>
      <c r="A114">
        <v>57481</v>
      </c>
      <c r="B114" t="s">
        <v>856</v>
      </c>
      <c r="C114" t="s">
        <v>859</v>
      </c>
      <c r="D114" s="38" t="s">
        <v>860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>
      <c r="A115">
        <v>57481</v>
      </c>
      <c r="B115" t="s">
        <v>856</v>
      </c>
      <c r="C115" t="s">
        <v>861</v>
      </c>
      <c r="D115" s="38" t="s">
        <v>863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>
      <c r="A116">
        <v>57481</v>
      </c>
      <c r="B116" t="s">
        <v>895</v>
      </c>
      <c r="C116" t="s">
        <v>973</v>
      </c>
      <c r="D116" s="38" t="s">
        <v>974</v>
      </c>
      <c r="E116" s="95" t="s">
        <v>975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>
      <c r="A117">
        <v>57481</v>
      </c>
      <c r="B117" t="s">
        <v>895</v>
      </c>
      <c r="C117" t="s">
        <v>973</v>
      </c>
      <c r="D117" s="38" t="s">
        <v>983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>
      <c r="A118">
        <v>57481</v>
      </c>
      <c r="B118" t="s">
        <v>895</v>
      </c>
      <c r="C118" t="s">
        <v>973</v>
      </c>
      <c r="D118" s="38" t="s">
        <v>998</v>
      </c>
      <c r="E118" s="95" t="s">
        <v>999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>
      <c r="A119">
        <v>57492</v>
      </c>
      <c r="B119" t="s">
        <v>856</v>
      </c>
      <c r="C119" t="s">
        <v>861</v>
      </c>
      <c r="D119" s="38" t="s">
        <v>863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>
      <c r="A120">
        <v>57492</v>
      </c>
      <c r="B120" t="s">
        <v>856</v>
      </c>
      <c r="C120" t="s">
        <v>864</v>
      </c>
      <c r="D120" s="38" t="s">
        <v>865</v>
      </c>
      <c r="E120" s="95" t="s">
        <v>869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>
      <c r="A121">
        <v>57492</v>
      </c>
      <c r="B121" t="s">
        <v>895</v>
      </c>
      <c r="C121" t="s">
        <v>864</v>
      </c>
      <c r="D121" s="38" t="s">
        <v>915</v>
      </c>
      <c r="E121" s="95" t="s">
        <v>918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>
      <c r="A122">
        <v>57508</v>
      </c>
      <c r="B122" t="s">
        <v>856</v>
      </c>
      <c r="C122" t="s">
        <v>864</v>
      </c>
      <c r="D122" s="38" t="s">
        <v>865</v>
      </c>
      <c r="E122" s="95" t="s">
        <v>871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>
      <c r="A123">
        <v>57508</v>
      </c>
      <c r="B123" t="s">
        <v>856</v>
      </c>
      <c r="C123" t="s">
        <v>864</v>
      </c>
      <c r="D123" s="38" t="s">
        <v>865</v>
      </c>
      <c r="E123" s="95" t="s">
        <v>876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>
      <c r="A124">
        <v>57508</v>
      </c>
      <c r="B124" t="s">
        <v>895</v>
      </c>
      <c r="C124" t="s">
        <v>859</v>
      </c>
      <c r="D124" s="38" t="s">
        <v>904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>
      <c r="A125">
        <v>57508</v>
      </c>
      <c r="B125" t="s">
        <v>895</v>
      </c>
      <c r="C125" t="s">
        <v>864</v>
      </c>
      <c r="D125" s="38" t="s">
        <v>928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>
      <c r="A126">
        <v>57508</v>
      </c>
      <c r="B126" t="s">
        <v>895</v>
      </c>
      <c r="C126" t="s">
        <v>889</v>
      </c>
      <c r="D126" s="38" t="s">
        <v>912</v>
      </c>
      <c r="E126" s="95" t="s">
        <v>1053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>
      <c r="A127">
        <v>57508</v>
      </c>
      <c r="B127" t="s">
        <v>895</v>
      </c>
      <c r="C127" t="s">
        <v>889</v>
      </c>
      <c r="D127" s="38" t="s">
        <v>1069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>
      <c r="A128">
        <v>57512</v>
      </c>
      <c r="B128" t="s">
        <v>895</v>
      </c>
      <c r="C128" t="s">
        <v>889</v>
      </c>
      <c r="D128" s="38" t="s">
        <v>890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>
      <c r="A129">
        <v>57514</v>
      </c>
      <c r="B129" t="s">
        <v>895</v>
      </c>
      <c r="C129" t="s">
        <v>889</v>
      </c>
      <c r="D129" s="38" t="s">
        <v>1059</v>
      </c>
      <c r="E129" s="95" t="s">
        <v>1060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>
      <c r="A130">
        <v>57524</v>
      </c>
      <c r="B130" t="s">
        <v>895</v>
      </c>
      <c r="C130" t="s">
        <v>864</v>
      </c>
      <c r="D130" s="38" t="s">
        <v>913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>
      <c r="A131">
        <v>57524</v>
      </c>
      <c r="B131" t="s">
        <v>895</v>
      </c>
      <c r="C131" t="s">
        <v>889</v>
      </c>
      <c r="D131" s="38" t="s">
        <v>1079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>
      <c r="A132">
        <v>57525</v>
      </c>
      <c r="B132" t="s">
        <v>856</v>
      </c>
      <c r="C132" t="s">
        <v>864</v>
      </c>
      <c r="D132" s="38" t="s">
        <v>865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>
      <c r="A133">
        <v>57525</v>
      </c>
      <c r="B133" t="s">
        <v>856</v>
      </c>
      <c r="C133" t="s">
        <v>864</v>
      </c>
      <c r="D133" s="38" t="s">
        <v>880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>
      <c r="A134">
        <v>57525</v>
      </c>
      <c r="B134" t="s">
        <v>895</v>
      </c>
      <c r="C134" t="s">
        <v>864</v>
      </c>
      <c r="D134" s="38" t="s">
        <v>922</v>
      </c>
      <c r="E134" s="94" t="s">
        <v>923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>
      <c r="A135">
        <v>57525</v>
      </c>
      <c r="B135" t="s">
        <v>895</v>
      </c>
      <c r="C135" t="s">
        <v>964</v>
      </c>
      <c r="D135" s="38" t="s">
        <v>966</v>
      </c>
      <c r="E135" s="95" t="s">
        <v>967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>
      <c r="A136">
        <v>57534</v>
      </c>
      <c r="B136" t="s">
        <v>856</v>
      </c>
      <c r="C136" t="s">
        <v>864</v>
      </c>
      <c r="D136" s="38" t="s">
        <v>865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>
      <c r="A137">
        <v>57534</v>
      </c>
      <c r="B137" t="s">
        <v>895</v>
      </c>
      <c r="C137" t="s">
        <v>864</v>
      </c>
      <c r="D137" s="38" t="s">
        <v>880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>
      <c r="A138">
        <v>57534</v>
      </c>
      <c r="B138" t="s">
        <v>895</v>
      </c>
      <c r="C138" t="s">
        <v>951</v>
      </c>
      <c r="D138" s="38" t="s">
        <v>952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>
      <c r="A139">
        <v>57534</v>
      </c>
      <c r="B139" t="s">
        <v>895</v>
      </c>
      <c r="C139" t="s">
        <v>1002</v>
      </c>
      <c r="D139" s="38" t="s">
        <v>1007</v>
      </c>
      <c r="E139" s="95" t="s">
        <v>1008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>
      <c r="A140">
        <v>57534</v>
      </c>
      <c r="B140" t="s">
        <v>895</v>
      </c>
      <c r="C140" t="s">
        <v>1002</v>
      </c>
      <c r="D140" s="38" t="s">
        <v>1007</v>
      </c>
      <c r="E140" s="95" t="s">
        <v>1009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>
      <c r="A141">
        <v>57543</v>
      </c>
      <c r="B141" t="s">
        <v>895</v>
      </c>
      <c r="C141" t="s">
        <v>889</v>
      </c>
      <c r="D141" s="38" t="s">
        <v>1079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>
      <c r="A142">
        <v>57562</v>
      </c>
      <c r="B142" t="s">
        <v>895</v>
      </c>
      <c r="C142" t="s">
        <v>864</v>
      </c>
      <c r="D142" s="38" t="s">
        <v>940</v>
      </c>
      <c r="E142" s="95" t="s">
        <v>941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>
      <c r="A143">
        <v>57598</v>
      </c>
      <c r="B143" t="s">
        <v>895</v>
      </c>
      <c r="C143" t="s">
        <v>1114</v>
      </c>
      <c r="D143" s="38" t="s">
        <v>1117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>
      <c r="A144">
        <v>57615</v>
      </c>
      <c r="B144" t="s">
        <v>895</v>
      </c>
      <c r="C144" t="s">
        <v>953</v>
      </c>
      <c r="D144" s="38" t="s">
        <v>955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>
      <c r="A145">
        <v>57615</v>
      </c>
      <c r="B145" t="s">
        <v>895</v>
      </c>
      <c r="C145" t="s">
        <v>964</v>
      </c>
      <c r="D145" s="38" t="s">
        <v>972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>
      <c r="A146">
        <v>57649</v>
      </c>
      <c r="B146" t="s">
        <v>895</v>
      </c>
      <c r="C146" t="s">
        <v>889</v>
      </c>
      <c r="D146" s="38" t="s">
        <v>1063</v>
      </c>
      <c r="E146" s="95" t="s">
        <v>1064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>
      <c r="A147">
        <v>57667</v>
      </c>
      <c r="B147" t="s">
        <v>895</v>
      </c>
      <c r="C147" t="s">
        <v>889</v>
      </c>
      <c r="D147" s="38">
        <v>2000</v>
      </c>
      <c r="E147" s="95" t="s">
        <v>1043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>
      <c r="A148">
        <v>57682</v>
      </c>
      <c r="B148" t="s">
        <v>895</v>
      </c>
      <c r="C148" t="s">
        <v>943</v>
      </c>
      <c r="D148" s="38" t="s">
        <v>944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>
      <c r="A149">
        <v>57693</v>
      </c>
      <c r="B149" t="s">
        <v>895</v>
      </c>
      <c r="C149" t="s">
        <v>864</v>
      </c>
      <c r="D149" s="38" t="s">
        <v>911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>
      <c r="A150">
        <v>57693</v>
      </c>
      <c r="B150" t="s">
        <v>895</v>
      </c>
      <c r="C150" t="s">
        <v>973</v>
      </c>
      <c r="D150" s="38" t="s">
        <v>989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>
      <c r="A151">
        <v>57704</v>
      </c>
      <c r="B151" t="s">
        <v>895</v>
      </c>
      <c r="C151" t="s">
        <v>889</v>
      </c>
      <c r="D151" s="38" t="s">
        <v>1069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>
      <c r="A152">
        <v>57718</v>
      </c>
      <c r="B152" t="s">
        <v>895</v>
      </c>
      <c r="C152" t="s">
        <v>864</v>
      </c>
      <c r="D152" s="38" t="s">
        <v>911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>
      <c r="A153">
        <v>57718</v>
      </c>
      <c r="B153" t="s">
        <v>895</v>
      </c>
      <c r="C153" t="s">
        <v>964</v>
      </c>
      <c r="D153" s="38" t="s">
        <v>968</v>
      </c>
      <c r="E153" s="95" t="s">
        <v>969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>
      <c r="A154">
        <v>57718</v>
      </c>
      <c r="B154" t="s">
        <v>895</v>
      </c>
      <c r="C154" t="s">
        <v>973</v>
      </c>
      <c r="D154" s="38" t="s">
        <v>989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>
      <c r="A155">
        <v>57749</v>
      </c>
      <c r="B155" t="s">
        <v>895</v>
      </c>
      <c r="C155" t="s">
        <v>864</v>
      </c>
      <c r="D155" s="38" t="s">
        <v>914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>
      <c r="A156">
        <v>57760</v>
      </c>
      <c r="B156" t="s">
        <v>895</v>
      </c>
      <c r="C156" t="s">
        <v>889</v>
      </c>
      <c r="D156" s="38" t="s">
        <v>1078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>
      <c r="A157">
        <v>57762</v>
      </c>
      <c r="B157" t="s">
        <v>895</v>
      </c>
      <c r="D157" s="38" t="s">
        <v>962</v>
      </c>
      <c r="E157" s="95" t="s">
        <v>1121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>
      <c r="A158">
        <v>57777</v>
      </c>
      <c r="B158" t="s">
        <v>895</v>
      </c>
      <c r="C158" t="s">
        <v>889</v>
      </c>
      <c r="D158" s="38" t="s">
        <v>1083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>
      <c r="A159">
        <v>57778</v>
      </c>
      <c r="B159" t="s">
        <v>895</v>
      </c>
      <c r="C159" t="s">
        <v>889</v>
      </c>
      <c r="D159" s="38" t="s">
        <v>1069</v>
      </c>
      <c r="E159" s="95" t="s">
        <v>1076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>
      <c r="A160">
        <v>57790</v>
      </c>
      <c r="B160" t="s">
        <v>895</v>
      </c>
      <c r="C160" t="s">
        <v>1002</v>
      </c>
      <c r="D160" s="38" t="s">
        <v>890</v>
      </c>
      <c r="E160" s="95" t="s">
        <v>1004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>
      <c r="A161">
        <v>57790</v>
      </c>
      <c r="B161" t="s">
        <v>895</v>
      </c>
      <c r="C161" t="s">
        <v>1002</v>
      </c>
      <c r="D161" s="38" t="s">
        <v>890</v>
      </c>
      <c r="E161" s="95" t="s">
        <v>1005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>
      <c r="A162">
        <v>57799</v>
      </c>
      <c r="B162" t="s">
        <v>895</v>
      </c>
      <c r="C162" t="s">
        <v>1031</v>
      </c>
      <c r="D162" s="38" t="s">
        <v>1032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>
      <c r="A163">
        <v>57812</v>
      </c>
      <c r="B163" t="s">
        <v>895</v>
      </c>
      <c r="C163" t="s">
        <v>1012</v>
      </c>
      <c r="D163" s="38" t="s">
        <v>1014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>
      <c r="A164">
        <v>57819</v>
      </c>
      <c r="B164" t="s">
        <v>856</v>
      </c>
      <c r="C164" t="s">
        <v>857</v>
      </c>
      <c r="D164" s="38" t="s">
        <v>858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>
      <c r="A165">
        <v>57819</v>
      </c>
      <c r="B165" t="s">
        <v>895</v>
      </c>
      <c r="C165" t="s">
        <v>857</v>
      </c>
      <c r="D165" s="38" t="s">
        <v>903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>
      <c r="A166">
        <v>57819</v>
      </c>
      <c r="B166" t="s">
        <v>895</v>
      </c>
      <c r="C166" t="s">
        <v>864</v>
      </c>
      <c r="D166" s="38" t="s">
        <v>930</v>
      </c>
      <c r="E166" s="95" t="s">
        <v>931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>
      <c r="A167">
        <v>57819</v>
      </c>
      <c r="B167" t="s">
        <v>895</v>
      </c>
      <c r="C167" t="s">
        <v>973</v>
      </c>
      <c r="D167" s="38" t="s">
        <v>977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>
      <c r="A168">
        <v>57819</v>
      </c>
      <c r="B168" t="s">
        <v>895</v>
      </c>
      <c r="C168" t="s">
        <v>973</v>
      </c>
      <c r="D168" s="38" t="s">
        <v>977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>
      <c r="A169">
        <v>57819</v>
      </c>
      <c r="B169" t="s">
        <v>895</v>
      </c>
      <c r="C169" t="s">
        <v>973</v>
      </c>
      <c r="D169" s="38" t="s">
        <v>983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>
      <c r="A170">
        <v>57819</v>
      </c>
      <c r="B170" t="s">
        <v>895</v>
      </c>
      <c r="C170" t="s">
        <v>973</v>
      </c>
      <c r="D170" s="38" t="s">
        <v>998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>
      <c r="A171">
        <v>57819</v>
      </c>
      <c r="B171" t="s">
        <v>895</v>
      </c>
      <c r="C171" t="s">
        <v>973</v>
      </c>
      <c r="D171" s="38" t="s">
        <v>998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>
      <c r="A172">
        <v>57819</v>
      </c>
      <c r="B172" t="s">
        <v>895</v>
      </c>
      <c r="C172" t="s">
        <v>973</v>
      </c>
      <c r="D172" s="38" t="s">
        <v>998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>
      <c r="A173">
        <v>57820</v>
      </c>
      <c r="B173" t="s">
        <v>856</v>
      </c>
      <c r="C173" t="s">
        <v>864</v>
      </c>
      <c r="D173" s="38" t="s">
        <v>865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>
      <c r="A174">
        <v>57820</v>
      </c>
      <c r="B174" t="s">
        <v>895</v>
      </c>
      <c r="C174" t="s">
        <v>864</v>
      </c>
      <c r="D174" s="38" t="s">
        <v>865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>
      <c r="A175">
        <v>57820</v>
      </c>
      <c r="B175" t="s">
        <v>895</v>
      </c>
      <c r="C175" t="s">
        <v>973</v>
      </c>
      <c r="D175" s="38" t="s">
        <v>998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>
      <c r="A176">
        <v>57820</v>
      </c>
      <c r="B176" t="s">
        <v>895</v>
      </c>
      <c r="C176" t="s">
        <v>973</v>
      </c>
      <c r="D176" s="38" t="s">
        <v>998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>
      <c r="A177">
        <v>57820</v>
      </c>
      <c r="B177" t="s">
        <v>895</v>
      </c>
      <c r="C177" t="s">
        <v>973</v>
      </c>
      <c r="D177" s="38" t="s">
        <v>998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>
      <c r="A178">
        <v>57820</v>
      </c>
      <c r="B178" t="s">
        <v>895</v>
      </c>
      <c r="C178" t="s">
        <v>973</v>
      </c>
      <c r="D178" s="38" t="s">
        <v>998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>
      <c r="A179">
        <v>57825</v>
      </c>
      <c r="B179" t="s">
        <v>895</v>
      </c>
      <c r="C179" t="s">
        <v>961</v>
      </c>
      <c r="D179" s="38" t="s">
        <v>962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>
      <c r="A180">
        <v>57825</v>
      </c>
      <c r="B180" t="s">
        <v>895</v>
      </c>
      <c r="C180" t="s">
        <v>1024</v>
      </c>
      <c r="D180" s="38">
        <v>3817</v>
      </c>
      <c r="E180" s="95" t="s">
        <v>1026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>
      <c r="A181">
        <v>57835</v>
      </c>
      <c r="B181" t="s">
        <v>895</v>
      </c>
      <c r="C181" t="s">
        <v>1012</v>
      </c>
      <c r="D181" s="38" t="s">
        <v>1013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>
      <c r="A182">
        <v>57836</v>
      </c>
      <c r="B182" t="s">
        <v>895</v>
      </c>
      <c r="C182" t="s">
        <v>889</v>
      </c>
      <c r="D182" s="38" t="s">
        <v>912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>
      <c r="A183">
        <v>57843</v>
      </c>
      <c r="B183" t="s">
        <v>895</v>
      </c>
      <c r="C183" t="s">
        <v>1114</v>
      </c>
      <c r="D183" s="38" t="s">
        <v>1065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>
      <c r="A184">
        <v>57844</v>
      </c>
      <c r="B184" t="s">
        <v>895</v>
      </c>
      <c r="C184" t="s">
        <v>889</v>
      </c>
      <c r="D184" s="38" t="s">
        <v>1084</v>
      </c>
      <c r="E184" s="95" t="s">
        <v>1085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>
      <c r="A185">
        <v>57848</v>
      </c>
      <c r="B185" t="s">
        <v>895</v>
      </c>
      <c r="C185" t="s">
        <v>864</v>
      </c>
      <c r="D185" s="38" t="s">
        <v>913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>
      <c r="A186">
        <v>57852</v>
      </c>
      <c r="B186" t="s">
        <v>895</v>
      </c>
      <c r="C186" t="s">
        <v>889</v>
      </c>
      <c r="D186" s="38" t="s">
        <v>1069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>
      <c r="A187">
        <v>57855</v>
      </c>
      <c r="B187" t="s">
        <v>895</v>
      </c>
      <c r="C187" t="s">
        <v>973</v>
      </c>
      <c r="D187" s="38" t="s">
        <v>998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>
      <c r="A188">
        <v>57856</v>
      </c>
      <c r="B188" t="s">
        <v>895</v>
      </c>
      <c r="C188" t="s">
        <v>973</v>
      </c>
      <c r="D188" s="38" t="s">
        <v>977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>
      <c r="A189">
        <v>57856</v>
      </c>
      <c r="B189" t="s">
        <v>895</v>
      </c>
      <c r="C189" t="s">
        <v>889</v>
      </c>
      <c r="D189" s="38" t="s">
        <v>1056</v>
      </c>
      <c r="E189" s="95" t="s">
        <v>1057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>
      <c r="A190">
        <v>57858</v>
      </c>
      <c r="B190" t="s">
        <v>895</v>
      </c>
      <c r="C190" t="s">
        <v>864</v>
      </c>
      <c r="D190" s="38" t="s">
        <v>928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>
      <c r="A191">
        <v>57859</v>
      </c>
      <c r="B191" t="s">
        <v>895</v>
      </c>
      <c r="C191" t="s">
        <v>864</v>
      </c>
      <c r="D191" s="38" t="s">
        <v>915</v>
      </c>
      <c r="E191" s="95" t="s">
        <v>916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>
      <c r="A192">
        <v>57859</v>
      </c>
      <c r="B192" t="s">
        <v>895</v>
      </c>
      <c r="C192" t="s">
        <v>864</v>
      </c>
      <c r="D192" s="38" t="s">
        <v>915</v>
      </c>
      <c r="E192" s="95" t="s">
        <v>917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>
      <c r="A193">
        <v>57867</v>
      </c>
      <c r="B193" t="s">
        <v>895</v>
      </c>
      <c r="C193" t="s">
        <v>889</v>
      </c>
      <c r="D193" s="38" t="s">
        <v>1069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>
      <c r="A194">
        <v>57881</v>
      </c>
      <c r="B194" t="s">
        <v>856</v>
      </c>
      <c r="C194" t="s">
        <v>864</v>
      </c>
      <c r="D194" s="38" t="s">
        <v>865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>
      <c r="A195">
        <v>57881</v>
      </c>
      <c r="B195" t="s">
        <v>856</v>
      </c>
      <c r="C195" t="s">
        <v>864</v>
      </c>
      <c r="D195" s="38" t="s">
        <v>865</v>
      </c>
      <c r="E195" s="95" t="s">
        <v>879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>
      <c r="A196">
        <v>57881</v>
      </c>
      <c r="B196" t="s">
        <v>895</v>
      </c>
      <c r="C196" t="s">
        <v>889</v>
      </c>
      <c r="D196" s="38" t="s">
        <v>1088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>
      <c r="A197">
        <v>57897</v>
      </c>
      <c r="B197" t="s">
        <v>895</v>
      </c>
      <c r="C197" t="s">
        <v>889</v>
      </c>
      <c r="D197" s="38" t="s">
        <v>890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>
      <c r="A198">
        <v>57901</v>
      </c>
      <c r="B198" t="s">
        <v>856</v>
      </c>
      <c r="C198" t="s">
        <v>864</v>
      </c>
      <c r="D198" s="38" t="s">
        <v>865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>
      <c r="A199">
        <v>57901</v>
      </c>
      <c r="B199" t="s">
        <v>856</v>
      </c>
      <c r="C199" t="s">
        <v>864</v>
      </c>
      <c r="D199" s="38" t="s">
        <v>865</v>
      </c>
      <c r="E199" s="95" t="s">
        <v>873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>
      <c r="A200">
        <v>57901</v>
      </c>
      <c r="B200" t="s">
        <v>856</v>
      </c>
      <c r="C200" t="s">
        <v>864</v>
      </c>
      <c r="D200" s="38" t="s">
        <v>865</v>
      </c>
      <c r="E200" s="95" t="s">
        <v>874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>
      <c r="A201">
        <v>57901</v>
      </c>
      <c r="B201" t="s">
        <v>856</v>
      </c>
      <c r="C201" t="s">
        <v>864</v>
      </c>
      <c r="D201" s="38" t="s">
        <v>865</v>
      </c>
      <c r="E201" s="95" t="s">
        <v>877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>
      <c r="A202">
        <v>57901</v>
      </c>
      <c r="B202" t="s">
        <v>895</v>
      </c>
      <c r="C202" t="s">
        <v>864</v>
      </c>
      <c r="D202" s="38" t="s">
        <v>919</v>
      </c>
      <c r="E202" s="95" t="s">
        <v>920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>
      <c r="A203">
        <v>57901</v>
      </c>
      <c r="B203" t="s">
        <v>895</v>
      </c>
      <c r="C203" t="s">
        <v>864</v>
      </c>
      <c r="D203" s="38" t="s">
        <v>922</v>
      </c>
      <c r="E203" s="95" t="s">
        <v>924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>
      <c r="A204">
        <v>57908</v>
      </c>
      <c r="B204" t="s">
        <v>895</v>
      </c>
      <c r="C204" t="s">
        <v>889</v>
      </c>
      <c r="D204" s="38" t="s">
        <v>1061</v>
      </c>
      <c r="E204" s="95" t="s">
        <v>1062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>
      <c r="A205">
        <v>57911</v>
      </c>
      <c r="B205" t="s">
        <v>856</v>
      </c>
      <c r="C205" t="s">
        <v>864</v>
      </c>
      <c r="D205" s="38" t="s">
        <v>865</v>
      </c>
      <c r="E205" s="95" t="s">
        <v>878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>
      <c r="A206">
        <v>57911</v>
      </c>
      <c r="B206" t="s">
        <v>856</v>
      </c>
      <c r="C206" t="s">
        <v>889</v>
      </c>
      <c r="D206" s="38" t="s">
        <v>890</v>
      </c>
      <c r="E206" s="95" t="s">
        <v>891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>
      <c r="A207">
        <v>57912</v>
      </c>
      <c r="B207" t="s">
        <v>895</v>
      </c>
      <c r="C207" t="s">
        <v>889</v>
      </c>
      <c r="D207" s="38" t="s">
        <v>912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>
      <c r="A208">
        <v>57932</v>
      </c>
      <c r="B208" t="s">
        <v>895</v>
      </c>
      <c r="C208" t="s">
        <v>973</v>
      </c>
      <c r="D208" s="38" t="s">
        <v>890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>
      <c r="A209">
        <v>57948</v>
      </c>
      <c r="B209" t="s">
        <v>895</v>
      </c>
      <c r="C209" t="s">
        <v>1002</v>
      </c>
      <c r="D209" s="38" t="s">
        <v>1006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>
      <c r="A210">
        <v>57948</v>
      </c>
      <c r="B210" t="s">
        <v>895</v>
      </c>
      <c r="C210" t="s">
        <v>889</v>
      </c>
      <c r="D210" s="38" t="s">
        <v>1069</v>
      </c>
      <c r="E210" s="95" t="s">
        <v>1071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>
      <c r="A211">
        <v>57952</v>
      </c>
      <c r="B211" t="s">
        <v>895</v>
      </c>
      <c r="C211" t="s">
        <v>1114</v>
      </c>
      <c r="D211" s="38" t="s">
        <v>1115</v>
      </c>
      <c r="E211" s="95" t="s">
        <v>1116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>
      <c r="A212">
        <v>57958</v>
      </c>
      <c r="B212" t="s">
        <v>856</v>
      </c>
      <c r="C212" t="s">
        <v>864</v>
      </c>
      <c r="D212" s="38" t="s">
        <v>865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>
      <c r="A213">
        <v>57958</v>
      </c>
      <c r="B213" t="s">
        <v>856</v>
      </c>
      <c r="C213" t="s">
        <v>864</v>
      </c>
      <c r="D213" s="38" t="s">
        <v>865</v>
      </c>
      <c r="E213" s="95" t="s">
        <v>875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>
      <c r="A214">
        <v>57958</v>
      </c>
      <c r="B214" t="s">
        <v>895</v>
      </c>
      <c r="C214" t="s">
        <v>889</v>
      </c>
      <c r="D214" s="38" t="s">
        <v>1045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>
      <c r="A215">
        <v>57961</v>
      </c>
      <c r="B215" t="s">
        <v>856</v>
      </c>
      <c r="C215" t="s">
        <v>861</v>
      </c>
      <c r="D215" s="38" t="s">
        <v>862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>
      <c r="A216">
        <v>57961</v>
      </c>
      <c r="B216" t="s">
        <v>895</v>
      </c>
      <c r="C216" t="s">
        <v>889</v>
      </c>
      <c r="D216" s="38" t="s">
        <v>1069</v>
      </c>
      <c r="E216" s="95" t="s">
        <v>1073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>
      <c r="A217">
        <v>57961</v>
      </c>
      <c r="B217" t="s">
        <v>895</v>
      </c>
      <c r="C217" t="s">
        <v>889</v>
      </c>
      <c r="D217" s="38" t="s">
        <v>1084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>
      <c r="A218">
        <v>57961</v>
      </c>
      <c r="B218" t="s">
        <v>895</v>
      </c>
      <c r="C218" t="s">
        <v>889</v>
      </c>
      <c r="D218" s="38" t="s">
        <v>1104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>
      <c r="A219">
        <v>57983</v>
      </c>
      <c r="B219" t="s">
        <v>856</v>
      </c>
      <c r="C219" t="s">
        <v>864</v>
      </c>
      <c r="D219" s="38" t="s">
        <v>865</v>
      </c>
      <c r="E219" s="95" t="s">
        <v>870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>
      <c r="A220">
        <v>57983</v>
      </c>
      <c r="B220" t="s">
        <v>895</v>
      </c>
      <c r="C220" t="s">
        <v>1024</v>
      </c>
      <c r="D220" s="38">
        <v>3814</v>
      </c>
      <c r="E220" s="95" t="s">
        <v>1025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>
      <c r="A221">
        <v>58003</v>
      </c>
      <c r="B221" t="s">
        <v>895</v>
      </c>
      <c r="C221" t="s">
        <v>899</v>
      </c>
      <c r="D221" s="38" t="s">
        <v>900</v>
      </c>
      <c r="E221" s="95" t="s">
        <v>901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>
      <c r="A222">
        <v>58005</v>
      </c>
      <c r="B222" t="s">
        <v>895</v>
      </c>
      <c r="C222" t="s">
        <v>1033</v>
      </c>
      <c r="D222" s="38" t="s">
        <v>962</v>
      </c>
      <c r="E222" s="95" t="s">
        <v>1034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>
      <c r="A223">
        <v>58011</v>
      </c>
      <c r="B223" t="s">
        <v>895</v>
      </c>
      <c r="C223" t="s">
        <v>861</v>
      </c>
      <c r="D223" s="38" t="s">
        <v>905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>
      <c r="A224">
        <v>58011</v>
      </c>
      <c r="B224" t="s">
        <v>895</v>
      </c>
      <c r="C224" t="s">
        <v>889</v>
      </c>
      <c r="D224" s="38" t="s">
        <v>1061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>
      <c r="A225">
        <v>58028</v>
      </c>
      <c r="B225" t="s">
        <v>895</v>
      </c>
      <c r="C225" t="s">
        <v>889</v>
      </c>
      <c r="D225" s="38" t="s">
        <v>1069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>
      <c r="A226">
        <v>58030</v>
      </c>
      <c r="B226" t="s">
        <v>895</v>
      </c>
      <c r="C226" t="s">
        <v>1037</v>
      </c>
      <c r="D226" s="38" t="s">
        <v>1038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>
      <c r="A227">
        <v>58053</v>
      </c>
      <c r="B227" t="s">
        <v>895</v>
      </c>
      <c r="C227" t="s">
        <v>945</v>
      </c>
      <c r="D227" s="38" t="s">
        <v>946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>
      <c r="A228">
        <v>58053</v>
      </c>
      <c r="B228" t="s">
        <v>895</v>
      </c>
      <c r="C228" t="s">
        <v>889</v>
      </c>
      <c r="D228" s="38" t="s">
        <v>1069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>
      <c r="A229">
        <v>58060</v>
      </c>
      <c r="B229" t="s">
        <v>895</v>
      </c>
      <c r="C229" t="s">
        <v>1010</v>
      </c>
      <c r="D229" s="38" t="s">
        <v>1011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>
      <c r="A230">
        <v>58071</v>
      </c>
      <c r="B230" t="s">
        <v>895</v>
      </c>
      <c r="C230" t="s">
        <v>889</v>
      </c>
      <c r="D230" s="38" t="s">
        <v>1069</v>
      </c>
      <c r="E230" s="95" t="s">
        <v>1074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>
      <c r="A231">
        <v>58078</v>
      </c>
      <c r="B231" t="s">
        <v>856</v>
      </c>
      <c r="C231" t="s">
        <v>864</v>
      </c>
      <c r="D231" s="38" t="s">
        <v>865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>
      <c r="A232">
        <v>58078</v>
      </c>
      <c r="B232" t="s">
        <v>856</v>
      </c>
      <c r="C232" t="s">
        <v>864</v>
      </c>
      <c r="D232" s="38" t="s">
        <v>865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>
      <c r="A233">
        <v>58078</v>
      </c>
      <c r="B233" t="s">
        <v>895</v>
      </c>
      <c r="C233" t="s">
        <v>1024</v>
      </c>
      <c r="D233" s="38" t="s">
        <v>890</v>
      </c>
      <c r="E233" s="95" t="s">
        <v>1026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>
      <c r="A234">
        <v>58078</v>
      </c>
      <c r="B234" t="s">
        <v>895</v>
      </c>
      <c r="C234" t="s">
        <v>1114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>
      <c r="A235">
        <v>58079</v>
      </c>
      <c r="B235" t="s">
        <v>895</v>
      </c>
      <c r="C235" t="s">
        <v>864</v>
      </c>
      <c r="D235" s="38" t="s">
        <v>865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>
      <c r="A236">
        <v>58079</v>
      </c>
      <c r="B236" t="s">
        <v>895</v>
      </c>
      <c r="C236" t="s">
        <v>889</v>
      </c>
      <c r="D236" s="38" t="s">
        <v>1097</v>
      </c>
      <c r="E236" s="95" t="s">
        <v>1098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>
      <c r="A237">
        <v>58107</v>
      </c>
      <c r="B237" t="s">
        <v>895</v>
      </c>
      <c r="C237" t="s">
        <v>889</v>
      </c>
      <c r="D237" s="38" t="s">
        <v>912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>
      <c r="A238">
        <v>58107</v>
      </c>
      <c r="B238" t="s">
        <v>895</v>
      </c>
      <c r="C238" t="s">
        <v>889</v>
      </c>
      <c r="D238" s="38" t="s">
        <v>912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>
      <c r="A239">
        <v>58115</v>
      </c>
      <c r="B239" t="s">
        <v>856</v>
      </c>
      <c r="C239" t="s">
        <v>881</v>
      </c>
      <c r="D239" s="38" t="s">
        <v>882</v>
      </c>
      <c r="E239" s="95" t="s">
        <v>883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>
      <c r="A240">
        <v>58115</v>
      </c>
      <c r="B240" t="s">
        <v>856</v>
      </c>
      <c r="C240" t="s">
        <v>881</v>
      </c>
      <c r="D240" s="38" t="s">
        <v>882</v>
      </c>
      <c r="E240" s="95" t="s">
        <v>884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>
      <c r="A241">
        <v>58115</v>
      </c>
      <c r="B241" t="s">
        <v>856</v>
      </c>
      <c r="C241" t="s">
        <v>885</v>
      </c>
      <c r="D241" s="38" t="s">
        <v>882</v>
      </c>
      <c r="E241" s="95" t="s">
        <v>886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>
      <c r="A242">
        <v>58115</v>
      </c>
      <c r="B242" t="s">
        <v>856</v>
      </c>
      <c r="C242" t="s">
        <v>889</v>
      </c>
      <c r="D242" s="38" t="s">
        <v>892</v>
      </c>
      <c r="E242" s="95" t="s">
        <v>893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>
      <c r="A243">
        <v>58115</v>
      </c>
      <c r="B243" t="s">
        <v>895</v>
      </c>
      <c r="C243" t="s">
        <v>956</v>
      </c>
      <c r="D243" s="38" t="s">
        <v>958</v>
      </c>
      <c r="E243" s="95" t="s">
        <v>960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>
      <c r="A244">
        <v>58115</v>
      </c>
      <c r="B244" t="s">
        <v>895</v>
      </c>
      <c r="C244" t="s">
        <v>973</v>
      </c>
      <c r="D244" s="38" t="s">
        <v>974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>
      <c r="A245">
        <v>58115</v>
      </c>
      <c r="B245" t="s">
        <v>895</v>
      </c>
      <c r="C245" t="s">
        <v>973</v>
      </c>
      <c r="D245" s="38" t="s">
        <v>974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>
      <c r="A246">
        <v>58115</v>
      </c>
      <c r="B246" t="s">
        <v>895</v>
      </c>
      <c r="C246" t="s">
        <v>973</v>
      </c>
      <c r="D246" s="38" t="s">
        <v>977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>
      <c r="A247">
        <v>58115</v>
      </c>
      <c r="B247" t="s">
        <v>895</v>
      </c>
      <c r="C247" t="s">
        <v>973</v>
      </c>
      <c r="D247" s="38" t="s">
        <v>977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>
      <c r="A248">
        <v>58115</v>
      </c>
      <c r="B248" t="s">
        <v>895</v>
      </c>
      <c r="C248" t="s">
        <v>973</v>
      </c>
      <c r="D248" s="38" t="s">
        <v>977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>
      <c r="A249">
        <v>58115</v>
      </c>
      <c r="B249" t="s">
        <v>895</v>
      </c>
      <c r="C249" t="s">
        <v>973</v>
      </c>
      <c r="D249" s="38" t="s">
        <v>977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>
      <c r="A250">
        <v>58115</v>
      </c>
      <c r="B250" t="s">
        <v>895</v>
      </c>
      <c r="C250" t="s">
        <v>973</v>
      </c>
      <c r="D250" s="38" t="s">
        <v>977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>
      <c r="A251">
        <v>58115</v>
      </c>
      <c r="B251" t="s">
        <v>895</v>
      </c>
      <c r="C251" t="s">
        <v>973</v>
      </c>
      <c r="D251" s="38" t="s">
        <v>977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>
      <c r="A252">
        <v>58115</v>
      </c>
      <c r="B252" t="s">
        <v>895</v>
      </c>
      <c r="C252" t="s">
        <v>973</v>
      </c>
      <c r="D252" s="38" t="s">
        <v>977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>
      <c r="A253">
        <v>58115</v>
      </c>
      <c r="B253" t="s">
        <v>895</v>
      </c>
      <c r="C253" t="s">
        <v>973</v>
      </c>
      <c r="D253" s="38" t="s">
        <v>978</v>
      </c>
      <c r="E253" s="95" t="s">
        <v>979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>
      <c r="A254">
        <v>58115</v>
      </c>
      <c r="B254" t="s">
        <v>895</v>
      </c>
      <c r="C254" t="s">
        <v>973</v>
      </c>
      <c r="D254" s="38" t="s">
        <v>980</v>
      </c>
      <c r="E254" s="95" t="s">
        <v>981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>
      <c r="A255">
        <v>58115</v>
      </c>
      <c r="B255" t="s">
        <v>895</v>
      </c>
      <c r="C255" t="s">
        <v>973</v>
      </c>
      <c r="D255" s="38" t="s">
        <v>890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>
      <c r="A256">
        <v>58115</v>
      </c>
      <c r="B256" t="s">
        <v>895</v>
      </c>
      <c r="C256" t="s">
        <v>973</v>
      </c>
      <c r="D256" s="38" t="s">
        <v>890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>
      <c r="A257">
        <v>58115</v>
      </c>
      <c r="B257" t="s">
        <v>895</v>
      </c>
      <c r="C257" t="s">
        <v>973</v>
      </c>
      <c r="D257" s="38" t="s">
        <v>983</v>
      </c>
      <c r="E257" s="95" t="s">
        <v>984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>
      <c r="A258">
        <v>58115</v>
      </c>
      <c r="B258" t="s">
        <v>895</v>
      </c>
      <c r="C258" t="s">
        <v>973</v>
      </c>
      <c r="D258" s="38" t="s">
        <v>983</v>
      </c>
      <c r="E258" s="95" t="s">
        <v>985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>
      <c r="A259">
        <v>58115</v>
      </c>
      <c r="B259" t="s">
        <v>895</v>
      </c>
      <c r="C259" t="s">
        <v>973</v>
      </c>
      <c r="D259" s="38" t="s">
        <v>983</v>
      </c>
      <c r="E259" s="95" t="s">
        <v>986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>
      <c r="A260">
        <v>58115</v>
      </c>
      <c r="B260" t="s">
        <v>895</v>
      </c>
      <c r="C260" t="s">
        <v>973</v>
      </c>
      <c r="D260" s="38" t="s">
        <v>987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>
      <c r="A261">
        <v>58115</v>
      </c>
      <c r="B261" t="s">
        <v>895</v>
      </c>
      <c r="C261" t="s">
        <v>973</v>
      </c>
      <c r="D261" s="38" t="s">
        <v>987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>
      <c r="A262">
        <v>58115</v>
      </c>
      <c r="B262" t="s">
        <v>895</v>
      </c>
      <c r="C262" t="s">
        <v>973</v>
      </c>
      <c r="D262" s="38" t="s">
        <v>987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>
      <c r="A263">
        <v>58115</v>
      </c>
      <c r="B263" t="s">
        <v>895</v>
      </c>
      <c r="C263" t="s">
        <v>973</v>
      </c>
      <c r="D263" s="38" t="s">
        <v>987</v>
      </c>
      <c r="E263" s="95" t="s">
        <v>988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>
      <c r="A264">
        <v>58115</v>
      </c>
      <c r="B264" t="s">
        <v>895</v>
      </c>
      <c r="C264" t="s">
        <v>973</v>
      </c>
      <c r="D264" s="38" t="s">
        <v>990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>
      <c r="A265">
        <v>58115</v>
      </c>
      <c r="B265" t="s">
        <v>895</v>
      </c>
      <c r="C265" t="s">
        <v>973</v>
      </c>
      <c r="D265" s="38" t="s">
        <v>990</v>
      </c>
      <c r="E265" s="95" t="s">
        <v>991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>
      <c r="A266">
        <v>58115</v>
      </c>
      <c r="B266" t="s">
        <v>895</v>
      </c>
      <c r="C266" t="s">
        <v>973</v>
      </c>
      <c r="D266" s="38" t="s">
        <v>990</v>
      </c>
      <c r="E266" s="95" t="s">
        <v>992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>
      <c r="A267">
        <v>58115</v>
      </c>
      <c r="B267" t="s">
        <v>895</v>
      </c>
      <c r="C267" t="s">
        <v>973</v>
      </c>
      <c r="D267" s="38" t="s">
        <v>990</v>
      </c>
      <c r="E267" s="95" t="s">
        <v>993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>
      <c r="A268">
        <v>58115</v>
      </c>
      <c r="B268" t="s">
        <v>895</v>
      </c>
      <c r="C268" t="s">
        <v>973</v>
      </c>
      <c r="D268" s="38" t="s">
        <v>996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>
      <c r="A269">
        <v>58115</v>
      </c>
      <c r="B269" t="s">
        <v>895</v>
      </c>
      <c r="C269" t="s">
        <v>973</v>
      </c>
      <c r="D269" s="38" t="s">
        <v>996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>
      <c r="A270">
        <v>58115</v>
      </c>
      <c r="B270" t="s">
        <v>895</v>
      </c>
      <c r="C270" t="s">
        <v>973</v>
      </c>
      <c r="D270" s="38" t="s">
        <v>996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>
      <c r="A271">
        <v>58115</v>
      </c>
      <c r="B271" t="s">
        <v>895</v>
      </c>
      <c r="C271" t="s">
        <v>973</v>
      </c>
      <c r="D271" s="38" t="s">
        <v>996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>
      <c r="A272">
        <v>58115</v>
      </c>
      <c r="B272" t="s">
        <v>895</v>
      </c>
      <c r="C272" t="s">
        <v>973</v>
      </c>
      <c r="D272" s="38" t="s">
        <v>996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>
      <c r="A273">
        <v>58115</v>
      </c>
      <c r="B273" t="s">
        <v>895</v>
      </c>
      <c r="C273" t="s">
        <v>973</v>
      </c>
      <c r="D273" s="38" t="s">
        <v>996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>
      <c r="A274">
        <v>58115</v>
      </c>
      <c r="B274" t="s">
        <v>895</v>
      </c>
      <c r="C274" t="s">
        <v>973</v>
      </c>
      <c r="D274" s="38" t="s">
        <v>996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>
      <c r="A275">
        <v>58115</v>
      </c>
      <c r="B275" t="s">
        <v>895</v>
      </c>
      <c r="C275" t="s">
        <v>973</v>
      </c>
      <c r="D275" s="38" t="s">
        <v>996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>
      <c r="A276">
        <v>58115</v>
      </c>
      <c r="B276" t="s">
        <v>895</v>
      </c>
      <c r="C276" t="s">
        <v>1024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>
      <c r="A277">
        <v>58115</v>
      </c>
      <c r="B277" t="s">
        <v>895</v>
      </c>
      <c r="C277" t="s">
        <v>889</v>
      </c>
      <c r="D277" s="38">
        <v>574</v>
      </c>
      <c r="E277" s="95" t="s">
        <v>1041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>
      <c r="A278">
        <v>58115</v>
      </c>
      <c r="B278" t="s">
        <v>895</v>
      </c>
      <c r="C278" t="s">
        <v>889</v>
      </c>
      <c r="D278" s="38" t="s">
        <v>1047</v>
      </c>
      <c r="E278" s="95" t="s">
        <v>1048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>
      <c r="A279">
        <v>58115</v>
      </c>
      <c r="B279" t="s">
        <v>895</v>
      </c>
      <c r="C279" t="s">
        <v>889</v>
      </c>
      <c r="D279" s="38" t="s">
        <v>1049</v>
      </c>
      <c r="E279" s="95" t="s">
        <v>1052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>
      <c r="A280">
        <v>58115</v>
      </c>
      <c r="B280" t="s">
        <v>895</v>
      </c>
      <c r="C280" t="s">
        <v>889</v>
      </c>
      <c r="D280" s="38" t="s">
        <v>1086</v>
      </c>
      <c r="E280" s="95" t="s">
        <v>1087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>
      <c r="A281">
        <v>58115</v>
      </c>
      <c r="B281" t="s">
        <v>895</v>
      </c>
      <c r="C281" t="s">
        <v>889</v>
      </c>
      <c r="D281" s="38" t="s">
        <v>1089</v>
      </c>
      <c r="E281" s="95" t="s">
        <v>1090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>
      <c r="A282">
        <v>58115</v>
      </c>
      <c r="B282" t="s">
        <v>895</v>
      </c>
      <c r="C282" t="s">
        <v>889</v>
      </c>
      <c r="D282" s="38" t="s">
        <v>1093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>
      <c r="A283">
        <v>58115</v>
      </c>
      <c r="B283" t="s">
        <v>895</v>
      </c>
      <c r="C283" t="s">
        <v>889</v>
      </c>
      <c r="D283" s="38" t="s">
        <v>1094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>
      <c r="A284">
        <v>58115</v>
      </c>
      <c r="B284" t="s">
        <v>895</v>
      </c>
      <c r="C284" t="s">
        <v>1118</v>
      </c>
      <c r="D284" s="38" t="s">
        <v>1119</v>
      </c>
      <c r="E284" s="95" t="s">
        <v>1120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>
      <c r="A285">
        <v>58121</v>
      </c>
      <c r="B285" t="s">
        <v>895</v>
      </c>
      <c r="C285" t="s">
        <v>864</v>
      </c>
      <c r="D285" s="38" t="s">
        <v>922</v>
      </c>
      <c r="E285" s="95" t="s">
        <v>927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>
      <c r="A286">
        <v>58121</v>
      </c>
      <c r="B286" t="s">
        <v>895</v>
      </c>
      <c r="C286" t="s">
        <v>889</v>
      </c>
      <c r="D286" s="38" t="s">
        <v>1096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>
      <c r="A287">
        <v>58142</v>
      </c>
      <c r="B287" t="s">
        <v>895</v>
      </c>
      <c r="C287" t="s">
        <v>1017</v>
      </c>
      <c r="D287" s="38" t="s">
        <v>1018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>
      <c r="A288">
        <v>58155</v>
      </c>
      <c r="B288" t="s">
        <v>895</v>
      </c>
      <c r="C288" t="s">
        <v>907</v>
      </c>
      <c r="D288" s="38">
        <v>574</v>
      </c>
      <c r="E288" s="95" t="s">
        <v>908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>
      <c r="A289">
        <v>58160</v>
      </c>
      <c r="B289" t="s">
        <v>895</v>
      </c>
      <c r="C289" t="s">
        <v>947</v>
      </c>
      <c r="D289" s="38" t="s">
        <v>948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>
      <c r="A290">
        <v>58202</v>
      </c>
      <c r="B290" t="s">
        <v>895</v>
      </c>
      <c r="C290" t="s">
        <v>889</v>
      </c>
      <c r="D290" s="38" t="s">
        <v>1069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>
      <c r="A291">
        <v>58202</v>
      </c>
      <c r="B291" t="s">
        <v>895</v>
      </c>
      <c r="C291" t="s">
        <v>889</v>
      </c>
      <c r="D291" s="38" t="s">
        <v>1083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>
      <c r="A292">
        <v>58206</v>
      </c>
      <c r="B292" t="s">
        <v>856</v>
      </c>
      <c r="C292" t="s">
        <v>864</v>
      </c>
      <c r="D292" s="38" t="s">
        <v>865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>
      <c r="A293">
        <v>58206</v>
      </c>
      <c r="B293" t="s">
        <v>895</v>
      </c>
      <c r="C293" t="s">
        <v>889</v>
      </c>
      <c r="D293" s="38" t="s">
        <v>912</v>
      </c>
      <c r="E293" s="95" t="s">
        <v>1055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>
      <c r="A294">
        <v>58209</v>
      </c>
      <c r="B294" t="s">
        <v>856</v>
      </c>
      <c r="C294" t="s">
        <v>864</v>
      </c>
      <c r="D294" s="38" t="s">
        <v>865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>
      <c r="A295">
        <v>58209</v>
      </c>
      <c r="B295" t="s">
        <v>895</v>
      </c>
      <c r="C295" t="s">
        <v>864</v>
      </c>
      <c r="D295" s="38" t="s">
        <v>922</v>
      </c>
      <c r="E295" s="94" t="s">
        <v>925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>
      <c r="A296">
        <v>58215</v>
      </c>
      <c r="B296" t="s">
        <v>895</v>
      </c>
      <c r="C296" t="s">
        <v>889</v>
      </c>
      <c r="D296" s="38" t="s">
        <v>1084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>
      <c r="A297">
        <v>58215</v>
      </c>
      <c r="B297" t="s">
        <v>895</v>
      </c>
      <c r="C297" t="s">
        <v>889</v>
      </c>
      <c r="D297" s="38" t="s">
        <v>1099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>
      <c r="A298">
        <v>58221</v>
      </c>
      <c r="B298" t="s">
        <v>856</v>
      </c>
      <c r="C298" t="s">
        <v>859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>
      <c r="A299">
        <v>58221</v>
      </c>
      <c r="B299" t="s">
        <v>856</v>
      </c>
      <c r="C299" t="s">
        <v>864</v>
      </c>
      <c r="D299" s="38" t="s">
        <v>865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>
      <c r="A300">
        <v>58221</v>
      </c>
      <c r="B300" t="s">
        <v>895</v>
      </c>
      <c r="C300" t="s">
        <v>896</v>
      </c>
      <c r="D300" s="38" t="s">
        <v>897</v>
      </c>
      <c r="E300" s="95" t="s">
        <v>898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>
      <c r="A301">
        <v>58225</v>
      </c>
      <c r="B301" t="s">
        <v>895</v>
      </c>
      <c r="C301" t="s">
        <v>889</v>
      </c>
      <c r="D301" s="38" t="s">
        <v>1067</v>
      </c>
      <c r="E301" s="95" t="s">
        <v>1068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>
      <c r="A302">
        <v>58227</v>
      </c>
      <c r="B302" t="s">
        <v>895</v>
      </c>
      <c r="C302" t="s">
        <v>1000</v>
      </c>
      <c r="D302" s="38" t="s">
        <v>1001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>
      <c r="A303">
        <v>58227</v>
      </c>
      <c r="B303" t="s">
        <v>895</v>
      </c>
      <c r="C303" t="s">
        <v>1000</v>
      </c>
      <c r="D303" s="38" t="s">
        <v>977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>
      <c r="A304">
        <v>58227</v>
      </c>
      <c r="B304" t="s">
        <v>895</v>
      </c>
      <c r="C304" t="s">
        <v>889</v>
      </c>
      <c r="D304" s="38" t="s">
        <v>1069</v>
      </c>
      <c r="E304" s="95" t="s">
        <v>1070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>
      <c r="A305">
        <v>58234</v>
      </c>
      <c r="B305" t="s">
        <v>895</v>
      </c>
      <c r="C305" t="s">
        <v>864</v>
      </c>
      <c r="D305" s="38" t="s">
        <v>936</v>
      </c>
      <c r="E305" s="95" t="s">
        <v>937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>
      <c r="A306">
        <v>58242</v>
      </c>
      <c r="B306" t="s">
        <v>856</v>
      </c>
      <c r="C306" t="s">
        <v>864</v>
      </c>
      <c r="D306" s="38" t="s">
        <v>880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>
      <c r="A307">
        <v>58246</v>
      </c>
      <c r="B307" t="s">
        <v>895</v>
      </c>
      <c r="C307" t="s">
        <v>889</v>
      </c>
      <c r="D307" s="38" t="s">
        <v>1095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>
      <c r="A308">
        <v>58246</v>
      </c>
      <c r="B308" t="s">
        <v>895</v>
      </c>
      <c r="C308" t="s">
        <v>889</v>
      </c>
      <c r="D308" s="38" t="s">
        <v>1095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>
      <c r="A309">
        <v>58261</v>
      </c>
      <c r="B309" t="s">
        <v>895</v>
      </c>
      <c r="C309" t="s">
        <v>1114</v>
      </c>
      <c r="D309" s="38" t="s">
        <v>912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>
      <c r="A310">
        <v>61312</v>
      </c>
      <c r="B310" t="s">
        <v>895</v>
      </c>
      <c r="C310" t="s">
        <v>889</v>
      </c>
      <c r="D310" s="38" t="s">
        <v>912</v>
      </c>
      <c r="E310" s="95" t="s">
        <v>1054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>
      <c r="A311">
        <v>63705</v>
      </c>
      <c r="B311" t="s">
        <v>895</v>
      </c>
      <c r="C311" t="s">
        <v>864</v>
      </c>
      <c r="D311" s="38" t="s">
        <v>919</v>
      </c>
      <c r="E311" s="95" t="s">
        <v>921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>
      <c r="A312">
        <v>66118</v>
      </c>
      <c r="B312" t="s">
        <v>856</v>
      </c>
      <c r="C312" t="s">
        <v>864</v>
      </c>
      <c r="D312" s="38" t="s">
        <v>865</v>
      </c>
      <c r="E312" s="95" t="s">
        <v>868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>
      <c r="A313">
        <v>79875</v>
      </c>
      <c r="B313" t="s">
        <v>895</v>
      </c>
      <c r="C313" t="s">
        <v>1024</v>
      </c>
      <c r="D313" s="38">
        <v>3831</v>
      </c>
      <c r="E313" s="95" t="s">
        <v>1027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>
      <c r="A314">
        <v>87871</v>
      </c>
      <c r="B314" t="s">
        <v>895</v>
      </c>
      <c r="C314" t="s">
        <v>956</v>
      </c>
      <c r="D314" s="38" t="s">
        <v>958</v>
      </c>
      <c r="E314" s="95" t="s">
        <v>959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>
      <c r="A315">
        <v>114895</v>
      </c>
      <c r="B315" t="s">
        <v>895</v>
      </c>
      <c r="C315" t="s">
        <v>1035</v>
      </c>
      <c r="D315" s="38" t="s">
        <v>1036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>
      <c r="A316">
        <v>117081</v>
      </c>
      <c r="B316" t="s">
        <v>895</v>
      </c>
      <c r="C316" t="s">
        <v>953</v>
      </c>
      <c r="D316" s="38" t="s">
        <v>890</v>
      </c>
      <c r="E316" s="95" t="s">
        <v>954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21"/>
  <sheetViews>
    <sheetView tabSelected="1" workbookViewId="0">
      <selection activeCell="B21" sqref="B21"/>
    </sheetView>
  </sheetViews>
  <sheetFormatPr defaultRowHeight="15"/>
  <cols>
    <col min="1" max="1" width="14.42578125" customWidth="1"/>
    <col min="2" max="2" width="165.5703125" customWidth="1"/>
  </cols>
  <sheetData>
    <row r="1" spans="1:4">
      <c r="A1" t="s">
        <v>1122</v>
      </c>
      <c r="B1" t="s">
        <v>1123</v>
      </c>
      <c r="C1" t="s">
        <v>1124</v>
      </c>
      <c r="D1" t="s">
        <v>1125</v>
      </c>
    </row>
    <row r="2" spans="1:4">
      <c r="A2" s="30">
        <v>42956</v>
      </c>
      <c r="B2" t="s">
        <v>1126</v>
      </c>
      <c r="C2" t="s">
        <v>1127</v>
      </c>
    </row>
    <row r="3" spans="1:4">
      <c r="A3" s="30">
        <v>42965</v>
      </c>
      <c r="B3" t="s">
        <v>1126</v>
      </c>
      <c r="C3" t="s">
        <v>1127</v>
      </c>
    </row>
    <row r="4" spans="1:4">
      <c r="A4" s="30">
        <v>42989</v>
      </c>
      <c r="B4" t="s">
        <v>1126</v>
      </c>
      <c r="C4" t="s">
        <v>1127</v>
      </c>
    </row>
    <row r="5" spans="1:4">
      <c r="A5" s="30">
        <v>42993</v>
      </c>
      <c r="B5" t="s">
        <v>1126</v>
      </c>
      <c r="C5" t="s">
        <v>1127</v>
      </c>
    </row>
    <row r="6" spans="1:4">
      <c r="A6" s="30">
        <v>42996</v>
      </c>
      <c r="B6" t="s">
        <v>1126</v>
      </c>
      <c r="C6" t="s">
        <v>1127</v>
      </c>
    </row>
    <row r="7" spans="1:4">
      <c r="A7" s="30">
        <v>42999</v>
      </c>
      <c r="B7" t="s">
        <v>1126</v>
      </c>
      <c r="C7" t="s">
        <v>1127</v>
      </c>
    </row>
    <row r="8" spans="1:4">
      <c r="A8" s="30">
        <v>43007</v>
      </c>
      <c r="B8" t="s">
        <v>1126</v>
      </c>
      <c r="C8" t="s">
        <v>1127</v>
      </c>
    </row>
    <row r="9" spans="1:4">
      <c r="A9" s="30">
        <v>43644</v>
      </c>
      <c r="B9" t="s">
        <v>1126</v>
      </c>
      <c r="C9" t="s">
        <v>1127</v>
      </c>
    </row>
    <row r="10" spans="1:4">
      <c r="A10" s="30">
        <v>44208</v>
      </c>
      <c r="B10" t="s">
        <v>1126</v>
      </c>
      <c r="C10" t="s">
        <v>1127</v>
      </c>
      <c r="D10" t="s">
        <v>1128</v>
      </c>
    </row>
    <row r="11" spans="1:4">
      <c r="A11" s="30">
        <v>45509</v>
      </c>
      <c r="B11" t="s">
        <v>1129</v>
      </c>
      <c r="C11" t="s">
        <v>1130</v>
      </c>
      <c r="D11" t="s">
        <v>1131</v>
      </c>
    </row>
    <row r="12" spans="1:4">
      <c r="A12" s="30">
        <v>45519</v>
      </c>
      <c r="B12" t="s">
        <v>1132</v>
      </c>
      <c r="C12" t="s">
        <v>1130</v>
      </c>
      <c r="D12" t="s">
        <v>1133</v>
      </c>
    </row>
    <row r="13" spans="1:4">
      <c r="A13" s="30">
        <v>45531</v>
      </c>
      <c r="B13" t="s">
        <v>1134</v>
      </c>
      <c r="C13" t="s">
        <v>1130</v>
      </c>
      <c r="D13" t="s">
        <v>1135</v>
      </c>
    </row>
    <row r="14" spans="1:4">
      <c r="A14" s="30">
        <v>45540</v>
      </c>
      <c r="B14" t="s">
        <v>1136</v>
      </c>
      <c r="C14" t="s">
        <v>1130</v>
      </c>
      <c r="D14" t="s">
        <v>1137</v>
      </c>
    </row>
    <row r="15" spans="1:4">
      <c r="A15" s="30">
        <v>45545</v>
      </c>
      <c r="B15" t="s">
        <v>1138</v>
      </c>
      <c r="C15" t="s">
        <v>1130</v>
      </c>
    </row>
    <row r="16" spans="1:4">
      <c r="A16" s="30">
        <v>45574</v>
      </c>
      <c r="B16" t="s">
        <v>1139</v>
      </c>
      <c r="C16" t="s">
        <v>1130</v>
      </c>
      <c r="D16" t="s">
        <v>1140</v>
      </c>
    </row>
    <row r="17" spans="1:4">
      <c r="A17" s="30">
        <v>45623</v>
      </c>
      <c r="B17" t="s">
        <v>1154</v>
      </c>
      <c r="C17" t="s">
        <v>1130</v>
      </c>
    </row>
    <row r="18" spans="1:4">
      <c r="A18" s="30">
        <v>45629</v>
      </c>
      <c r="B18" t="s">
        <v>1155</v>
      </c>
      <c r="C18" t="s">
        <v>1130</v>
      </c>
      <c r="D18" t="s">
        <v>1141</v>
      </c>
    </row>
    <row r="19" spans="1:4">
      <c r="A19" s="30">
        <v>45635</v>
      </c>
      <c r="B19" t="s">
        <v>1142</v>
      </c>
      <c r="C19" t="s">
        <v>1130</v>
      </c>
      <c r="D19" t="s">
        <v>1143</v>
      </c>
    </row>
    <row r="20" spans="1:4">
      <c r="A20" s="30">
        <v>45645</v>
      </c>
      <c r="B20" t="s">
        <v>1153</v>
      </c>
      <c r="C20" t="s">
        <v>1130</v>
      </c>
      <c r="D20" t="s">
        <v>1144</v>
      </c>
    </row>
    <row r="21" spans="1:4">
      <c r="A21" s="30">
        <v>45331</v>
      </c>
      <c r="B21" t="s">
        <v>1156</v>
      </c>
      <c r="C21" t="s">
        <v>1130</v>
      </c>
    </row>
  </sheetData>
  <sheetProtection algorithmName="SHA-512" hashValue="KqtmF22wYOAwS6ofLB54oONJNYTxLEu0RNWZqORx008otOKANBltdkbt1dZcQ9hgiXMhVqRJIpifNHl4Eftqig==" saltValue="H/94XRccGJeI6Pqk1HnrSw==" spinCount="100000" sheet="1" objects="1" scenarios="1"/>
  <pageMargins left="0.7" right="0.7" top="0.75" bottom="0.75" header="0.3" footer="0.3"/>
  <customProperties>
    <customPr name="%locator_row%" r:id="rId1"/>
    <customPr name="%startcell%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234D313-B9DD-487F-B287-E0E6CAE0AD7D}">
  <ds:schemaRefs>
    <ds:schemaRef ds:uri="a7c4c7f9-987c-475d-a26a-521e5d0f4dc5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1ed8a9e0-df63-4c43-b0d4-c670c11769ef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Software Validation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2025-02-10T05:12:24Z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