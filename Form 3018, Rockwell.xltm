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Rockwell-Form-3018\"/>
    </mc:Choice>
  </mc:AlternateContent>
  <xr:revisionPtr revIDLastSave="0" documentId="13_ncr:1_{54A1D9E8-0DBA-443D-836C-087B91B3CCD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Tables!$R$3:$U$16</definedName>
    <definedName name="Image">INDIRECT('Logo Page'!$A$1)</definedName>
    <definedName name="Locator">Worksheet!$LCB$524277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29" l="1"/>
  <c r="L45" i="29"/>
  <c r="L46" i="29"/>
  <c r="L48" i="29"/>
  <c r="L49" i="29"/>
  <c r="L50" i="29"/>
  <c r="L52" i="29"/>
  <c r="L53" i="29"/>
  <c r="L54" i="29"/>
  <c r="L56" i="29"/>
  <c r="L57" i="29"/>
  <c r="L58" i="29"/>
  <c r="L60" i="29"/>
  <c r="L61" i="29"/>
  <c r="L62" i="29"/>
  <c r="L38" i="29"/>
  <c r="L37" i="29"/>
  <c r="L36" i="29"/>
  <c r="L10" i="29"/>
  <c r="L11" i="29"/>
  <c r="L12" i="29"/>
  <c r="L14" i="29"/>
  <c r="L15" i="29"/>
  <c r="L16" i="29"/>
  <c r="L18" i="29"/>
  <c r="L19" i="29"/>
  <c r="L20" i="29"/>
  <c r="L22" i="29"/>
  <c r="L23" i="29"/>
  <c r="L24" i="29"/>
  <c r="L26" i="29"/>
  <c r="L27" i="29"/>
  <c r="L28" i="29"/>
  <c r="L30" i="29"/>
  <c r="L31" i="29"/>
  <c r="L32" i="29"/>
  <c r="L8" i="29"/>
  <c r="L7" i="29"/>
  <c r="L6" i="29"/>
  <c r="A62" i="29"/>
  <c r="A61" i="29"/>
  <c r="A60" i="29"/>
  <c r="A58" i="29"/>
  <c r="A57" i="29"/>
  <c r="A56" i="29"/>
  <c r="A54" i="29"/>
  <c r="A53" i="29"/>
  <c r="A52" i="29"/>
  <c r="A50" i="29"/>
  <c r="A49" i="29"/>
  <c r="A48" i="29"/>
  <c r="A46" i="29"/>
  <c r="A45" i="29"/>
  <c r="A44" i="29"/>
  <c r="A42" i="29"/>
  <c r="A41" i="29"/>
  <c r="A40" i="29"/>
  <c r="A38" i="29"/>
  <c r="A37" i="29"/>
  <c r="A36" i="29"/>
  <c r="B2" i="29"/>
  <c r="V34" i="1"/>
  <c r="V35" i="1"/>
  <c r="V36" i="1"/>
  <c r="V38" i="1"/>
  <c r="V39" i="1"/>
  <c r="V40" i="1"/>
  <c r="V42" i="1"/>
  <c r="V43" i="1"/>
  <c r="V44" i="1"/>
  <c r="A8" i="29"/>
  <c r="A32" i="29"/>
  <c r="A31" i="29"/>
  <c r="A30" i="29"/>
  <c r="A28" i="29"/>
  <c r="A27" i="29"/>
  <c r="A26" i="29"/>
  <c r="A24" i="29"/>
  <c r="A23" i="29"/>
  <c r="A22" i="29"/>
  <c r="A20" i="29"/>
  <c r="A19" i="29"/>
  <c r="A18" i="29"/>
  <c r="A16" i="29"/>
  <c r="A15" i="29"/>
  <c r="A14" i="29"/>
  <c r="A7" i="29"/>
  <c r="A6" i="29"/>
  <c r="A2" i="29"/>
  <c r="P6" i="29"/>
  <c r="O56" i="2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V24" i="1" l="1"/>
  <c r="V22" i="1"/>
  <c r="V23" i="1"/>
  <c r="V26" i="1"/>
  <c r="V27" i="1"/>
  <c r="V28" i="1"/>
  <c r="V30" i="1"/>
  <c r="V31" i="1"/>
  <c r="V32" i="1"/>
  <c r="V19" i="1"/>
  <c r="V20" i="1"/>
  <c r="V18" i="1"/>
  <c r="K108" i="14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6" i="29" l="1"/>
  <c r="I7" i="1"/>
  <c r="D6" i="29"/>
  <c r="D7" i="29"/>
  <c r="K7" i="29"/>
  <c r="D8" i="29"/>
  <c r="K8" i="29"/>
  <c r="P10" i="29"/>
  <c r="A10" i="29" s="1"/>
  <c r="P11" i="29"/>
  <c r="A11" i="29" s="1"/>
  <c r="P12" i="29"/>
  <c r="A12" i="29" s="1"/>
  <c r="P14" i="29"/>
  <c r="P15" i="29"/>
  <c r="P16" i="29"/>
  <c r="P18" i="29"/>
  <c r="P19" i="29"/>
  <c r="P20" i="29"/>
  <c r="P22" i="29"/>
  <c r="P23" i="29"/>
  <c r="P24" i="29"/>
  <c r="P26" i="29"/>
  <c r="P27" i="29"/>
  <c r="P28" i="29"/>
  <c r="P30" i="29"/>
  <c r="P31" i="29"/>
  <c r="P32" i="29"/>
  <c r="P7" i="29"/>
  <c r="P8" i="29"/>
  <c r="P40" i="29"/>
  <c r="P41" i="29"/>
  <c r="P42" i="29"/>
  <c r="P44" i="29"/>
  <c r="P45" i="29"/>
  <c r="P46" i="29"/>
  <c r="P48" i="29"/>
  <c r="P49" i="29"/>
  <c r="P50" i="29"/>
  <c r="P52" i="29"/>
  <c r="P53" i="29"/>
  <c r="P54" i="29"/>
  <c r="P56" i="29"/>
  <c r="P57" i="29"/>
  <c r="P58" i="29"/>
  <c r="P60" i="29"/>
  <c r="P61" i="29"/>
  <c r="P62" i="29"/>
  <c r="P36" i="29"/>
  <c r="P37" i="29"/>
  <c r="P38" i="29"/>
  <c r="B10" i="29"/>
  <c r="B11" i="29"/>
  <c r="B12" i="29"/>
  <c r="B14" i="29"/>
  <c r="B15" i="29"/>
  <c r="B16" i="29"/>
  <c r="B18" i="29"/>
  <c r="B19" i="29"/>
  <c r="B20" i="29"/>
  <c r="B22" i="29"/>
  <c r="B23" i="29"/>
  <c r="B24" i="29"/>
  <c r="B26" i="29"/>
  <c r="B27" i="29"/>
  <c r="B28" i="29"/>
  <c r="B30" i="29"/>
  <c r="B31" i="29"/>
  <c r="B32" i="29"/>
  <c r="B8" i="29"/>
  <c r="B7" i="29"/>
  <c r="B6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B22" i="1"/>
  <c r="AC22" i="1"/>
  <c r="AB23" i="1"/>
  <c r="AC23" i="1"/>
  <c r="AB24" i="1"/>
  <c r="AC24" i="1"/>
  <c r="AB26" i="1"/>
  <c r="AC26" i="1"/>
  <c r="AB27" i="1"/>
  <c r="AC27" i="1"/>
  <c r="AB28" i="1"/>
  <c r="AC28" i="1"/>
  <c r="AB30" i="1"/>
  <c r="AC30" i="1"/>
  <c r="AB31" i="1"/>
  <c r="AC31" i="1"/>
  <c r="AB32" i="1"/>
  <c r="AC32" i="1"/>
  <c r="AB34" i="1"/>
  <c r="AC34" i="1"/>
  <c r="AB35" i="1"/>
  <c r="AC35" i="1"/>
  <c r="AB36" i="1"/>
  <c r="AC36" i="1"/>
  <c r="AB38" i="1"/>
  <c r="AC38" i="1"/>
  <c r="AB39" i="1"/>
  <c r="AC39" i="1"/>
  <c r="AB40" i="1"/>
  <c r="AC40" i="1"/>
  <c r="AB42" i="1"/>
  <c r="AC42" i="1"/>
  <c r="AB43" i="1"/>
  <c r="AC43" i="1"/>
  <c r="AB44" i="1"/>
  <c r="AC44" i="1"/>
  <c r="F108" i="14" l="1"/>
  <c r="L108" i="14" s="1"/>
  <c r="F66" i="14"/>
  <c r="N108" i="14" l="1"/>
  <c r="M108" i="14"/>
  <c r="O108" i="14"/>
  <c r="O66" i="14"/>
  <c r="L66" i="14"/>
  <c r="M66" i="14"/>
  <c r="N66" i="14"/>
  <c r="K32" i="29"/>
  <c r="J32" i="29"/>
  <c r="I32" i="29"/>
  <c r="H32" i="29"/>
  <c r="D32" i="29"/>
  <c r="C32" i="29"/>
  <c r="K31" i="29"/>
  <c r="J31" i="29"/>
  <c r="I31" i="29"/>
  <c r="H31" i="29"/>
  <c r="D31" i="29"/>
  <c r="C31" i="29"/>
  <c r="K30" i="29"/>
  <c r="J30" i="29"/>
  <c r="I30" i="29"/>
  <c r="H30" i="29"/>
  <c r="D30" i="29"/>
  <c r="C30" i="29"/>
  <c r="K28" i="29"/>
  <c r="J28" i="29"/>
  <c r="I28" i="29"/>
  <c r="H28" i="29"/>
  <c r="D28" i="29"/>
  <c r="C28" i="29"/>
  <c r="K27" i="29"/>
  <c r="J27" i="29"/>
  <c r="I27" i="29"/>
  <c r="H27" i="29"/>
  <c r="D27" i="29"/>
  <c r="C27" i="29"/>
  <c r="K26" i="29"/>
  <c r="J26" i="29"/>
  <c r="I26" i="29"/>
  <c r="H26" i="29"/>
  <c r="D26" i="29"/>
  <c r="C26" i="29"/>
  <c r="K24" i="29"/>
  <c r="J24" i="29"/>
  <c r="I24" i="29"/>
  <c r="H24" i="29"/>
  <c r="D24" i="29"/>
  <c r="C24" i="29"/>
  <c r="K23" i="29"/>
  <c r="J23" i="29"/>
  <c r="I23" i="29"/>
  <c r="H23" i="29"/>
  <c r="D23" i="29"/>
  <c r="C23" i="29"/>
  <c r="K22" i="29"/>
  <c r="J22" i="29"/>
  <c r="I22" i="29"/>
  <c r="H22" i="29"/>
  <c r="D22" i="29"/>
  <c r="C22" i="29"/>
  <c r="K20" i="29"/>
  <c r="J20" i="29"/>
  <c r="I20" i="29"/>
  <c r="H20" i="29"/>
  <c r="D20" i="29"/>
  <c r="C20" i="29"/>
  <c r="K19" i="29"/>
  <c r="J19" i="29"/>
  <c r="I19" i="29"/>
  <c r="H19" i="29"/>
  <c r="D19" i="29"/>
  <c r="C19" i="29"/>
  <c r="K18" i="29"/>
  <c r="J18" i="29"/>
  <c r="I18" i="29"/>
  <c r="H18" i="29"/>
  <c r="D18" i="29"/>
  <c r="C18" i="29"/>
  <c r="K16" i="29"/>
  <c r="J16" i="29"/>
  <c r="I16" i="29"/>
  <c r="H16" i="29"/>
  <c r="D16" i="29"/>
  <c r="C16" i="29"/>
  <c r="K15" i="29"/>
  <c r="J15" i="29"/>
  <c r="I15" i="29"/>
  <c r="H15" i="29"/>
  <c r="D15" i="29"/>
  <c r="C15" i="29"/>
  <c r="K14" i="29"/>
  <c r="J14" i="29"/>
  <c r="I14" i="29"/>
  <c r="H14" i="29"/>
  <c r="D14" i="29"/>
  <c r="C14" i="29"/>
  <c r="D12" i="29"/>
  <c r="C12" i="29"/>
  <c r="K11" i="29"/>
  <c r="D11" i="29"/>
  <c r="C11" i="29"/>
  <c r="D10" i="29"/>
  <c r="C10" i="29"/>
  <c r="C8" i="29"/>
  <c r="C7" i="29"/>
  <c r="C6" i="29"/>
  <c r="K62" i="29"/>
  <c r="G62" i="29"/>
  <c r="F62" i="29"/>
  <c r="E62" i="29"/>
  <c r="D62" i="29"/>
  <c r="C62" i="29"/>
  <c r="B62" i="29"/>
  <c r="K61" i="29"/>
  <c r="G61" i="29"/>
  <c r="F61" i="29"/>
  <c r="E61" i="29"/>
  <c r="D61" i="29"/>
  <c r="C61" i="29"/>
  <c r="B61" i="29"/>
  <c r="K60" i="29"/>
  <c r="G60" i="29"/>
  <c r="F60" i="29"/>
  <c r="E60" i="29"/>
  <c r="D60" i="29"/>
  <c r="C60" i="29"/>
  <c r="B60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6" i="29"/>
  <c r="G56" i="29"/>
  <c r="F56" i="29"/>
  <c r="E56" i="29"/>
  <c r="D56" i="29"/>
  <c r="C56" i="29"/>
  <c r="B56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2" i="29"/>
  <c r="G52" i="29"/>
  <c r="F52" i="29"/>
  <c r="E52" i="29"/>
  <c r="D52" i="29"/>
  <c r="C52" i="29"/>
  <c r="B52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8" i="29"/>
  <c r="G48" i="29"/>
  <c r="F48" i="29"/>
  <c r="E48" i="29"/>
  <c r="D48" i="29"/>
  <c r="C48" i="29"/>
  <c r="B48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4" i="29"/>
  <c r="G44" i="29"/>
  <c r="F44" i="29"/>
  <c r="E44" i="29"/>
  <c r="D44" i="29"/>
  <c r="C44" i="29"/>
  <c r="B44" i="29"/>
  <c r="G42" i="29"/>
  <c r="F42" i="29"/>
  <c r="E42" i="29"/>
  <c r="D42" i="29"/>
  <c r="C42" i="29"/>
  <c r="B42" i="29"/>
  <c r="G41" i="29"/>
  <c r="F41" i="29"/>
  <c r="E41" i="29"/>
  <c r="D41" i="29"/>
  <c r="C41" i="29"/>
  <c r="B41" i="29"/>
  <c r="G40" i="29"/>
  <c r="F40" i="29"/>
  <c r="E40" i="29"/>
  <c r="D40" i="29"/>
  <c r="C40" i="29"/>
  <c r="B40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6" i="29"/>
  <c r="F36" i="29"/>
  <c r="E36" i="29"/>
  <c r="D36" i="29"/>
  <c r="B36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Z44" i="1"/>
  <c r="AA44" i="1" s="1"/>
  <c r="Y44" i="1"/>
  <c r="X44" i="1"/>
  <c r="W44" i="1"/>
  <c r="H44" i="1"/>
  <c r="Z43" i="1"/>
  <c r="AA43" i="1" s="1"/>
  <c r="Y43" i="1"/>
  <c r="X43" i="1"/>
  <c r="W43" i="1"/>
  <c r="H43" i="1"/>
  <c r="Z42" i="1"/>
  <c r="AA42" i="1" s="1"/>
  <c r="Y42" i="1"/>
  <c r="X42" i="1"/>
  <c r="W42" i="1"/>
  <c r="Z41" i="1"/>
  <c r="Y41" i="1"/>
  <c r="X41" i="1"/>
  <c r="W41" i="1"/>
  <c r="Z40" i="1"/>
  <c r="AA40" i="1" s="1"/>
  <c r="Y40" i="1"/>
  <c r="X40" i="1"/>
  <c r="W40" i="1"/>
  <c r="H40" i="1"/>
  <c r="Z39" i="1"/>
  <c r="AA39" i="1" s="1"/>
  <c r="Y39" i="1"/>
  <c r="X39" i="1"/>
  <c r="W39" i="1"/>
  <c r="H39" i="1"/>
  <c r="A39" i="1"/>
  <c r="AI39" i="1" s="1"/>
  <c r="Z38" i="1"/>
  <c r="AA38" i="1" s="1"/>
  <c r="Y38" i="1"/>
  <c r="X38" i="1"/>
  <c r="W38" i="1"/>
  <c r="Z37" i="1"/>
  <c r="Y37" i="1"/>
  <c r="X37" i="1"/>
  <c r="W37" i="1"/>
  <c r="Z36" i="1"/>
  <c r="AA36" i="1" s="1"/>
  <c r="Y36" i="1"/>
  <c r="X36" i="1"/>
  <c r="W36" i="1"/>
  <c r="H36" i="1"/>
  <c r="Z35" i="1"/>
  <c r="AA35" i="1" s="1"/>
  <c r="Y35" i="1"/>
  <c r="X35" i="1"/>
  <c r="W35" i="1"/>
  <c r="H35" i="1"/>
  <c r="Z34" i="1"/>
  <c r="AA34" i="1" s="1"/>
  <c r="Y34" i="1"/>
  <c r="X34" i="1"/>
  <c r="W34" i="1"/>
  <c r="Z33" i="1"/>
  <c r="Y33" i="1"/>
  <c r="X33" i="1"/>
  <c r="W33" i="1"/>
  <c r="Z32" i="1"/>
  <c r="AA32" i="1" s="1"/>
  <c r="Y32" i="1"/>
  <c r="X32" i="1"/>
  <c r="W32" i="1"/>
  <c r="H32" i="1"/>
  <c r="Z31" i="1"/>
  <c r="AA31" i="1" s="1"/>
  <c r="Y31" i="1"/>
  <c r="X31" i="1"/>
  <c r="W31" i="1"/>
  <c r="H31" i="1"/>
  <c r="Z30" i="1"/>
  <c r="AA30" i="1" s="1"/>
  <c r="Y30" i="1"/>
  <c r="X30" i="1"/>
  <c r="W30" i="1"/>
  <c r="Z29" i="1"/>
  <c r="Y29" i="1"/>
  <c r="X29" i="1"/>
  <c r="W29" i="1"/>
  <c r="Z28" i="1"/>
  <c r="AA28" i="1" s="1"/>
  <c r="Y28" i="1"/>
  <c r="X28" i="1"/>
  <c r="W28" i="1"/>
  <c r="H28" i="1"/>
  <c r="Z27" i="1"/>
  <c r="AA27" i="1" s="1"/>
  <c r="Y27" i="1"/>
  <c r="X27" i="1"/>
  <c r="W27" i="1"/>
  <c r="H27" i="1"/>
  <c r="Z26" i="1"/>
  <c r="AA26" i="1" s="1"/>
  <c r="Y26" i="1"/>
  <c r="X26" i="1"/>
  <c r="W26" i="1"/>
  <c r="Z25" i="1"/>
  <c r="Y25" i="1"/>
  <c r="X25" i="1"/>
  <c r="W25" i="1"/>
  <c r="X24" i="1"/>
  <c r="W24" i="1"/>
  <c r="H24" i="1"/>
  <c r="X23" i="1"/>
  <c r="W23" i="1"/>
  <c r="Z23" i="1" s="1"/>
  <c r="H23" i="1"/>
  <c r="X22" i="1"/>
  <c r="W22" i="1"/>
  <c r="AC20" i="1"/>
  <c r="AB20" i="1"/>
  <c r="X20" i="1"/>
  <c r="W20" i="1"/>
  <c r="H20" i="1"/>
  <c r="AC19" i="1"/>
  <c r="AB19" i="1"/>
  <c r="X19" i="1"/>
  <c r="W19" i="1"/>
  <c r="H19" i="1"/>
  <c r="AC18" i="1"/>
  <c r="AB18" i="1"/>
  <c r="X18" i="1"/>
  <c r="W18" i="1"/>
  <c r="J11" i="1"/>
  <c r="C17" i="7" s="1"/>
  <c r="B13" i="7"/>
  <c r="K6" i="1"/>
  <c r="K5" i="1"/>
  <c r="K4" i="1"/>
  <c r="P39" i="1" l="1"/>
  <c r="I57" i="29" s="1"/>
  <c r="Y23" i="1"/>
  <c r="H11" i="29" s="1"/>
  <c r="AA23" i="1"/>
  <c r="I11" i="29"/>
  <c r="AG38" i="1"/>
  <c r="AE38" i="1" s="1"/>
  <c r="AH38" i="1"/>
  <c r="AF38" i="1" s="1"/>
  <c r="AH31" i="1"/>
  <c r="AF31" i="1" s="1"/>
  <c r="AG31" i="1"/>
  <c r="AE31" i="1" s="1"/>
  <c r="AH40" i="1"/>
  <c r="AF40" i="1" s="1"/>
  <c r="AG40" i="1"/>
  <c r="AE40" i="1" s="1"/>
  <c r="AG27" i="1"/>
  <c r="AE27" i="1" s="1"/>
  <c r="AH27" i="1"/>
  <c r="AF27" i="1" s="1"/>
  <c r="AH24" i="1"/>
  <c r="AF24" i="1" s="1"/>
  <c r="AG24" i="1"/>
  <c r="AE24" i="1" s="1"/>
  <c r="O34" i="1"/>
  <c r="H52" i="29" s="1"/>
  <c r="AG34" i="1"/>
  <c r="AE34" i="1" s="1"/>
  <c r="AH34" i="1"/>
  <c r="AF34" i="1" s="1"/>
  <c r="AG22" i="1"/>
  <c r="AE22" i="1" s="1"/>
  <c r="AH22" i="1"/>
  <c r="AF22" i="1" s="1"/>
  <c r="AG43" i="1"/>
  <c r="AE43" i="1" s="1"/>
  <c r="AH43" i="1"/>
  <c r="AF43" i="1" s="1"/>
  <c r="AG42" i="1"/>
  <c r="AE42" i="1" s="1"/>
  <c r="AH42" i="1"/>
  <c r="AF42" i="1" s="1"/>
  <c r="AH32" i="1"/>
  <c r="AF32" i="1" s="1"/>
  <c r="AG32" i="1"/>
  <c r="AE32" i="1" s="1"/>
  <c r="A36" i="1"/>
  <c r="AI36" i="1" s="1"/>
  <c r="AG36" i="1"/>
  <c r="AE36" i="1" s="1"/>
  <c r="AH36" i="1"/>
  <c r="AF36" i="1" s="1"/>
  <c r="AG30" i="1"/>
  <c r="AE30" i="1" s="1"/>
  <c r="AH30" i="1"/>
  <c r="AF30" i="1" s="1"/>
  <c r="O39" i="1"/>
  <c r="H57" i="29" s="1"/>
  <c r="AG39" i="1"/>
  <c r="AE39" i="1" s="1"/>
  <c r="AH39" i="1"/>
  <c r="AF39" i="1" s="1"/>
  <c r="AG23" i="1"/>
  <c r="AE23" i="1" s="1"/>
  <c r="AH23" i="1"/>
  <c r="AF23" i="1" s="1"/>
  <c r="AG35" i="1"/>
  <c r="AE35" i="1" s="1"/>
  <c r="AH35" i="1"/>
  <c r="AF35" i="1" s="1"/>
  <c r="AG26" i="1"/>
  <c r="AE26" i="1" s="1"/>
  <c r="AH26" i="1"/>
  <c r="AF26" i="1" s="1"/>
  <c r="AG28" i="1"/>
  <c r="AE28" i="1" s="1"/>
  <c r="AH28" i="1"/>
  <c r="AF28" i="1" s="1"/>
  <c r="AG44" i="1"/>
  <c r="AE44" i="1" s="1"/>
  <c r="AH44" i="1"/>
  <c r="AF44" i="1" s="1"/>
  <c r="P27" i="1"/>
  <c r="I45" i="29" s="1"/>
  <c r="A23" i="1"/>
  <c r="AI23" i="1" s="1"/>
  <c r="P23" i="1"/>
  <c r="A26" i="1"/>
  <c r="AI26" i="1" s="1"/>
  <c r="P20" i="1"/>
  <c r="I38" i="29" s="1"/>
  <c r="AH20" i="1"/>
  <c r="AF20" i="1" s="1"/>
  <c r="AG20" i="1"/>
  <c r="AE20" i="1" s="1"/>
  <c r="AG19" i="1"/>
  <c r="AE19" i="1" s="1"/>
  <c r="AH19" i="1"/>
  <c r="AF19" i="1" s="1"/>
  <c r="AG18" i="1"/>
  <c r="AE18" i="1" s="1"/>
  <c r="AH18" i="1"/>
  <c r="AF18" i="1" s="1"/>
  <c r="A19" i="1"/>
  <c r="AI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I44" i="1" s="1"/>
  <c r="A22" i="1"/>
  <c r="AI22" i="1" s="1"/>
  <c r="O24" i="1"/>
  <c r="O31" i="1"/>
  <c r="O36" i="1"/>
  <c r="Y18" i="1"/>
  <c r="H6" i="29" s="1"/>
  <c r="Z18" i="1"/>
  <c r="O30" i="1"/>
  <c r="Q39" i="1"/>
  <c r="A40" i="1"/>
  <c r="AI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Z22" i="1"/>
  <c r="Y22" i="1"/>
  <c r="H10" i="29" s="1"/>
  <c r="Y20" i="1"/>
  <c r="H8" i="29" s="1"/>
  <c r="K122" i="14"/>
  <c r="K16" i="14"/>
  <c r="K99" i="14"/>
  <c r="K254" i="14"/>
  <c r="K263" i="14"/>
  <c r="K267" i="14"/>
  <c r="Z19" i="1"/>
  <c r="A24" i="1"/>
  <c r="AI24" i="1" s="1"/>
  <c r="O32" i="1"/>
  <c r="P35" i="1"/>
  <c r="I53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I30" i="1" s="1"/>
  <c r="K119" i="14"/>
  <c r="K275" i="14"/>
  <c r="K171" i="14"/>
  <c r="K86" i="14"/>
  <c r="F161" i="15" s="1" a="1"/>
  <c r="F161" i="15" s="1"/>
  <c r="O19" i="1"/>
  <c r="Z20" i="1"/>
  <c r="A31" i="1"/>
  <c r="AI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I28" i="1" s="1"/>
  <c r="A38" i="1"/>
  <c r="AI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9" i="29" s="1"/>
  <c r="P19" i="1"/>
  <c r="I37" i="29" s="1"/>
  <c r="O23" i="1"/>
  <c r="Z24" i="1"/>
  <c r="O28" i="1"/>
  <c r="P38" i="1"/>
  <c r="I56" i="29" s="1"/>
  <c r="A43" i="1"/>
  <c r="AI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I20" i="1" s="1"/>
  <c r="A27" i="1"/>
  <c r="AI27" i="1" s="1"/>
  <c r="A34" i="1"/>
  <c r="AI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I32" i="1" s="1"/>
  <c r="A35" i="1"/>
  <c r="AI35" i="1" s="1"/>
  <c r="P43" i="1"/>
  <c r="I61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6" i="29" s="1"/>
  <c r="P26" i="1"/>
  <c r="I44" i="29" s="1"/>
  <c r="P34" i="1"/>
  <c r="I52" i="29" s="1"/>
  <c r="Y19" i="1"/>
  <c r="H7" i="29" s="1"/>
  <c r="P30" i="1"/>
  <c r="I48" i="29" s="1"/>
  <c r="O42" i="1"/>
  <c r="A18" i="1"/>
  <c r="AI18" i="1" s="1"/>
  <c r="O20" i="1"/>
  <c r="P42" i="1"/>
  <c r="I60" i="29" s="1"/>
  <c r="P24" i="1"/>
  <c r="L42" i="29" s="1"/>
  <c r="P28" i="1"/>
  <c r="I46" i="29" s="1"/>
  <c r="P32" i="1"/>
  <c r="I50" i="29" s="1"/>
  <c r="P36" i="1"/>
  <c r="I54" i="29" s="1"/>
  <c r="Y24" i="1"/>
  <c r="H12" i="29" s="1"/>
  <c r="P40" i="1"/>
  <c r="I58" i="29" s="1"/>
  <c r="P44" i="1"/>
  <c r="I62" i="29" s="1"/>
  <c r="O123" i="14"/>
  <c r="N123" i="14"/>
  <c r="M123" i="14"/>
  <c r="L123" i="14"/>
  <c r="P22" i="1"/>
  <c r="Q34" i="1"/>
  <c r="O40" i="1"/>
  <c r="A42" i="1"/>
  <c r="AI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I41" i="29" l="1"/>
  <c r="L41" i="29"/>
  <c r="I40" i="29"/>
  <c r="L40" i="29"/>
  <c r="I42" i="29"/>
  <c r="Q24" i="1"/>
  <c r="Q32" i="1"/>
  <c r="J50" i="29" s="1"/>
  <c r="Q30" i="1"/>
  <c r="J48" i="29" s="1"/>
  <c r="Q38" i="1"/>
  <c r="T38" i="1" s="1"/>
  <c r="Q40" i="1"/>
  <c r="T40" i="1" s="1"/>
  <c r="Q31" i="1"/>
  <c r="T31" i="1" s="1"/>
  <c r="Q43" i="1"/>
  <c r="J61" i="29" s="1"/>
  <c r="Q42" i="1"/>
  <c r="T42" i="1" s="1"/>
  <c r="T39" i="1"/>
  <c r="Q36" i="1"/>
  <c r="T36" i="1" s="1"/>
  <c r="Q44" i="1"/>
  <c r="T44" i="1" s="1"/>
  <c r="Q35" i="1"/>
  <c r="T35" i="1" s="1"/>
  <c r="T34" i="1"/>
  <c r="AA20" i="1"/>
  <c r="I8" i="29"/>
  <c r="AA19" i="1"/>
  <c r="J7" i="29" s="1"/>
  <c r="I7" i="29"/>
  <c r="I35" i="1"/>
  <c r="I43" i="1"/>
  <c r="I36" i="1"/>
  <c r="I34" i="1"/>
  <c r="I27" i="1"/>
  <c r="I40" i="1"/>
  <c r="J11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R44" i="1"/>
  <c r="AA18" i="1"/>
  <c r="I18" i="1" s="1"/>
  <c r="I6" i="29"/>
  <c r="R43" i="1"/>
  <c r="R39" i="1"/>
  <c r="S34" i="1"/>
  <c r="R35" i="1"/>
  <c r="S28" i="1"/>
  <c r="R36" i="1"/>
  <c r="R32" i="1"/>
  <c r="J57" i="29"/>
  <c r="A41" i="2" s="1" a="1"/>
  <c r="A41" i="2" s="1"/>
  <c r="I12" i="29"/>
  <c r="AA24" i="1"/>
  <c r="I24" i="1" s="1"/>
  <c r="F7" i="15" a="1"/>
  <c r="F7" i="15" s="1"/>
  <c r="I10" i="29"/>
  <c r="AA22" i="1"/>
  <c r="F54" i="15" a="1"/>
  <c r="F54" i="15" s="1"/>
  <c r="R42" i="1"/>
  <c r="J52" i="29"/>
  <c r="R34" i="1"/>
  <c r="R31" i="1"/>
  <c r="Q20" i="1"/>
  <c r="R28" i="1"/>
  <c r="R27" i="1"/>
  <c r="R23" i="1"/>
  <c r="K41" i="29" s="1"/>
  <c r="R22" i="1"/>
  <c r="R24" i="1"/>
  <c r="R18" i="1"/>
  <c r="K6" i="29" s="1"/>
  <c r="R26" i="1"/>
  <c r="F232" i="15" a="1"/>
  <c r="F232" i="15" s="1"/>
  <c r="F204" i="15" a="1"/>
  <c r="F204" i="15" s="1"/>
  <c r="F182" i="15" a="1"/>
  <c r="F182" i="15" s="1"/>
  <c r="R19" i="1"/>
  <c r="H38" i="29"/>
  <c r="S20" i="1"/>
  <c r="H36" i="29"/>
  <c r="S18" i="1"/>
  <c r="H37" i="29"/>
  <c r="S19" i="1"/>
  <c r="R20" i="1"/>
  <c r="F225" i="15" a="1"/>
  <c r="F225" i="15" s="1"/>
  <c r="H50" i="29"/>
  <c r="S32" i="1"/>
  <c r="H54" i="29"/>
  <c r="S36" i="1"/>
  <c r="H41" i="29"/>
  <c r="S23" i="1"/>
  <c r="H61" i="29"/>
  <c r="S43" i="1"/>
  <c r="H56" i="29"/>
  <c r="S38" i="1"/>
  <c r="H45" i="29"/>
  <c r="S27" i="1"/>
  <c r="H42" i="29"/>
  <c r="S24" i="1"/>
  <c r="H44" i="29"/>
  <c r="S26" i="1"/>
  <c r="H62" i="29"/>
  <c r="S44" i="1"/>
  <c r="H49" i="29"/>
  <c r="S31" i="1"/>
  <c r="H40" i="29"/>
  <c r="S22" i="1"/>
  <c r="H60" i="29"/>
  <c r="S42" i="1"/>
  <c r="H53" i="29"/>
  <c r="S35" i="1"/>
  <c r="H58" i="29"/>
  <c r="S40" i="1"/>
  <c r="H48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42" i="29"/>
  <c r="K12" i="29"/>
  <c r="H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T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22" i="1" l="1"/>
  <c r="J10" i="29"/>
  <c r="I19" i="1"/>
  <c r="J60" i="29"/>
  <c r="A45" i="2" s="1" a="1"/>
  <c r="A45" i="2" s="1"/>
  <c r="T30" i="1"/>
  <c r="T32" i="1"/>
  <c r="J54" i="29"/>
  <c r="J58" i="29"/>
  <c r="J49" i="29"/>
  <c r="J56" i="29"/>
  <c r="J62" i="29"/>
  <c r="T43" i="1"/>
  <c r="J53" i="29"/>
  <c r="I20" i="1"/>
  <c r="J8" i="29"/>
  <c r="J41" i="29"/>
  <c r="T23" i="1"/>
  <c r="J44" i="29"/>
  <c r="A29" i="2" s="1" a="1"/>
  <c r="A29" i="2" s="1"/>
  <c r="T26" i="1"/>
  <c r="J38" i="29"/>
  <c r="T20" i="1"/>
  <c r="J45" i="29"/>
  <c r="J12" i="29"/>
  <c r="J6" i="29"/>
  <c r="K38" i="29"/>
  <c r="J42" i="29"/>
  <c r="J46" i="29"/>
  <c r="J40" i="29"/>
  <c r="J37" i="29"/>
  <c r="J36" i="29"/>
  <c r="K37" i="29"/>
  <c r="K36" i="29"/>
  <c r="K10" i="29"/>
  <c r="A25" i="7" s="1" a="1"/>
  <c r="A25" i="7" s="1"/>
  <c r="K40" i="29"/>
  <c r="I21" i="3" a="1"/>
  <c r="I21" i="3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  <connection id="2" xr16:uid="{555B0ACB-2040-48FD-BF7C-7F128BF9CD9C}" keepAlive="1" name="Query - UNCERTAINTY" description="Connection to the 'UNCERTAINTY' query in the workbook." type="5" refreshedVersion="8" background="1" saveData="1">
    <dbPr connection="Provider=Microsoft.Mashup.OleDb.1;Data Source=$Workbook$;Location=UNCERTAINTY;Extended Properties=&quot;&quot;" command="SELECT * FROM [UNCERTAINT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<sst xmlns="http://schemas.openxmlformats.org/spreadsheetml/2006/main" count="2423" uniqueCount="1123">
  <si>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</si>
  <si>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</si>
  <si>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</si>
  <si>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</si>
  <si>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</si>
  <si>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</si>
  <si>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</si>
  <si>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</si>
  <si>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</si>
  <si>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</si>
  <si>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</si>
  <si>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</si>
  <si>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</si>
  <si>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</si>
  <si>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</si>
  <si>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</si>
  <si>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</si>
  <si>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</si>
  <si>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</si>
  <si>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</si>
  <si>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</si>
  <si>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</si>
  <si>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</si>
  <si>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</si>
  <si>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</si>
  <si>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</si>
  <si>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</si>
  <si>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</si>
  <si>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</si>
  <si>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</si>
  <si>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</si>
  <si>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</si>
  <si>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</si>
  <si>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</si>
  <si>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</si>
  <si>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</si>
  <si>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</si>
  <si>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</si>
  <si>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</si>
  <si>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</si>
  <si>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</si>
  <si>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</si>
  <si>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</si>
  <si>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</si>
  <si>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</si>
  <si>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</si>
  <si>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</si>
  <si>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</si>
  <si>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</si>
  <si>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</si>
  <si>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</si>
  <si>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</si>
  <si>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</si>
  <si>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</si>
  <si>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</si>
  <si>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</si>
  <si>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</si>
  <si>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</si>
  <si>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</si>
  <si>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</si>
  <si>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</si>
  <si>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</si>
  <si>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</si>
  <si>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</si>
  <si>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</si>
  <si>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</si>
  <si>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</si>
  <si>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</si>
  <si>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</si>
  <si>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</si>
  <si>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</si>
  <si>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</si>
  <si>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</si>
  <si>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</si>
  <si>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</si>
  <si>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</si>
  <si>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</si>
  <si>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</si>
  <si>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</si>
  <si>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</si>
  <si>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</si>
  <si>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</si>
  <si>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</si>
  <si>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</si>
  <si>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</si>
  <si>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</si>
  <si>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</si>
  <si>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</si>
  <si>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</si>
  <si>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</si>
  <si>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</si>
  <si>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</si>
  <si>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</si>
  <si>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</si>
  <si>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</si>
  <si>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</si>
  <si>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</si>
  <si>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</si>
  <si>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</si>
  <si>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</si>
  <si>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</si>
  <si>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</si>
  <si>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</si>
  <si>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</si>
  <si>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</si>
  <si>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</si>
  <si>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</si>
  <si>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</si>
  <si>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</si>
  <si>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</si>
  <si>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</si>
  <si>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</si>
  <si>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</si>
  <si>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</si>
  <si>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</si>
  <si>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</si>
  <si>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</si>
  <si>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</si>
  <si>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</si>
  <si>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</si>
  <si>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</si>
  <si>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</si>
  <si>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</si>
  <si>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</si>
  <si>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</si>
  <si>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</si>
  <si>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</si>
  <si>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</si>
  <si>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</si>
  <si>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</si>
  <si>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</si>
  <si>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</si>
  <si>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</si>
  <si>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</si>
  <si>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</si>
  <si>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</si>
  <si>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</si>
  <si>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</si>
  <si>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</si>
  <si>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</si>
  <si>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</si>
  <si>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</si>
  <si>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</si>
  <si>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</si>
  <si>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</si>
  <si>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</si>
  <si>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</si>
  <si>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</si>
  <si>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</si>
  <si>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</si>
  <si>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</si>
  <si>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</si>
  <si>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</si>
  <si>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</si>
  <si>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</si>
  <si>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</si>
  <si>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</si>
  <si>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</si>
  <si>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</si>
  <si>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</si>
  <si>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</si>
  <si>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</si>
  <si>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</si>
  <si>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</si>
  <si>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</si>
  <si>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</si>
  <si>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</si>
  <si>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</si>
  <si>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</si>
  <si>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</si>
  <si>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</si>
  <si>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</si>
  <si>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</si>
  <si>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</si>
  <si>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</si>
  <si>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</si>
  <si>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</si>
  <si>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</si>
  <si>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</si>
  <si>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</si>
  <si>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</si>
  <si>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</si>
  <si>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</si>
  <si>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</si>
  <si>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</si>
  <si>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</si>
  <si>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</si>
  <si>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</si>
  <si>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</si>
  <si>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</si>
  <si>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</si>
  <si>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</si>
  <si>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</si>
  <si>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</si>
  <si>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</si>
  <si>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</si>
  <si>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</si>
  <si>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</si>
  <si>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</si>
  <si>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</si>
  <si>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</si>
  <si>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</si>
  <si>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</si>
  <si>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</si>
  <si>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</si>
  <si>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</si>
  <si>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</si>
  <si>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</si>
  <si>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</si>
  <si>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</si>
  <si>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</si>
  <si>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</si>
  <si>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</si>
  <si>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</si>
  <si>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</si>
  <si>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</si>
  <si>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</si>
  <si>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</si>
  <si>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</si>
  <si>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</si>
  <si>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</si>
  <si>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</si>
  <si>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</si>
  <si>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</si>
  <si>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</si>
  <si>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</si>
  <si>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Thresholds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</si>
  <si>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</si>
  <si>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</si>
  <si>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</si>
  <si>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</si>
  <si>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</si>
  <si>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</si>
  <si>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</si>
  <si>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</si>
  <si>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</si>
  <si>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</si>
  <si>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</si>
  <si>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</si>
  <si>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</si>
  <si>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</si>
  <si>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</si>
  <si>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</si>
  <si>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</si>
  <si>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</si>
  <si>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</si>
  <si>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</si>
  <si>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</si>
  <si>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</si>
  <si>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</si>
  <si>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</si>
  <si>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</si>
  <si>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</si>
  <si>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</si>
  <si>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</si>
  <si>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</si>
  <si>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</si>
  <si>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</si>
  <si>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</si>
  <si>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</si>
  <si>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</si>
  <si>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</si>
  <si>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</si>
  <si>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</si>
  <si>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</si>
  <si>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</si>
  <si>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</si>
  <si>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</si>
  <si>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</si>
  <si>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</si>
  <si>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</si>
  <si>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</si>
  <si>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</si>
  <si>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</si>
  <si>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</si>
  <si>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</si>
  <si>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</si>
  <si>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</si>
  <si>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</si>
  <si>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</si>
  <si>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</si>
  <si>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</si>
  <si>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</si>
  <si>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</si>
  <si>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</si>
  <si>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</si>
  <si>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</si>
  <si>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</si>
  <si>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</si>
  <si>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</si>
  <si>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</si>
  <si>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</si>
  <si>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</si>
  <si>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</si>
  <si>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</si>
  <si>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</si>
  <si>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</si>
  <si>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</si>
  <si>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</si>
  <si>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</si>
  <si>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</si>
  <si>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</si>
  <si>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</si>
  <si>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</si>
  <si>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</si>
  <si>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</si>
  <si>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</si>
  <si>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</si>
  <si>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</si>
  <si>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</si>
  <si>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</si>
  <si>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</si>
  <si>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</si>
  <si>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</si>
  <si>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</si>
  <si>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</si>
  <si>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</si>
  <si>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</si>
  <si>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</si>
  <si>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</si>
  <si>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</si>
  <si>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</si>
  <si>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</si>
  <si>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</si>
  <si>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</si>
  <si>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</si>
  <si>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</si>
  <si>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</si>
  <si>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</si>
  <si>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</si>
  <si>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</si>
  <si>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</si>
  <si>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</si>
  <si>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</si>
  <si>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</si>
  <si>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</si>
  <si>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</si>
  <si>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</si>
  <si>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</si>
  <si>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</si>
  <si>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</si>
  <si>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</si>
  <si>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</si>
  <si>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</si>
  <si>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</si>
  <si>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</si>
  <si>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</si>
  <si>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</si>
  <si>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</si>
  <si>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</si>
  <si>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</si>
  <si>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</si>
  <si>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</si>
  <si>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</si>
  <si>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</si>
  <si>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</si>
  <si>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</si>
  <si>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</si>
  <si>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</si>
  <si>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</si>
  <si>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</si>
  <si>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</si>
  <si>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</si>
  <si>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</si>
  <si>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</si>
  <si>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</si>
  <si>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</si>
  <si>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</si>
  <si>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</si>
  <si>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</si>
  <si>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</si>
  <si>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</si>
  <si>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</si>
  <si>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</si>
  <si>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</si>
  <si>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</si>
  <si>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</si>
  <si>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</si>
  <si>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</si>
  <si>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</si>
  <si>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</si>
  <si>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</si>
  <si>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</si>
  <si>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</si>
  <si>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</si>
  <si>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</si>
  <si>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</si>
  <si>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</si>
  <si>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</si>
  <si>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</si>
  <si>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</si>
  <si>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</si>
  <si>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</si>
  <si>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</si>
  <si>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</si>
  <si>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</si>
  <si>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</si>
  <si>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</si>
  <si>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</si>
  <si>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</si>
  <si>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</si>
  <si>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</si>
  <si>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</si>
  <si>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</si>
  <si>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</si>
  <si>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</si>
  <si>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</si>
  <si>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</si>
  <si>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</si>
  <si>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</si>
  <si>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</si>
  <si>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</si>
  <si>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</si>
  <si>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</si>
  <si>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</si>
  <si>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</si>
  <si>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</si>
  <si>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</si>
  <si>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</si>
  <si>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</si>
  <si>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</si>
  <si>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</si>
  <si>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</si>
  <si>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</si>
  <si>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</si>
  <si>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</si>
  <si>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</si>
  <si>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</si>
  <si>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</si>
  <si>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</si>
  <si>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</si>
  <si>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</si>
  <si>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</si>
  <si>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</si>
  <si>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</si>
  <si>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</si>
  <si>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</si>
  <si>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</si>
  <si>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</si>
  <si>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</si>
  <si>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</si>
  <si>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</si>
  <si>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</si>
  <si>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</si>
  <si>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</si>
  <si>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</si>
  <si>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</si>
  <si>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</si>
  <si>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</si>
  <si>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</si>
  <si>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</si>
  <si>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</si>
  <si>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</si>
  <si>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</si>
  <si>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</si>
  <si>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</si>
  <si>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</si>
  <si>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</si>
  <si>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</si>
  <si>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</si>
  <si>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</si>
  <si>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</si>
  <si>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</si>
  <si>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</si>
  <si>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</si>
  <si>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</si>
  <si>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</si>
  <si>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</si>
  <si>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</si>
  <si>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</si>
  <si>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</si>
  <si>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</si>
  <si>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</si>
  <si>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</si>
  <si>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</si>
  <si>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</si>
  <si>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</si>
  <si>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</si>
  <si>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</si>
  <si>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</si>
  <si>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</si>
  <si>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</si>
  <si>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</si>
  <si>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</si>
  <si>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</si>
  <si>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</si>
  <si>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</si>
  <si>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</si>
  <si>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</si>
  <si>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</si>
  <si>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</si>
  <si>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</si>
  <si>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</si>
  <si>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</si>
  <si>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</si>
  <si>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</si>
  <si>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</si>
  <si>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</si>
  <si>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</si>
  <si>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</si>
  <si>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</si>
  <si>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</si>
  <si>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</si>
  <si>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</si>
  <si>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</si>
  <si>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</si>
  <si>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</si>
  <si>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</si>
  <si>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</si>
  <si>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</si>
  <si>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</si>
  <si>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</si>
  <si>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</si>
  <si>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</si>
  <si>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</si>
  <si>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</si>
  <si>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</si>
  <si>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</si>
  <si>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</si>
  <si>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</si>
  <si>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</si>
  <si>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</si>
  <si>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</si>
  <si>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</si>
  <si>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</si>
  <si>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</si>
  <si>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</si>
  <si>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</si>
  <si>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</si>
  <si>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</si>
  <si>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</si>
  <si>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</si>
  <si>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</si>
  <si>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</si>
  <si>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</si>
  <si>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</si>
  <si>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</si>
  <si>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</si>
  <si>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</si>
  <si>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</si>
  <si>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</si>
  <si>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</si>
  <si>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</si>
  <si>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</si>
  <si>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</si>
  <si>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</si>
  <si>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</si>
  <si>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</si>
  <si>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</si>
  <si>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</si>
  <si>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</si>
  <si>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</si>
  <si>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</si>
  <si>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</si>
  <si>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</si>
  <si>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</si>
  <si>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</si>
  <si>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</si>
  <si>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</si>
  <si>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</si>
  <si>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</si>
  <si>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</si>
  <si>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</si>
  <si>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</si>
  <si>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</si>
  <si>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</si>
  <si>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</si>
  <si>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</si>
  <si>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</si>
  <si>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</si>
  <si>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</si>
  <si>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</si>
  <si>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</si>
  <si>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</si>
  <si>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</si>
  <si>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</si>
  <si>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</si>
  <si>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</si>
  <si>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</si>
  <si>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</si>
  <si>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</si>
  <si>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</si>
  <si>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</si>
  <si>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</si>
  <si>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</si>
  <si>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</si>
  <si>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</si>
  <si>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</si>
  <si>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</si>
  <si>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</si>
  <si>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</si>
  <si>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</si>
  <si>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</si>
  <si>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</si>
  <si>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</si>
  <si>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</si>
  <si>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</si>
  <si>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</si>
  <si>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</si>
  <si>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</si>
  <si>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</si>
  <si>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</si>
  <si>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</si>
  <si>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</si>
  <si>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</si>
  <si>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</si>
  <si>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</si>
  <si>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</si>
  <si>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</si>
  <si>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</si>
  <si>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</si>
  <si>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</si>
  <si>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</si>
  <si>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</si>
  <si>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</si>
  <si>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</si>
  <si>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</si>
  <si>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</si>
  <si>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</si>
  <si>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</si>
  <si>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</si>
  <si>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</si>
  <si>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</si>
  <si>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</si>
  <si>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</si>
  <si>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</si>
  <si>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</si>
  <si>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</si>
  <si>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</si>
  <si>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</si>
  <si>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</si>
  <si>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</si>
  <si>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</si>
  <si>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</si>
  <si>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</si>
  <si>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</si>
  <si>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</si>
  <si>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</si>
  <si>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</si>
  <si>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</si>
  <si>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</si>
  <si>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</si>
  <si>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</si>
  <si>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</si>
  <si>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</si>
  <si>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</si>
  <si>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</si>
  <si>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</si>
  <si>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</si>
  <si>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</si>
  <si>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</si>
  <si>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</si>
  <si>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</si>
  <si>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</si>
  <si>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</si>
  <si>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</si>
  <si>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</si>
  <si>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</si>
  <si>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</si>
  <si>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</si>
  <si>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</si>
  <si>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</si>
  <si>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</si>
  <si>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</si>
  <si>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</si>
  <si>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</si>
  <si>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</si>
  <si>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</si>
  <si>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</si>
  <si>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</si>
  <si>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</si>
  <si>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</si>
  <si>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</si>
  <si>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</si>
  <si>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</si>
  <si>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</si>
  <si>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</si>
  <si>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</si>
  <si>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</si>
  <si>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</si>
  <si>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</si>
  <si>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</si>
  <si>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</si>
  <si>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</si>
  <si>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</si>
  <si>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</si>
  <si>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</si>
  <si>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</si>
  <si>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</si>
  <si>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</si>
  <si>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</si>
  <si>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</si>
  <si>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</si>
  <si>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</si>
  <si>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</si>
  <si>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</si>
  <si>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</si>
  <si>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</si>
  <si>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</si>
  <si>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</si>
  <si>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</si>
  <si>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</si>
  <si>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</si>
  <si>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</si>
  <si>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</si>
  <si>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</si>
  <si>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</si>
  <si>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</si>
  <si>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</si>
  <si>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</si>
  <si>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</si>
  <si>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</si>
  <si>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</si>
  <si>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</si>
  <si>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</si>
  <si>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</si>
  <si>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</si>
  <si>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</si>
  <si>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</si>
  <si>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</si>
  <si>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</si>
  <si>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</si>
  <si>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</si>
  <si>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</si>
  <si>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</si>
  <si>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</si>
  <si>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</si>
  <si>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</si>
  <si>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</si>
  <si>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</si>
  <si>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</si>
  <si>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</si>
  <si>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</si>
  <si>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</si>
  <si>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</si>
  <si>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</si>
  <si>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</si>
  <si>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</si>
  <si>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</si>
  <si>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</si>
  <si>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</si>
  <si>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</si>
  <si>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</si>
  <si>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</si>
  <si>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</si>
  <si>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</si>
  <si>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</si>
  <si>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</si>
  <si>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</si>
  <si>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</si>
  <si>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</si>
  <si>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</si>
  <si>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</si>
  <si>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</si>
  <si>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</si>
  <si>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</si>
  <si>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</si>
  <si>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</si>
  <si>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</si>
  <si>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</si>
  <si>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</si>
  <si>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</si>
  <si>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</si>
  <si>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</si>
  <si>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</si>
  <si>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</si>
  <si>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</si>
  <si>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</si>
  <si>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</si>
  <si>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</si>
  <si>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</si>
  <si>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</si>
  <si>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</si>
  <si>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</si>
  <si>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</si>
  <si>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</si>
  <si>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</si>
  <si>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</si>
  <si>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</si>
  <si>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</si>
  <si>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</si>
  <si>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</si>
  <si>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</si>
  <si>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</si>
  <si>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</si>
  <si>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</si>
  <si>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</si>
  <si>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</si>
  <si>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</si>
  <si>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</si>
  <si>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</si>
  <si>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</si>
  <si>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</si>
  <si>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</si>
  <si>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</si>
  <si>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</si>
  <si>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</si>
  <si>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</si>
  <si>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</si>
  <si>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</si>
  <si>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</si>
  <si>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</si>
  <si>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</si>
  <si>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</si>
  <si>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</si>
  <si>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</si>
  <si>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</si>
  <si>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</si>
  <si>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</si>
  <si>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</si>
  <si>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</si>
  <si>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</si>
  <si>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</si>
  <si>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</si>
  <si>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</si>
  <si>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</si>
  <si>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</si>
  <si>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</si>
  <si>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</si>
  <si>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</si>
  <si>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</si>
  <si>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</si>
  <si>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</si>
  <si>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</si>
  <si>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</si>
  <si>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</si>
  <si>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</si>
  <si>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</si>
  <si>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</si>
  <si>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</si>
  <si>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</si>
  <si>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</si>
  <si>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</si>
  <si>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</si>
  <si>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</si>
  <si>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</si>
  <si>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</si>
  <si>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</si>
  <si>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</si>
  <si>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</si>
  <si>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</si>
  <si>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</si>
  <si>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</si>
  <si>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</si>
  <si>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</si>
  <si>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</si>
  <si>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</si>
  <si>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</si>
  <si>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</si>
  <si>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</si>
  <si>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</si>
  <si>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</si>
  <si>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</si>
  <si>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</si>
  <si>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</si>
  <si>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</si>
  <si>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</si>
  <si>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</si>
  <si>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</si>
  <si>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</si>
  <si>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</si>
  <si>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</si>
  <si>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</si>
  <si>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</si>
  <si>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</si>
  <si>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</si>
  <si>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</si>
  <si>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</si>
  <si>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</si>
  <si>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</si>
  <si>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</si>
  <si>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</si>
  <si>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</si>
  <si>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</si>
  <si>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</si>
  <si>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</si>
  <si>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</si>
  <si>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</si>
  <si>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</si>
  <si>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</si>
  <si>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</si>
  <si>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</si>
  <si>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</si>
  <si>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</si>
  <si>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</si>
  <si>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</si>
  <si>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</si>
  <si>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</si>
  <si>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</si>
  <si>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</si>
  <si>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</si>
  <si>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</si>
  <si>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</si>
  <si>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</si>
  <si>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</si>
  <si>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</si>
  <si>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</si>
  <si>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</si>
  <si>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</si>
  <si>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</si>
  <si>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</si>
  <si>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</si>
  <si>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</si>
  <si>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</si>
  <si>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</si>
  <si>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</si>
  <si>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</si>
  <si>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</si>
  <si>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</si>
  <si>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</si>
  <si>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</si>
  <si>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</si>
  <si>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</si>
  <si>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</si>
  <si>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</si>
  <si>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</si>
  <si>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</si>
  <si>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</si>
  <si>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</si>
  <si>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</si>
  <si>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</si>
  <si>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</si>
  <si>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</si>
  <si>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</si>
  <si>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</si>
  <si>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</si>
  <si>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</si>
  <si>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</si>
  <si>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</si>
  <si>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</si>
  <si>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</si>
  <si>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</si>
  <si>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</si>
  <si>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</si>
  <si>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</si>
  <si>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</si>
  <si>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</si>
  <si>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</si>
  <si>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</si>
  <si>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</si>
  <si>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</si>
  <si>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</si>
  <si>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</si>
  <si>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</si>
  <si>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</si>
  <si>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</si>
  <si>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</si>
  <si>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</si>
  <si>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</si>
  <si>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</si>
  <si>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</si>
  <si>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</si>
  <si>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</si>
  <si>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</si>
  <si>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</si>
  <si>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</si>
  <si>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</si>
  <si>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</si>
  <si>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</si>
  <si>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</si>
  <si>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</si>
  <si>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</si>
  <si>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</si>
  <si>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</si>
  <si>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</si>
  <si>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</si>
  <si>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</si>
  <si>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</si>
  <si>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</si>
  <si>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</si>
  <si>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</si>
  <si>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</si>
  <si>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</si>
  <si>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</si>
  <si>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</si>
  <si>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</si>
  <si>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</si>
  <si>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</si>
  <si>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</si>
  <si>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</si>
  <si>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</si>
  <si>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</si>
  <si>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</si>
  <si>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</si>
  <si>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</si>
  <si>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</si>
  <si>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</si>
  <si>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</si>
  <si>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</si>
  <si>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</si>
  <si>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</si>
  <si>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</si>
  <si>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</si>
  <si>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</si>
  <si>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</si>
  <si>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</si>
  <si>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</si>
  <si>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</si>
  <si>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</si>
  <si>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</si>
  <si>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</si>
  <si>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</si>
  <si>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</si>
  <si>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</si>
  <si>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</si>
  <si>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</si>
  <si>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</si>
  <si>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</si>
  <si>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</si>
  <si>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</si>
  <si>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</si>
  <si>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</si>
  <si>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</si>
  <si>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</si>
  <si>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</si>
  <si>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</si>
  <si>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</si>
  <si>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</si>
  <si>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</si>
  <si>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</si>
  <si>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</si>
  <si>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</si>
  <si>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</si>
  <si>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</si>
  <si>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</si>
  <si>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</si>
  <si>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</si>
  <si>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</si>
  <si>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</si>
  <si>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</si>
  <si>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</si>
  <si>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</si>
  <si>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</si>
  <si>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</si>
  <si>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</si>
  <si>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</si>
  <si>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</si>
  <si>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</si>
  <si>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</si>
  <si>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</si>
  <si>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</si>
  <si>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</si>
  <si>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</si>
  <si>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</si>
  <si>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</si>
  <si>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</si>
  <si>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</si>
  <si>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</si>
  <si>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</si>
  <si>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</si>
  <si>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</si>
  <si>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</si>
  <si>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</si>
  <si>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</si>
  <si>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</si>
  <si>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</si>
  <si>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</si>
  <si>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</si>
  <si>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</si>
  <si>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</si>
  <si>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</si>
  <si>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</si>
  <si>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</si>
  <si>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</si>
  <si>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</si>
  <si>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</si>
  <si>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</si>
  <si>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</si>
  <si>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</si>
  <si>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</si>
  <si>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</si>
  <si>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</si>
  <si>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</si>
  <si>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</si>
  <si>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</si>
  <si>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</si>
  <si>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</si>
  <si>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</si>
  <si>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</si>
  <si>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</si>
  <si>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</si>
  <si>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</si>
  <si>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</si>
  <si>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</si>
  <si>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</si>
  <si>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</si>
  <si>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</si>
  <si>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</si>
  <si>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</si>
  <si>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</si>
  <si>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</si>
  <si>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</si>
  <si>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</si>
  <si>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</si>
  <si>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</si>
  <si>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</si>
  <si>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</si>
  <si>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</si>
  <si>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</si>
  <si>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</si>
  <si>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</si>
  <si>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</si>
  <si>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</si>
  <si>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</si>
  <si>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</si>
  <si>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</si>
  <si>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</si>
  <si>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</si>
  <si>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</si>
  <si>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</si>
  <si>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</si>
  <si>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</si>
  <si>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</si>
  <si>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</si>
  <si>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</si>
  <si>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</si>
  <si>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</si>
  <si>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</si>
  <si>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</si>
  <si>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</si>
  <si>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</si>
  <si>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Is Portable:</t>
  </si>
  <si>
    <t>Substring: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</si>
</sst>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34" fillId="0" borderId="0" xfId="0" applyFont="1"/>
    <xf numFmtId="0" fontId="35" fillId="0" borderId="0" xfId="0" applyFont="1"/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7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8">
    <queryTableFields count="4">
      <queryTableField id="1" name="Scale" tableColumnId="1"/>
      <queryTableField id="5" name="LOW" tableColumnId="2"/>
      <queryTableField id="6" name="MID" tableColumnId="3"/>
      <queryTableField id="7" name="HIGH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27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0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19"/>
    <tableColumn id="3" xr3:uid="{3C2AA4EE-2EA3-4E39-96BE-88D7CD62515A}" name="MID" dataDxfId="18"/>
    <tableColumn id="4" xr3:uid="{040AEA25-6926-41E6-8F6C-D2ACD028C50A}" name="HIGH" dataDxfId="1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ERTAINTY" displayName="UNCERTAINTY" ref="R3:U16" tableType="queryTable" totalsRowShown="0">
  <autoFilter ref="R3:U16" xr:uid="{FE995EC3-04B6-4384-84CB-3510FA163FB2}"/>
  <tableColumns count="4">
    <tableColumn id="1" xr3:uid="{41817F01-44D0-4615-8622-CDD6C476E4B3}" uniqueName="1" name="Scale" queryTableFieldId="1" dataDxfId="16"/>
    <tableColumn id="2" xr3:uid="{8DDC443A-F464-4586-BFBC-A283955AD65B}" uniqueName="2" name="LOW" queryTableFieldId="5"/>
    <tableColumn id="3" xr3:uid="{12C80642-7065-4132-9FAE-8DCBB91FB621}" uniqueName="3" name="MID" queryTableFieldId="6"/>
    <tableColumn id="4" xr3:uid="{7A720683-61F0-475F-B332-B3C7D41A03C7}" uniqueName="4" name="HIGH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63"/>
  <sheetViews>
    <sheetView showGridLines="0" tabSelected="1" view="pageBreakPreview" zoomScaleNormal="100" zoomScaleSheetLayoutView="100" workbookViewId="0">
      <selection activeCell="D3" sqref="D3:E3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  <col min="31" max="31" width="9.140625" style="3"/>
  </cols>
  <sheetData>
    <row r="1" spans="1:28" ht="21" x14ac:dyDescent="0.35">
      <c r="A1" s="98"/>
      <c r="B1" s="130" t="s">
        <v>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26" t="s">
        <v>1</v>
      </c>
      <c r="Q1" s="126"/>
      <c r="R1" s="126"/>
      <c r="S1" s="126"/>
      <c r="W1" t="s">
        <v>2</v>
      </c>
    </row>
    <row r="2" spans="1:28" ht="26.25" x14ac:dyDescent="0.4">
      <c r="A2" s="79"/>
      <c r="B2" s="131" t="s">
        <v>3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Y2" s="17"/>
      <c r="Z2" s="17"/>
    </row>
    <row r="3" spans="1:28" ht="15.75" x14ac:dyDescent="0.25">
      <c r="C3" s="4" t="s">
        <v>7</v>
      </c>
      <c r="D3" s="140"/>
      <c r="E3" s="140"/>
      <c r="F3" s="91" t="s">
        <v>8</v>
      </c>
      <c r="G3" s="143"/>
      <c r="H3" s="143"/>
      <c r="K3" s="4" t="s">
        <v>9</v>
      </c>
      <c r="L3" s="115" t="s">
        <v>10</v>
      </c>
      <c r="N3" s="132"/>
      <c r="O3" s="132"/>
      <c r="P3" s="63" t="s">
        <v>11</v>
      </c>
      <c r="U3" s="4" t="s">
        <v>12</v>
      </c>
      <c r="V3" s="57"/>
      <c r="W3" s="48"/>
      <c r="X3" s="48"/>
      <c r="Y3" s="48"/>
      <c r="Z3" s="48"/>
    </row>
    <row r="4" spans="1:28" ht="15.75" x14ac:dyDescent="0.25">
      <c r="C4" s="4" t="s">
        <v>13</v>
      </c>
      <c r="D4" s="141"/>
      <c r="E4" s="141"/>
      <c r="F4" s="90" t="s">
        <v>14</v>
      </c>
      <c r="G4" s="143"/>
      <c r="H4" s="143"/>
      <c r="K4" s="92" t="str">
        <f>IFERROR(VLOOKUP($D$4,Table1[],2,FALSE),"")</f>
        <v/>
      </c>
      <c r="L4" s="19"/>
      <c r="N4" s="133"/>
      <c r="O4" s="133"/>
      <c r="P4" s="64" t="s">
        <v>15</v>
      </c>
      <c r="U4" s="4" t="s">
        <v>16</v>
      </c>
      <c r="V4" s="57"/>
      <c r="W4" s="48" t="b">
        <v>1</v>
      </c>
      <c r="X4" s="48"/>
      <c r="Y4" s="48"/>
      <c r="Z4" s="48"/>
      <c r="AA4" s="113"/>
    </row>
    <row r="5" spans="1:28" ht="15.75" x14ac:dyDescent="0.25">
      <c r="C5" s="4" t="s">
        <v>17</v>
      </c>
      <c r="D5" s="138"/>
      <c r="E5" s="138"/>
      <c r="F5" s="90" t="s">
        <v>18</v>
      </c>
      <c r="G5" s="143"/>
      <c r="H5" s="143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Y5" s="48"/>
      <c r="Z5" s="48"/>
    </row>
    <row r="6" spans="1:28" ht="15.75" x14ac:dyDescent="0.25">
      <c r="C6" s="4" t="s">
        <v>22</v>
      </c>
      <c r="D6" s="142"/>
      <c r="E6" s="142"/>
      <c r="F6" s="90" t="s">
        <v>23</v>
      </c>
      <c r="G6" s="143"/>
      <c r="H6" s="143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Y6" s="48"/>
      <c r="Z6" s="48"/>
    </row>
    <row r="7" spans="1:28" ht="15.75" x14ac:dyDescent="0.25">
      <c r="C7" s="4" t="s">
        <v>28</v>
      </c>
      <c r="D7" s="142"/>
      <c r="E7" s="142"/>
      <c r="F7" s="4" t="s">
        <v>29</v>
      </c>
      <c r="G7" s="143"/>
      <c r="H7" s="143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Y7" s="48"/>
      <c r="Z7" s="48"/>
    </row>
    <row r="8" spans="1:28" ht="15.75" x14ac:dyDescent="0.25">
      <c r="C8" s="4" t="s">
        <v>33</v>
      </c>
      <c r="D8" s="137"/>
      <c r="E8" s="137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Y8" s="48"/>
      <c r="Z8" s="48"/>
    </row>
    <row r="9" spans="1:28" ht="15.75" x14ac:dyDescent="0.25">
      <c r="C9" s="4" t="s">
        <v>37</v>
      </c>
      <c r="D9" s="138"/>
      <c r="E9" s="138"/>
      <c r="H9" t="s">
        <v>38</v>
      </c>
      <c r="J9" s="115" t="s">
        <v>147</v>
      </c>
      <c r="M9" s="4" t="s">
        <v>39</v>
      </c>
      <c r="N9" s="60"/>
      <c r="P9" s="64" t="s">
        <v>40</v>
      </c>
      <c r="U9" s="4"/>
    </row>
    <row r="10" spans="1:28" x14ac:dyDescent="0.25">
      <c r="B10" s="122" t="s">
        <v>41</v>
      </c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8"/>
      <c r="Q10" s="18"/>
      <c r="R10" s="18"/>
      <c r="U10" s="69" t="s">
        <v>42</v>
      </c>
      <c r="V10" s="17" t="s">
        <v>6</v>
      </c>
      <c r="W10" s="17"/>
      <c r="X10" s="17"/>
      <c r="Y10" s="17"/>
      <c r="Z10" s="17"/>
    </row>
    <row r="11" spans="1:28" x14ac:dyDescent="0.25">
      <c r="C11" s="4" t="s">
        <v>43</v>
      </c>
      <c r="D11" s="116" t="s">
        <v>147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Y11" s="48"/>
      <c r="Z11" s="48"/>
    </row>
    <row r="12" spans="1:28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Y12" s="48"/>
      <c r="Z12" s="48"/>
    </row>
    <row r="13" spans="1:28" x14ac:dyDescent="0.25">
      <c r="B13" s="122" t="s">
        <v>41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8"/>
      <c r="Q13" s="18"/>
      <c r="R13" s="18"/>
      <c r="U13" s="4" t="s">
        <v>27</v>
      </c>
      <c r="V13" s="57"/>
      <c r="W13" s="48"/>
      <c r="X13" s="48"/>
      <c r="Y13" s="48"/>
      <c r="Z13" s="48"/>
    </row>
    <row r="14" spans="1:28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Y14" s="48"/>
      <c r="Z14" s="48"/>
    </row>
    <row r="15" spans="1:28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Y15" s="48"/>
      <c r="Z15" s="48"/>
    </row>
    <row r="16" spans="1:28" x14ac:dyDescent="0.25">
      <c r="B16" s="123" t="s">
        <v>52</v>
      </c>
      <c r="C16" s="123"/>
      <c r="D16" s="123" t="s">
        <v>53</v>
      </c>
      <c r="E16" s="123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B16" s="4"/>
    </row>
    <row r="17" spans="1:35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0"/>
      <c r="T17" s="120"/>
      <c r="U17" s="27"/>
      <c r="V17" s="27" t="s">
        <v>71</v>
      </c>
      <c r="W17" s="27" t="s">
        <v>72</v>
      </c>
      <c r="X17" s="27" t="s">
        <v>73</v>
      </c>
      <c r="Y17" s="27" t="s">
        <v>74</v>
      </c>
      <c r="Z17" s="27" t="s">
        <v>75</v>
      </c>
      <c r="AA17" s="4" t="s">
        <v>76</v>
      </c>
      <c r="AB17" s="21" t="s">
        <v>77</v>
      </c>
      <c r="AC17" s="21" t="s">
        <v>78</v>
      </c>
      <c r="AE17" s="108" t="s">
        <v>79</v>
      </c>
      <c r="AF17" s="15" t="s">
        <v>80</v>
      </c>
      <c r="AG17" s="15" t="s">
        <v>81</v>
      </c>
      <c r="AH17" s="15" t="s">
        <v>63</v>
      </c>
      <c r="AI17" s="15" t="s">
        <v>82</v>
      </c>
    </row>
    <row r="18" spans="1:35" ht="16.5" customHeight="1" x14ac:dyDescent="0.3">
      <c r="A18" s="4" t="str">
        <f>IFERROR(VLOOKUP(B18,Thresholds[],2,FALSE),"")</f>
        <v/>
      </c>
      <c r="B18" s="110" t="str">
        <f>IF(F$14="","",F$14)</f>
        <v/>
      </c>
      <c r="C18" s="62"/>
      <c r="D18" s="124"/>
      <c r="E18" s="125"/>
      <c r="F18" s="67"/>
      <c r="G18" s="67"/>
      <c r="H18" s="81"/>
      <c r="I18" s="82" t="str">
        <f>IFERROR(IF(OR(AA18&lt;-AH18,AA18&gt;AH18),"AF ERROR",IF(Y18&gt;AG18,"AF REPEAT","")),"")</f>
        <v/>
      </c>
      <c r="J18" s="68"/>
      <c r="K18" s="68"/>
      <c r="L18" s="68"/>
      <c r="M18" s="68"/>
      <c r="N18" s="68"/>
      <c r="O18" s="11" t="str">
        <f>IFERROR(IF(B18="","",AB18-AC18),"")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IFERROR(AE18&amp;"/"&amp;AF18,"")</f>
        <v/>
      </c>
      <c r="S18" s="70" t="str">
        <f>IFERROR(IF(O18&gt;AG18,"OOT REPEATABILITY",""),"")</f>
        <v/>
      </c>
      <c r="T18" s="70" t="str">
        <f>IFERROR(IF(OR(Q18&lt;-AH18,Q18&gt;AH18),"OOT ERROR",""),"")</f>
        <v/>
      </c>
      <c r="V18" t="str">
        <f>IFERROR(VLOOKUP(B18,UNCERTAINTY[],2,FALSE),"")</f>
        <v/>
      </c>
      <c r="W18" s="49" t="str">
        <f>IF(F18&gt;0,MAX(F18:G18),"")</f>
        <v/>
      </c>
      <c r="X18" s="28" t="str">
        <f>IF(F18&gt;0,MIN(F18:G18),"")</f>
        <v/>
      </c>
      <c r="Y18" s="49" t="str">
        <f>IF(F18&gt;0,W18-X18,"")</f>
        <v/>
      </c>
      <c r="Z18" s="49" t="str">
        <f>IF(F18&gt;0,AVERAGE(W18,X18),"")</f>
        <v/>
      </c>
      <c r="AA18" s="22" t="e">
        <f>Z18-C18</f>
        <v>#VALUE!</v>
      </c>
      <c r="AB18" s="3" t="str">
        <f>IF(J18&gt;0,MAX(J18:N18),"")</f>
        <v/>
      </c>
      <c r="AC18" s="22" t="str">
        <f>IF(J18&gt;0,MIN(J18:N18),"")</f>
        <v/>
      </c>
      <c r="AE18" s="3" t="e">
        <f>TEXT(AG18,"0.0")</f>
        <v>#N/A</v>
      </c>
      <c r="AF18" t="e">
        <f>TEXT(AH18,"±0.0")</f>
        <v>#N/A</v>
      </c>
      <c r="AG18" t="e">
        <f>VLOOKUP(B18,Repeat[],2,FALSE)</f>
        <v>#N/A</v>
      </c>
      <c r="AH18" t="e">
        <f>VLOOKUP(B18,Error[],2,FALSE)</f>
        <v>#N/A</v>
      </c>
      <c r="AI18" t="e">
        <f>IF(A18="no test", ISBLANK(C18), C18&lt;VLOOKUP(B18,Thresholds[],5,0))</f>
        <v>#N/A</v>
      </c>
    </row>
    <row r="19" spans="1:35" ht="16.5" customHeight="1" x14ac:dyDescent="0.3">
      <c r="A19" s="4" t="str">
        <f>IFERROR(VLOOKUP(B19,Thresholds[],3,FALSE),"")</f>
        <v/>
      </c>
      <c r="B19" s="110" t="str">
        <f>IF(F$14="","",F$14)</f>
        <v/>
      </c>
      <c r="C19" s="62"/>
      <c r="D19" s="124"/>
      <c r="E19" s="125"/>
      <c r="F19" s="67"/>
      <c r="G19" s="67"/>
      <c r="H19" s="81" t="str">
        <f>IF(AND(C19-C18&lt;5,C19&gt;0),"Too Close","")</f>
        <v/>
      </c>
      <c r="I19" s="82" t="str">
        <f>IFERROR(IF(OR(AA19&lt;-AH19,AA19&gt;AH19),"AF ERROR",IF(Y19&gt;AG19,"AF REPEAT","")),"")</f>
        <v/>
      </c>
      <c r="J19" s="68"/>
      <c r="K19" s="68"/>
      <c r="L19" s="68"/>
      <c r="M19" s="68"/>
      <c r="N19" s="68"/>
      <c r="O19" s="11" t="str">
        <f>IFERROR(IF(B19="","",AB19-AC19),"")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>IFERROR(IF(O19&gt;AG19,"OOT REPEATABILITY",""),"")</f>
        <v/>
      </c>
      <c r="T19" s="70" t="str">
        <f>IFERROR(IF(OR(Q19&lt;-AH19,Q19&gt;AH19),"OOT ERROR",""),"")</f>
        <v/>
      </c>
      <c r="V19" t="str">
        <f>IFERROR(VLOOKUP(B19,UNCERTAINTY[],3,FALSE),"")</f>
        <v/>
      </c>
      <c r="W19" s="49" t="str">
        <f>IF(F19&gt;0,MAX(F19:G19),"")</f>
        <v/>
      </c>
      <c r="X19" s="28" t="str">
        <f>IF(F19&gt;0,MIN(F19:G19),"")</f>
        <v/>
      </c>
      <c r="Y19" s="49" t="str">
        <f>IF(F19&gt;0,W19-X19,"")</f>
        <v/>
      </c>
      <c r="Z19" s="49" t="str">
        <f>IF(F19&gt;0,AVERAGE(W19,X19),"")</f>
        <v/>
      </c>
      <c r="AA19" s="22" t="e">
        <f>Z19-C19</f>
        <v>#VALUE!</v>
      </c>
      <c r="AB19" s="3" t="str">
        <f>IF(J19&gt;0,MAX(J19:N19),"")</f>
        <v/>
      </c>
      <c r="AC19" s="22" t="str">
        <f>IF(J19&gt;0,MIN(J19:N19),"")</f>
        <v/>
      </c>
      <c r="AE19" s="3" t="e">
        <f t="shared" ref="AE19:AE20" si="1">TEXT(AG19,"0.0")</f>
        <v>#N/A</v>
      </c>
      <c r="AF19" t="e">
        <f t="shared" ref="AF19:AF20" si="2">TEXT(AH19,"±0.0")</f>
        <v>#N/A</v>
      </c>
      <c r="AG19" t="e">
        <f>VLOOKUP(B19,Repeat[],3,FALSE)</f>
        <v>#N/A</v>
      </c>
      <c r="AH19" t="e">
        <f>VLOOKUP(B19,Error[],3,FALSE)</f>
        <v>#N/A</v>
      </c>
      <c r="AI19" t="e">
        <f>IF(A19="no test", ISBLANK(C19), AND(C19&gt;=VLOOKUP(B19,Thresholds[],5,0),C19&lt;VLOOKUP(B19,Thresholds[],6,0)))</f>
        <v>#N/A</v>
      </c>
    </row>
    <row r="20" spans="1:35" ht="16.5" customHeight="1" x14ac:dyDescent="0.3">
      <c r="A20" s="4" t="str">
        <f>IFERROR(VLOOKUP(B20,Thresholds[],4,FALSE),"")</f>
        <v/>
      </c>
      <c r="B20" s="110" t="str">
        <f>IF(F$14="","",F$14)</f>
        <v/>
      </c>
      <c r="C20" s="62"/>
      <c r="D20" s="124"/>
      <c r="E20" s="125"/>
      <c r="F20" s="67"/>
      <c r="G20" s="67"/>
      <c r="H20" s="81" t="str">
        <f>IF(AND(C20-C19&lt;5,C20&gt;0),"Too Close","")</f>
        <v/>
      </c>
      <c r="I20" s="82" t="str">
        <f>IFERROR(IF(OR(AA20&lt;-AH20,AA20&gt;AH20),"AF ERROR",IF(Y20&gt;AG20,"AF REPEAT","")),"")</f>
        <v/>
      </c>
      <c r="J20" s="68"/>
      <c r="K20" s="68"/>
      <c r="L20" s="68"/>
      <c r="M20" s="68"/>
      <c r="N20" s="68"/>
      <c r="O20" s="11" t="str">
        <f>IFERROR(IF(B20="","",AB20-AC20),"")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>IFERROR(IF(O20&gt;AG20,"OOT REPEATABILITY",""),"")</f>
        <v/>
      </c>
      <c r="T20" s="70" t="str">
        <f>IFERROR(IF(OR(Q20&lt;-AH20,Q20&gt;AH20),"OOT ERROR",""),"")</f>
        <v/>
      </c>
      <c r="V20" t="str">
        <f>IFERROR(VLOOKUP(B20,UNCERTAINTY[],4,FALSE),"")</f>
        <v/>
      </c>
      <c r="W20" s="49" t="str">
        <f>IF(F20&gt;0,MAX(F20:G20),"")</f>
        <v/>
      </c>
      <c r="X20" s="28" t="str">
        <f>IF(F20&gt;0,MIN(F20:G20),"")</f>
        <v/>
      </c>
      <c r="Y20" s="49" t="str">
        <f>IF(F20&gt;0,W20-X20,"")</f>
        <v/>
      </c>
      <c r="Z20" s="49" t="str">
        <f>IF(F20&gt;0,AVERAGE(W20,X20),"")</f>
        <v/>
      </c>
      <c r="AA20" s="22" t="e">
        <f>Z20-C20</f>
        <v>#VALUE!</v>
      </c>
      <c r="AB20" s="3" t="str">
        <f>IF(J20&gt;0,MAX(J20:N20),"")</f>
        <v/>
      </c>
      <c r="AC20" s="22" t="str">
        <f>IF(J20&gt;0,MIN(J20:N20),"")</f>
        <v/>
      </c>
      <c r="AE20" s="3" t="e">
        <f t="shared" si="1"/>
        <v>#N/A</v>
      </c>
      <c r="AF20" t="e">
        <f t="shared" si="2"/>
        <v>#N/A</v>
      </c>
      <c r="AG20" t="e">
        <f>VLOOKUP(B20,Repeat[],4,FALSE)</f>
        <v>#N/A</v>
      </c>
      <c r="AH20" t="e">
        <f>VLOOKUP(B20,Error[],4,FALSE)</f>
        <v>#N/A</v>
      </c>
      <c r="AI20" t="e">
        <f>IF(A20="no test", ISBLANK(C20), C20&gt;=VLOOKUP(B20,Thresholds[],6,0))</f>
        <v>#N/A</v>
      </c>
    </row>
    <row r="21" spans="1:35" ht="7.5" customHeight="1" x14ac:dyDescent="0.25">
      <c r="A21" s="99"/>
      <c r="B21" s="111"/>
      <c r="C21" s="100"/>
      <c r="D21" s="121"/>
      <c r="E21" s="12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W21" s="49"/>
      <c r="X21" s="28"/>
      <c r="Y21" s="49"/>
      <c r="Z21" s="49"/>
      <c r="AA21" s="22"/>
      <c r="AB21" s="3"/>
      <c r="AC21" s="22"/>
    </row>
    <row r="22" spans="1:35" ht="16.5" customHeight="1" x14ac:dyDescent="0.3">
      <c r="A22" s="4" t="str">
        <f>IFERROR(VLOOKUP(B22,Thresholds[],2,FALSE),"")</f>
        <v/>
      </c>
      <c r="B22" s="110" t="str">
        <f>IF(G$14="","",G$14)</f>
        <v/>
      </c>
      <c r="C22" s="62"/>
      <c r="D22" s="119"/>
      <c r="E22" s="119"/>
      <c r="F22" s="67"/>
      <c r="G22" s="67"/>
      <c r="H22" s="81"/>
      <c r="I22" s="82" t="str">
        <f>IFERROR(IF(OR(AA22&lt;-AH22,AA22&gt;AH22),"AF ERROR",IF(Y22&gt;AG22,"AF REPEAT","")),"")</f>
        <v/>
      </c>
      <c r="J22" s="68"/>
      <c r="K22" s="68"/>
      <c r="L22" s="68"/>
      <c r="M22" s="68"/>
      <c r="N22" s="68"/>
      <c r="O22" s="11" t="str">
        <f>IFERROR(IF(B22="","",AB22-AC22),"")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3">IFERROR(AE22&amp;"/"&amp;AF22,"")</f>
        <v/>
      </c>
      <c r="S22" s="70" t="str">
        <f>IFERROR(IF(O22&gt;AG22,"OOT REPEATABILITY",""),"")</f>
        <v/>
      </c>
      <c r="T22" s="70" t="str">
        <f>IFERROR(IF(OR(Q22&lt;-AH22,Q22&gt;AH22),"OOT ERROR",""),"")</f>
        <v/>
      </c>
      <c r="V22" t="str">
        <f>IFERROR(VLOOKUP(B22,UNCERTAINTY[],2,FALSE),"")</f>
        <v/>
      </c>
      <c r="W22" s="49" t="str">
        <f t="shared" ref="W22:W44" si="4">IF(F22&gt;0,MAX(F22:G22),"")</f>
        <v/>
      </c>
      <c r="X22" s="28" t="str">
        <f t="shared" ref="X22:X44" si="5">IF(F22&gt;0,MIN(F22:G22),"")</f>
        <v/>
      </c>
      <c r="Y22" s="49" t="str">
        <f t="shared" ref="Y22:Y44" si="6">IF(F22&gt;0,W22-X22,"")</f>
        <v/>
      </c>
      <c r="Z22" s="49" t="str">
        <f t="shared" ref="Z22:Z44" si="7">IF(F22&gt;0,AVERAGE(W22,X22),"")</f>
        <v/>
      </c>
      <c r="AA22" s="22" t="e">
        <f>Z22-C22</f>
        <v>#VALUE!</v>
      </c>
      <c r="AB22" s="3" t="str">
        <f>IF(J22&gt;0,MAX(J22:N22),"")</f>
        <v/>
      </c>
      <c r="AC22" s="22" t="str">
        <f>IF(J22&gt;0,MIN(J22:N22),"")</f>
        <v/>
      </c>
      <c r="AE22" s="3" t="e">
        <f t="shared" ref="AE22:AE44" si="8">TEXT(AG22,"0.0")</f>
        <v>#N/A</v>
      </c>
      <c r="AF22" t="e">
        <f t="shared" ref="AF22:AF44" si="9">TEXT(AH22,"±0.0")</f>
        <v>#N/A</v>
      </c>
      <c r="AG22" t="e">
        <f>VLOOKUP(B22,Repeat[],2,FALSE)</f>
        <v>#N/A</v>
      </c>
      <c r="AH22" t="e">
        <f>VLOOKUP(B22,Error[],2,FALSE)</f>
        <v>#N/A</v>
      </c>
      <c r="AI22" t="e">
        <f>IF(A22="no test", ISBLANK(C22), C22&lt;VLOOKUP(B22,Thresholds[],5,0))</f>
        <v>#N/A</v>
      </c>
    </row>
    <row r="23" spans="1:35" ht="16.5" customHeight="1" x14ac:dyDescent="0.3">
      <c r="A23" s="4" t="str">
        <f>IFERROR(VLOOKUP(B23,Thresholds[],3,FALSE),"")</f>
        <v/>
      </c>
      <c r="B23" s="110" t="str">
        <f>IF(G$14="","",G$14)</f>
        <v/>
      </c>
      <c r="C23" s="62"/>
      <c r="D23" s="119"/>
      <c r="E23" s="119"/>
      <c r="F23" s="67"/>
      <c r="G23" s="67"/>
      <c r="H23" s="81" t="str">
        <f>IF(AND(C23-C22&lt;5,C23&gt;0),"Too Close","")</f>
        <v/>
      </c>
      <c r="I23" s="82" t="str">
        <f>IFERROR(IF(OR(AA23&lt;-AH23,AA23&gt;AH23),"AF ERROR",IF(Y23&gt;AG23,"AF REPEAT","")),"")</f>
        <v/>
      </c>
      <c r="J23" s="68"/>
      <c r="K23" s="68"/>
      <c r="L23" s="68"/>
      <c r="M23" s="68"/>
      <c r="N23" s="68"/>
      <c r="O23" s="11" t="str">
        <f>IFERROR(IF(B23="","",AB23-AC23),"")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3"/>
        <v/>
      </c>
      <c r="S23" s="70" t="str">
        <f>IFERROR(IF(O23&gt;AG23,"OOT REPEATABILITY",""),"")</f>
        <v/>
      </c>
      <c r="T23" s="70" t="str">
        <f>IFERROR(IF(OR(Q23&lt;-AH23,Q23&gt;AH23),"OOT ERROR",""),"")</f>
        <v/>
      </c>
      <c r="V23" t="str">
        <f>IFERROR(VLOOKUP(B23,UNCERTAINTY[],3,FALSE),"")</f>
        <v/>
      </c>
      <c r="W23" s="49" t="str">
        <f t="shared" si="4"/>
        <v/>
      </c>
      <c r="X23" s="28" t="str">
        <f t="shared" si="5"/>
        <v/>
      </c>
      <c r="Y23" s="49" t="str">
        <f t="shared" si="6"/>
        <v/>
      </c>
      <c r="Z23" s="49" t="str">
        <f t="shared" si="7"/>
        <v/>
      </c>
      <c r="AA23" s="22" t="e">
        <f>Z23-C23</f>
        <v>#VALUE!</v>
      </c>
      <c r="AB23" s="3" t="str">
        <f>IF(J23&gt;0,MAX(J23:N23),"")</f>
        <v/>
      </c>
      <c r="AC23" s="22" t="str">
        <f>IF(J23&gt;0,MIN(J23:N23),"")</f>
        <v/>
      </c>
      <c r="AE23" s="3" t="e">
        <f t="shared" si="8"/>
        <v>#N/A</v>
      </c>
      <c r="AF23" t="e">
        <f t="shared" si="9"/>
        <v>#N/A</v>
      </c>
      <c r="AG23" t="e">
        <f>VLOOKUP(B23,Repeat[],3,FALSE)</f>
        <v>#N/A</v>
      </c>
      <c r="AH23" t="e">
        <f>VLOOKUP(B23,Error[],3,FALSE)</f>
        <v>#N/A</v>
      </c>
      <c r="AI23" t="e">
        <f>IF(A23="no test", ISBLANK(C23), AND(C23&gt;=VLOOKUP(B23,Thresholds[],5,0),C23&lt;VLOOKUP(B23,Thresholds[],6,0)))</f>
        <v>#N/A</v>
      </c>
    </row>
    <row r="24" spans="1:35" ht="16.5" customHeight="1" x14ac:dyDescent="0.3">
      <c r="A24" s="4" t="str">
        <f>IFERROR(VLOOKUP(B24,Thresholds[],4,FALSE),"")</f>
        <v/>
      </c>
      <c r="B24" s="110" t="str">
        <f>IF(G$14="","",G$14)</f>
        <v/>
      </c>
      <c r="C24" s="62"/>
      <c r="D24" s="119"/>
      <c r="E24" s="119"/>
      <c r="F24" s="67"/>
      <c r="G24" s="67"/>
      <c r="H24" s="81" t="str">
        <f>IF(AND(C24-C23&lt;5,C24&gt;0),"Too Close","")</f>
        <v/>
      </c>
      <c r="I24" s="82" t="str">
        <f>IFERROR(IF(OR(AA24&lt;-AH24,AA24&gt;AH24),"AF ERROR",IF(Y24&gt;AG24,"AF REPEAT","")),"")</f>
        <v/>
      </c>
      <c r="J24" s="68"/>
      <c r="K24" s="68"/>
      <c r="L24" s="68"/>
      <c r="M24" s="68"/>
      <c r="N24" s="68"/>
      <c r="O24" s="11" t="str">
        <f>IFERROR(IF(B24="","",AB24-AC24),"")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3"/>
        <v/>
      </c>
      <c r="S24" s="70" t="str">
        <f>IFERROR(IF(O24&gt;AG24,"OOT REPEATABILITY",""),"")</f>
        <v/>
      </c>
      <c r="T24" s="70" t="str">
        <f>IFERROR(IF(OR(Q24&lt;-AH24,Q24&gt;AH24),"OOT ERROR",""),"")</f>
        <v/>
      </c>
      <c r="V24" t="str">
        <f>IFERROR(VLOOKUP(B24,UNCERTAINTY[],4,FALSE),"")</f>
        <v/>
      </c>
      <c r="W24" s="49" t="str">
        <f t="shared" si="4"/>
        <v/>
      </c>
      <c r="X24" s="28" t="str">
        <f t="shared" si="5"/>
        <v/>
      </c>
      <c r="Y24" s="49" t="str">
        <f t="shared" si="6"/>
        <v/>
      </c>
      <c r="Z24" s="49" t="str">
        <f t="shared" si="7"/>
        <v/>
      </c>
      <c r="AA24" s="22" t="e">
        <f>Z24-C24</f>
        <v>#VALUE!</v>
      </c>
      <c r="AB24" s="3" t="str">
        <f>IF(J24&gt;0,MAX(J24:N24),"")</f>
        <v/>
      </c>
      <c r="AC24" s="22" t="str">
        <f>IF(J24&gt;0,MIN(J24:N24),"")</f>
        <v/>
      </c>
      <c r="AE24" s="3" t="e">
        <f t="shared" si="8"/>
        <v>#N/A</v>
      </c>
      <c r="AF24" t="e">
        <f t="shared" si="9"/>
        <v>#N/A</v>
      </c>
      <c r="AG24" t="e">
        <f>VLOOKUP(B24,Repeat[],4,FALSE)</f>
        <v>#N/A</v>
      </c>
      <c r="AH24" t="e">
        <f>VLOOKUP(B24,Error[],4,FALSE)</f>
        <v>#N/A</v>
      </c>
      <c r="AI24" t="e">
        <f>IF(A24="no test", ISBLANK(C24), C24&gt;=VLOOKUP(B24,Thresholds[],6,0))</f>
        <v>#N/A</v>
      </c>
    </row>
    <row r="25" spans="1:35" ht="7.5" customHeight="1" x14ac:dyDescent="0.25">
      <c r="A25" s="4"/>
      <c r="B25" s="112"/>
      <c r="C25" s="100"/>
      <c r="D25" s="121"/>
      <c r="E25" s="12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W25" s="49" t="str">
        <f t="shared" si="4"/>
        <v/>
      </c>
      <c r="X25" s="28" t="str">
        <f t="shared" si="5"/>
        <v/>
      </c>
      <c r="Y25" s="49" t="str">
        <f t="shared" si="6"/>
        <v/>
      </c>
      <c r="Z25" s="49" t="str">
        <f t="shared" si="7"/>
        <v/>
      </c>
      <c r="AA25" s="22"/>
      <c r="AB25" s="3"/>
      <c r="AC25" s="22"/>
    </row>
    <row r="26" spans="1:35" ht="16.5" customHeight="1" x14ac:dyDescent="0.3">
      <c r="A26" s="4" t="str">
        <f>IFERROR(VLOOKUP(B26,Thresholds[],2,FALSE),"")</f>
        <v/>
      </c>
      <c r="B26" s="110" t="str">
        <f>IF(H$14="","",H$14)</f>
        <v/>
      </c>
      <c r="C26" s="62"/>
      <c r="D26" s="119"/>
      <c r="E26" s="119"/>
      <c r="F26" s="67"/>
      <c r="G26" s="67"/>
      <c r="H26" s="81"/>
      <c r="I26" s="82" t="str">
        <f>IFERROR(IF(OR(AA26&lt;-AH26,AA26&gt;AH26),"AF ERROR",IF(Y26&gt;AG26,"AF REPEAT","")),"")</f>
        <v/>
      </c>
      <c r="J26" s="68"/>
      <c r="K26" s="68"/>
      <c r="L26" s="68"/>
      <c r="M26" s="68"/>
      <c r="N26" s="68"/>
      <c r="O26" s="11" t="str">
        <f>IFERROR(IF(B26="","",AB26-AC26),"")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10">IFERROR(AE26&amp;"/"&amp;AF26,"")</f>
        <v/>
      </c>
      <c r="S26" s="70" t="str">
        <f>IFERROR(IF(O26&gt;AG26,"OOT REPEATABILITY",""),"")</f>
        <v/>
      </c>
      <c r="T26" s="70" t="str">
        <f>IFERROR(IF(OR(Q26&lt;-AH26,Q26&gt;AH26),"OOT ERROR",""),"")</f>
        <v/>
      </c>
      <c r="V26" t="str">
        <f>IFERROR(VLOOKUP(B26,UNCERTAINTY[],2,FALSE),"")</f>
        <v/>
      </c>
      <c r="W26" s="49" t="str">
        <f t="shared" si="4"/>
        <v/>
      </c>
      <c r="X26" s="28" t="str">
        <f t="shared" si="5"/>
        <v/>
      </c>
      <c r="Y26" s="49" t="str">
        <f t="shared" si="6"/>
        <v/>
      </c>
      <c r="Z26" s="49" t="str">
        <f t="shared" si="7"/>
        <v/>
      </c>
      <c r="AA26" s="22" t="e">
        <f>Z26-C26</f>
        <v>#VALUE!</v>
      </c>
      <c r="AB26" s="3" t="str">
        <f>IF(J26&gt;0,MAX(J26:N26),"")</f>
        <v/>
      </c>
      <c r="AC26" s="22" t="str">
        <f>IF(J26&gt;0,MIN(J26:N26),"")</f>
        <v/>
      </c>
      <c r="AE26" s="3" t="e">
        <f t="shared" ref="AE26" si="11">TEXT(AG26,"0.0")</f>
        <v>#N/A</v>
      </c>
      <c r="AF26" t="e">
        <f t="shared" ref="AF26" si="12">TEXT(AH26,"±0.0")</f>
        <v>#N/A</v>
      </c>
      <c r="AG26" t="e">
        <f>VLOOKUP(B26,Repeat[],2,FALSE)</f>
        <v>#N/A</v>
      </c>
      <c r="AH26" t="e">
        <f>VLOOKUP(B26,Error[],2,FALSE)</f>
        <v>#N/A</v>
      </c>
      <c r="AI26" t="e">
        <f>IF(A26="no test", ISBLANK(C26), C26&lt;VLOOKUP(B26,Thresholds[],5,0))</f>
        <v>#N/A</v>
      </c>
    </row>
    <row r="27" spans="1:35" ht="16.5" customHeight="1" x14ac:dyDescent="0.3">
      <c r="A27" s="4" t="str">
        <f>IFERROR(VLOOKUP(B27,Thresholds[],3,FALSE),"")</f>
        <v/>
      </c>
      <c r="B27" s="110" t="str">
        <f>IF(H$14="","",H$14)</f>
        <v/>
      </c>
      <c r="C27" s="62"/>
      <c r="D27" s="119"/>
      <c r="E27" s="119"/>
      <c r="F27" s="67"/>
      <c r="G27" s="67"/>
      <c r="H27" s="81" t="str">
        <f>IF(AND(C27-C26&lt;5,C27&gt;0),"Too Close","")</f>
        <v/>
      </c>
      <c r="I27" s="82" t="str">
        <f>IFERROR(IF(OR(AA27&lt;-AH27,AA27&gt;AH27),"AF ERROR",IF(Y27&gt;AG27,"AF REPEAT","")),"")</f>
        <v/>
      </c>
      <c r="J27" s="68"/>
      <c r="K27" s="68"/>
      <c r="L27" s="68"/>
      <c r="M27" s="68"/>
      <c r="N27" s="68"/>
      <c r="O27" s="11" t="str">
        <f>IFERROR(IF(B27="","",AB27-AC27),"")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10"/>
        <v/>
      </c>
      <c r="S27" s="70" t="str">
        <f>IFERROR(IF(O27&gt;AG27,"OOT REPEATABILITY",""),"")</f>
        <v/>
      </c>
      <c r="T27" s="70" t="str">
        <f>IFERROR(IF(OR(Q27&lt;-AH27,Q27&gt;AH27),"OOT ERROR",""),"")</f>
        <v/>
      </c>
      <c r="V27" t="str">
        <f>IFERROR(VLOOKUP(B27,UNCERTAINTY[],3,FALSE),"")</f>
        <v/>
      </c>
      <c r="W27" s="49" t="str">
        <f t="shared" si="4"/>
        <v/>
      </c>
      <c r="X27" s="28" t="str">
        <f t="shared" si="5"/>
        <v/>
      </c>
      <c r="Y27" s="49" t="str">
        <f t="shared" si="6"/>
        <v/>
      </c>
      <c r="Z27" s="49" t="str">
        <f t="shared" si="7"/>
        <v/>
      </c>
      <c r="AA27" s="22" t="e">
        <f>Z27-C27</f>
        <v>#VALUE!</v>
      </c>
      <c r="AB27" s="3" t="str">
        <f>IF(J27&gt;0,MAX(J27:N27),"")</f>
        <v/>
      </c>
      <c r="AC27" s="22" t="str">
        <f>IF(J27&gt;0,MIN(J27:N27),"")</f>
        <v/>
      </c>
      <c r="AE27" s="3" t="e">
        <f t="shared" si="8"/>
        <v>#N/A</v>
      </c>
      <c r="AF27" t="e">
        <f t="shared" si="9"/>
        <v>#N/A</v>
      </c>
      <c r="AG27" t="e">
        <f>VLOOKUP(B27,Repeat[],3,FALSE)</f>
        <v>#N/A</v>
      </c>
      <c r="AH27" t="e">
        <f>VLOOKUP(B27,Error[],3,FALSE)</f>
        <v>#N/A</v>
      </c>
      <c r="AI27" t="e">
        <f>IF(A27="no test", ISBLANK(C27), AND(C27&gt;=VLOOKUP(B27,Thresholds[],5,0),C27&lt;VLOOKUP(B27,Thresholds[],6,0)))</f>
        <v>#N/A</v>
      </c>
    </row>
    <row r="28" spans="1:35" ht="16.5" customHeight="1" x14ac:dyDescent="0.3">
      <c r="A28" s="4" t="str">
        <f>IFERROR(VLOOKUP(B28,Thresholds[],4,FALSE),"")</f>
        <v/>
      </c>
      <c r="B28" s="110" t="str">
        <f>IF(H$14="","",H$14)</f>
        <v/>
      </c>
      <c r="C28" s="62"/>
      <c r="D28" s="119"/>
      <c r="E28" s="119"/>
      <c r="F28" s="67"/>
      <c r="G28" s="67"/>
      <c r="H28" s="81" t="str">
        <f>IF(AND(C28-C27&lt;5,C28&gt;0),"Too Close","")</f>
        <v/>
      </c>
      <c r="I28" s="82" t="str">
        <f>IFERROR(IF(OR(AA28&lt;-AH28,AA28&gt;AH28),"AF ERROR",IF(Y28&gt;AG28,"AF REPEAT","")),"")</f>
        <v/>
      </c>
      <c r="J28" s="68"/>
      <c r="K28" s="68"/>
      <c r="L28" s="68"/>
      <c r="M28" s="68"/>
      <c r="N28" s="68"/>
      <c r="O28" s="11" t="str">
        <f>IFERROR(IF(B28="","",AB28-AC28),"")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10"/>
        <v/>
      </c>
      <c r="S28" s="70" t="str">
        <f>IFERROR(IF(O28&gt;AG28,"OOT REPEATABILITY",""),"")</f>
        <v/>
      </c>
      <c r="T28" s="70" t="str">
        <f>IFERROR(IF(OR(Q28&lt;-AH28,Q28&gt;AH28),"OOT ERROR",""),"")</f>
        <v/>
      </c>
      <c r="V28" t="str">
        <f>IFERROR(VLOOKUP(B28,UNCERTAINTY[],4,FALSE),"")</f>
        <v/>
      </c>
      <c r="W28" s="49" t="str">
        <f t="shared" si="4"/>
        <v/>
      </c>
      <c r="X28" s="28" t="str">
        <f t="shared" si="5"/>
        <v/>
      </c>
      <c r="Y28" s="49" t="str">
        <f t="shared" si="6"/>
        <v/>
      </c>
      <c r="Z28" s="49" t="str">
        <f t="shared" si="7"/>
        <v/>
      </c>
      <c r="AA28" s="22" t="e">
        <f>Z28-C28</f>
        <v>#VALUE!</v>
      </c>
      <c r="AB28" s="3" t="str">
        <f>IF(J28&gt;0,MAX(J28:N28),"")</f>
        <v/>
      </c>
      <c r="AC28" s="22" t="str">
        <f>IF(J28&gt;0,MIN(J28:N28),"")</f>
        <v/>
      </c>
      <c r="AE28" s="3" t="e">
        <f t="shared" si="8"/>
        <v>#N/A</v>
      </c>
      <c r="AF28" t="e">
        <f t="shared" si="9"/>
        <v>#N/A</v>
      </c>
      <c r="AG28" t="e">
        <f>VLOOKUP(B28,Repeat[],4,FALSE)</f>
        <v>#N/A</v>
      </c>
      <c r="AH28" t="e">
        <f>VLOOKUP(B28,Error[],4,FALSE)</f>
        <v>#N/A</v>
      </c>
      <c r="AI28" t="e">
        <f>IF(A28="no test", ISBLANK(C28), C28&gt;=VLOOKUP(B28,Thresholds[],6,0))</f>
        <v>#N/A</v>
      </c>
    </row>
    <row r="29" spans="1:35" ht="7.5" customHeight="1" x14ac:dyDescent="0.25">
      <c r="A29" s="4"/>
      <c r="B29" s="112"/>
      <c r="C29" s="100"/>
      <c r="D29" s="121"/>
      <c r="E29" s="12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W29" s="49" t="str">
        <f t="shared" si="4"/>
        <v/>
      </c>
      <c r="X29" s="28" t="str">
        <f t="shared" si="5"/>
        <v/>
      </c>
      <c r="Y29" s="49" t="str">
        <f t="shared" si="6"/>
        <v/>
      </c>
      <c r="Z29" s="49" t="str">
        <f t="shared" si="7"/>
        <v/>
      </c>
      <c r="AA29" s="22"/>
      <c r="AB29" s="3"/>
      <c r="AC29" s="22"/>
    </row>
    <row r="30" spans="1:35" ht="16.5" customHeight="1" x14ac:dyDescent="0.3">
      <c r="A30" s="4" t="str">
        <f>IFERROR(VLOOKUP(B30,Thresholds[],2,FALSE),"")</f>
        <v/>
      </c>
      <c r="B30" s="110" t="str">
        <f>IF(I$14="","",I$14)</f>
        <v/>
      </c>
      <c r="C30" s="62"/>
      <c r="D30" s="119"/>
      <c r="E30" s="119"/>
      <c r="F30" s="67"/>
      <c r="G30" s="67"/>
      <c r="H30" s="81"/>
      <c r="I30" s="82" t="str">
        <f>IFERROR(IF(OR(AA30&lt;-AH30,AA30&gt;AH30),"AF ERROR",IF(Y30&gt;AG30,"AF REPEAT","")),"")</f>
        <v/>
      </c>
      <c r="J30" s="68"/>
      <c r="K30" s="68"/>
      <c r="L30" s="68"/>
      <c r="M30" s="68"/>
      <c r="N30" s="68"/>
      <c r="O30" s="11" t="str">
        <f>IFERROR(IF(B30="","",AB30-AC30),"")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IFERROR(AE30&amp;"/"&amp;AF30,"")</f>
        <v/>
      </c>
      <c r="S30" s="70" t="str">
        <f>IFERROR(IF(O30&gt;AG30,"OOT REPEATABILITY",""),"")</f>
        <v/>
      </c>
      <c r="T30" s="70" t="str">
        <f>IFERROR(IF(OR(Q30&lt;-AH30,Q30&gt;AH30),"OOT ERROR",""),"")</f>
        <v/>
      </c>
      <c r="V30" t="str">
        <f>IFERROR(VLOOKUP(B30,UNCERTAINTY[],2,FALSE),"")</f>
        <v/>
      </c>
      <c r="W30" s="49" t="str">
        <f t="shared" si="4"/>
        <v/>
      </c>
      <c r="X30" s="28" t="str">
        <f t="shared" si="5"/>
        <v/>
      </c>
      <c r="Y30" s="49" t="str">
        <f t="shared" si="6"/>
        <v/>
      </c>
      <c r="Z30" s="49" t="str">
        <f t="shared" si="7"/>
        <v/>
      </c>
      <c r="AA30" s="22" t="e">
        <f>Z30-C30</f>
        <v>#VALUE!</v>
      </c>
      <c r="AB30" s="3" t="str">
        <f>IF(J30&gt;0,MAX(J30:N30),"")</f>
        <v/>
      </c>
      <c r="AC30" s="22" t="str">
        <f>IF(J30&gt;0,MIN(J30:N30),"")</f>
        <v/>
      </c>
      <c r="AE30" s="3" t="e">
        <f t="shared" ref="AE30" si="13">TEXT(AG30,"0.0")</f>
        <v>#N/A</v>
      </c>
      <c r="AF30" t="e">
        <f t="shared" ref="AF30" si="14">TEXT(AH30,"±0.0")</f>
        <v>#N/A</v>
      </c>
      <c r="AG30" t="e">
        <f>VLOOKUP(B30,Repeat[],2,FALSE)</f>
        <v>#N/A</v>
      </c>
      <c r="AH30" t="e">
        <f>VLOOKUP(B30,Error[],2,FALSE)</f>
        <v>#N/A</v>
      </c>
      <c r="AI30" t="e">
        <f>IF(A30="no test", ISBLANK(C30), C30&lt;VLOOKUP(B30,Thresholds[],5,0))</f>
        <v>#N/A</v>
      </c>
    </row>
    <row r="31" spans="1:35" ht="16.5" customHeight="1" x14ac:dyDescent="0.3">
      <c r="A31" s="4" t="str">
        <f>IFERROR(VLOOKUP(B31,Thresholds[],3,FALSE),"")</f>
        <v/>
      </c>
      <c r="B31" s="110" t="str">
        <f>IF(I$14="","",I$14)</f>
        <v/>
      </c>
      <c r="C31" s="62"/>
      <c r="D31" s="119"/>
      <c r="E31" s="119"/>
      <c r="F31" s="67"/>
      <c r="G31" s="67"/>
      <c r="H31" s="81" t="str">
        <f>IF(AND(C31-C30&lt;5,C31&gt;0),"Too Close","")</f>
        <v/>
      </c>
      <c r="I31" s="82" t="str">
        <f>IFERROR(IF(OR(AA31&lt;-AH31,AA31&gt;AH31),"AF ERROR",IF(Y31&gt;AG31,"AF REPEAT","")),"")</f>
        <v/>
      </c>
      <c r="J31" s="68"/>
      <c r="K31" s="68"/>
      <c r="L31" s="68"/>
      <c r="M31" s="68"/>
      <c r="N31" s="68"/>
      <c r="O31" s="11" t="str">
        <f>IFERROR(IF(B31="","",AB31-AC31),"")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15">IFERROR(AE31&amp;"/"&amp;AF31,"")</f>
        <v/>
      </c>
      <c r="S31" s="70" t="str">
        <f>IFERROR(IF(O31&gt;AG31,"OOT REPEATABILITY",""),"")</f>
        <v/>
      </c>
      <c r="T31" s="70" t="str">
        <f>IFERROR(IF(OR(Q31&lt;-AH31,Q31&gt;AH31),"OOT ERROR",""),"")</f>
        <v/>
      </c>
      <c r="V31" t="str">
        <f>IFERROR(VLOOKUP(B31,UNCERTAINTY[],3,FALSE),"")</f>
        <v/>
      </c>
      <c r="W31" s="49" t="str">
        <f t="shared" si="4"/>
        <v/>
      </c>
      <c r="X31" s="28" t="str">
        <f t="shared" si="5"/>
        <v/>
      </c>
      <c r="Y31" s="49" t="str">
        <f t="shared" si="6"/>
        <v/>
      </c>
      <c r="Z31" s="49" t="str">
        <f t="shared" si="7"/>
        <v/>
      </c>
      <c r="AA31" s="22" t="e">
        <f>Z31-C31</f>
        <v>#VALUE!</v>
      </c>
      <c r="AB31" s="3" t="str">
        <f>IF(J31&gt;0,MAX(J31:N31),"")</f>
        <v/>
      </c>
      <c r="AC31" s="22" t="str">
        <f>IF(J31&gt;0,MIN(J31:N31),"")</f>
        <v/>
      </c>
      <c r="AE31" s="3" t="e">
        <f t="shared" si="8"/>
        <v>#N/A</v>
      </c>
      <c r="AF31" t="e">
        <f t="shared" si="9"/>
        <v>#N/A</v>
      </c>
      <c r="AG31" t="e">
        <f>VLOOKUP(B31,Repeat[],3,FALSE)</f>
        <v>#N/A</v>
      </c>
      <c r="AH31" t="e">
        <f>VLOOKUP(B31,Error[],3,FALSE)</f>
        <v>#N/A</v>
      </c>
      <c r="AI31" t="e">
        <f>IF(A31="no test", ISBLANK(C31), AND(C31&gt;=VLOOKUP(B31,Thresholds[],5,0),C31&lt;VLOOKUP(B31,Thresholds[],6,0)))</f>
        <v>#N/A</v>
      </c>
    </row>
    <row r="32" spans="1:35" ht="16.5" customHeight="1" x14ac:dyDescent="0.3">
      <c r="A32" s="4" t="str">
        <f>IFERROR(VLOOKUP(B32,Thresholds[],4,FALSE),"")</f>
        <v/>
      </c>
      <c r="B32" s="110" t="str">
        <f>IF(I$14="","",I$14)</f>
        <v/>
      </c>
      <c r="C32" s="62"/>
      <c r="D32" s="119"/>
      <c r="E32" s="119"/>
      <c r="F32" s="67"/>
      <c r="G32" s="67"/>
      <c r="H32" s="81" t="str">
        <f>IF(AND(C32-C31&lt;5,C32&gt;0),"Too Close","")</f>
        <v/>
      </c>
      <c r="I32" s="82" t="str">
        <f>IFERROR(IF(OR(AA32&lt;-AH32,AA32&gt;AH32),"AF ERROR",IF(Y32&gt;AG32,"AF REPEAT","")),"")</f>
        <v/>
      </c>
      <c r="J32" s="68"/>
      <c r="K32" s="68"/>
      <c r="L32" s="68"/>
      <c r="M32" s="68"/>
      <c r="N32" s="68"/>
      <c r="O32" s="11" t="str">
        <f>IFERROR(IF(B32="","",AB32-AC32),"")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15"/>
        <v/>
      </c>
      <c r="S32" s="70" t="str">
        <f>IFERROR(IF(O32&gt;AG32,"OOT REPEATABILITY",""),"")</f>
        <v/>
      </c>
      <c r="T32" s="70" t="str">
        <f>IFERROR(IF(OR(Q32&lt;-AH32,Q32&gt;AH32),"OOT ERROR",""),"")</f>
        <v/>
      </c>
      <c r="V32" t="str">
        <f>IFERROR(VLOOKUP(B32,UNCERTAINTY[],4,FALSE),"")</f>
        <v/>
      </c>
      <c r="W32" s="49" t="str">
        <f t="shared" si="4"/>
        <v/>
      </c>
      <c r="X32" s="28" t="str">
        <f t="shared" si="5"/>
        <v/>
      </c>
      <c r="Y32" s="49" t="str">
        <f t="shared" si="6"/>
        <v/>
      </c>
      <c r="Z32" s="49" t="str">
        <f t="shared" si="7"/>
        <v/>
      </c>
      <c r="AA32" s="22" t="e">
        <f>Z32-C32</f>
        <v>#VALUE!</v>
      </c>
      <c r="AB32" s="3" t="str">
        <f>IF(J32&gt;0,MAX(J32:N32),"")</f>
        <v/>
      </c>
      <c r="AC32" s="22" t="str">
        <f>IF(J32&gt;0,MIN(J32:N32),"")</f>
        <v/>
      </c>
      <c r="AE32" s="3" t="e">
        <f t="shared" si="8"/>
        <v>#N/A</v>
      </c>
      <c r="AF32" t="e">
        <f t="shared" si="9"/>
        <v>#N/A</v>
      </c>
      <c r="AG32" t="e">
        <f>VLOOKUP(B32,Repeat[],4,FALSE)</f>
        <v>#N/A</v>
      </c>
      <c r="AH32" t="e">
        <f>VLOOKUP(B32,Error[],4,FALSE)</f>
        <v>#N/A</v>
      </c>
      <c r="AI32" t="e">
        <f>IF(A32="no test", ISBLANK(C32), C32&gt;=VLOOKUP(B32,Thresholds[],6,0))</f>
        <v>#N/A</v>
      </c>
    </row>
    <row r="33" spans="1:35" ht="7.5" customHeight="1" x14ac:dyDescent="0.25">
      <c r="A33" s="4"/>
      <c r="B33" s="112"/>
      <c r="C33" s="100"/>
      <c r="D33" s="121"/>
      <c r="E33" s="12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W33" s="49" t="str">
        <f t="shared" si="4"/>
        <v/>
      </c>
      <c r="X33" s="28" t="str">
        <f t="shared" si="5"/>
        <v/>
      </c>
      <c r="Y33" s="49" t="str">
        <f t="shared" si="6"/>
        <v/>
      </c>
      <c r="Z33" s="49" t="str">
        <f t="shared" si="7"/>
        <v/>
      </c>
      <c r="AA33" s="22"/>
      <c r="AB33" s="3"/>
      <c r="AC33" s="22"/>
    </row>
    <row r="34" spans="1:35" ht="16.5" customHeight="1" x14ac:dyDescent="0.3">
      <c r="A34" s="4" t="str">
        <f>IFERROR(VLOOKUP(B34,Thresholds[],2,FALSE),"")</f>
        <v/>
      </c>
      <c r="B34" s="110" t="str">
        <f>IF(J$14="","",J$14)</f>
        <v/>
      </c>
      <c r="C34" s="62"/>
      <c r="D34" s="119"/>
      <c r="E34" s="119"/>
      <c r="F34" s="67"/>
      <c r="G34" s="67"/>
      <c r="H34" s="81"/>
      <c r="I34" s="82" t="str">
        <f>IFERROR(IF(OR(AA34&lt;-AH34,AA34&gt;AH34),"AF ERROR",IF(Y34&gt;AG34,"AF REPEAT","")),"")</f>
        <v/>
      </c>
      <c r="J34" s="68"/>
      <c r="K34" s="68"/>
      <c r="L34" s="68"/>
      <c r="M34" s="68"/>
      <c r="N34" s="68"/>
      <c r="O34" s="11" t="str">
        <f>IFERROR(IF(B34="","",AB34-AC34),"")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16">IFERROR(AE34&amp;"/"&amp;AF34,"")</f>
        <v/>
      </c>
      <c r="S34" s="70" t="str">
        <f>IFERROR(IF(O34&gt;AG34,"OOT REPEATABILITY",""),"")</f>
        <v/>
      </c>
      <c r="T34" s="70" t="str">
        <f>IFERROR(IF(OR(Q34&lt;-AH34,Q34&gt;AH34),"OOT ERROR",""),"")</f>
        <v/>
      </c>
      <c r="V34" t="str">
        <f>IFERROR(VLOOKUP(B34,UNCERTAINTY[],2,FALSE),"")</f>
        <v/>
      </c>
      <c r="W34" s="49" t="str">
        <f t="shared" si="4"/>
        <v/>
      </c>
      <c r="X34" s="28" t="str">
        <f t="shared" si="5"/>
        <v/>
      </c>
      <c r="Y34" s="49" t="str">
        <f t="shared" si="6"/>
        <v/>
      </c>
      <c r="Z34" s="49" t="str">
        <f t="shared" si="7"/>
        <v/>
      </c>
      <c r="AA34" s="22" t="e">
        <f>Z34-C34</f>
        <v>#VALUE!</v>
      </c>
      <c r="AB34" s="3" t="str">
        <f>IF(J34&gt;0,MAX(J34:N34),"")</f>
        <v/>
      </c>
      <c r="AC34" s="22" t="str">
        <f>IF(J34&gt;0,MIN(J34:N34),"")</f>
        <v/>
      </c>
      <c r="AE34" s="3" t="e">
        <f t="shared" ref="AE34" si="17">TEXT(AG34,"0.0")</f>
        <v>#N/A</v>
      </c>
      <c r="AF34" t="e">
        <f t="shared" ref="AF34" si="18">TEXT(AH34,"±0.0")</f>
        <v>#N/A</v>
      </c>
      <c r="AG34" t="e">
        <f>VLOOKUP(B34,Repeat[],2,FALSE)</f>
        <v>#N/A</v>
      </c>
      <c r="AH34" t="e">
        <f>VLOOKUP(B34,Error[],2,FALSE)</f>
        <v>#N/A</v>
      </c>
      <c r="AI34" t="e">
        <f>IF(A34="no test", ISBLANK(C34), C34&lt;VLOOKUP(B34,Thresholds[],5,0))</f>
        <v>#N/A</v>
      </c>
    </row>
    <row r="35" spans="1:35" ht="16.5" customHeight="1" x14ac:dyDescent="0.3">
      <c r="A35" s="4" t="str">
        <f>IFERROR(VLOOKUP(B35,Thresholds[],3,FALSE),"")</f>
        <v/>
      </c>
      <c r="B35" s="110" t="str">
        <f>IF(J$14="","",J$14)</f>
        <v/>
      </c>
      <c r="C35" s="62"/>
      <c r="D35" s="119"/>
      <c r="E35" s="119"/>
      <c r="F35" s="67"/>
      <c r="G35" s="67"/>
      <c r="H35" s="81" t="str">
        <f>IF(AND(C35-C34&lt;5,C35&gt;0),"Too Close","")</f>
        <v/>
      </c>
      <c r="I35" s="82" t="str">
        <f>IFERROR(IF(OR(AA35&lt;-AH35,AA35&gt;AH35),"AF ERROR",IF(Y35&gt;AG35,"AF REPEAT","")),"")</f>
        <v/>
      </c>
      <c r="J35" s="68"/>
      <c r="K35" s="68"/>
      <c r="L35" s="68"/>
      <c r="M35" s="68"/>
      <c r="N35" s="68"/>
      <c r="O35" s="11" t="str">
        <f>IFERROR(IF(B35="","",AB35-AC35),"")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16"/>
        <v/>
      </c>
      <c r="S35" s="70" t="str">
        <f>IFERROR(IF(O35&gt;AG35,"OOT REPEATABILITY",""),"")</f>
        <v/>
      </c>
      <c r="T35" s="70" t="str">
        <f>IFERROR(IF(OR(Q35&lt;-AH35,Q35&gt;AH35),"OOT ERROR",""),"")</f>
        <v/>
      </c>
      <c r="V35" t="str">
        <f>IFERROR(VLOOKUP(B35,UNCERTAINTY[],3,FALSE),"")</f>
        <v/>
      </c>
      <c r="W35" s="49" t="str">
        <f t="shared" si="4"/>
        <v/>
      </c>
      <c r="X35" s="28" t="str">
        <f t="shared" si="5"/>
        <v/>
      </c>
      <c r="Y35" s="49" t="str">
        <f t="shared" si="6"/>
        <v/>
      </c>
      <c r="Z35" s="49" t="str">
        <f t="shared" si="7"/>
        <v/>
      </c>
      <c r="AA35" s="22" t="e">
        <f>Z35-C35</f>
        <v>#VALUE!</v>
      </c>
      <c r="AB35" s="3" t="str">
        <f>IF(J35&gt;0,MAX(J35:N35),"")</f>
        <v/>
      </c>
      <c r="AC35" s="22" t="str">
        <f>IF(J35&gt;0,MIN(J35:N35),"")</f>
        <v/>
      </c>
      <c r="AE35" s="3" t="e">
        <f t="shared" si="8"/>
        <v>#N/A</v>
      </c>
      <c r="AF35" t="e">
        <f t="shared" si="9"/>
        <v>#N/A</v>
      </c>
      <c r="AG35" t="e">
        <f>VLOOKUP(B35,Repeat[],3,FALSE)</f>
        <v>#N/A</v>
      </c>
      <c r="AH35" t="e">
        <f>VLOOKUP(B35,Error[],3,FALSE)</f>
        <v>#N/A</v>
      </c>
      <c r="AI35" t="e">
        <f>IF(A35="no test", ISBLANK(C35), AND(C35&gt;=VLOOKUP(B35,Thresholds[],5,0),C35&lt;VLOOKUP(B35,Thresholds[],6,0)))</f>
        <v>#N/A</v>
      </c>
    </row>
    <row r="36" spans="1:35" ht="16.5" customHeight="1" x14ac:dyDescent="0.3">
      <c r="A36" s="4" t="str">
        <f>IFERROR(VLOOKUP(B36,Thresholds[],4,FALSE),"")</f>
        <v/>
      </c>
      <c r="B36" s="110" t="str">
        <f>IF(J$14="","",J$14)</f>
        <v/>
      </c>
      <c r="C36" s="62"/>
      <c r="D36" s="119"/>
      <c r="E36" s="119"/>
      <c r="F36" s="67"/>
      <c r="G36" s="67"/>
      <c r="H36" s="81" t="str">
        <f>IF(AND(C36-C35&lt;5,C36&gt;0),"Too Close","")</f>
        <v/>
      </c>
      <c r="I36" s="82" t="str">
        <f>IFERROR(IF(OR(AA36&lt;-AH36,AA36&gt;AH36),"AF ERROR",IF(Y36&gt;AG36,"AF REPEAT","")),"")</f>
        <v/>
      </c>
      <c r="J36" s="68"/>
      <c r="K36" s="68"/>
      <c r="L36" s="68"/>
      <c r="M36" s="68"/>
      <c r="N36" s="68"/>
      <c r="O36" s="11" t="str">
        <f>IFERROR(IF(B36="","",AB36-AC36),"")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16"/>
        <v/>
      </c>
      <c r="S36" s="70" t="str">
        <f>IFERROR(IF(O36&gt;AG36,"OOT REPEATABILITY",""),"")</f>
        <v/>
      </c>
      <c r="T36" s="70" t="str">
        <f>IFERROR(IF(OR(Q36&lt;-AH36,Q36&gt;AH36),"OOT ERROR",""),"")</f>
        <v/>
      </c>
      <c r="V36" t="str">
        <f>IFERROR(VLOOKUP(B36,UNCERTAINTY[],4,FALSE),"")</f>
        <v/>
      </c>
      <c r="W36" s="49" t="str">
        <f t="shared" si="4"/>
        <v/>
      </c>
      <c r="X36" s="28" t="str">
        <f t="shared" si="5"/>
        <v/>
      </c>
      <c r="Y36" s="49" t="str">
        <f t="shared" si="6"/>
        <v/>
      </c>
      <c r="Z36" s="49" t="str">
        <f t="shared" si="7"/>
        <v/>
      </c>
      <c r="AA36" s="22" t="e">
        <f>Z36-C36</f>
        <v>#VALUE!</v>
      </c>
      <c r="AB36" s="3" t="str">
        <f>IF(J36&gt;0,MAX(J36:N36),"")</f>
        <v/>
      </c>
      <c r="AC36" s="22" t="str">
        <f>IF(J36&gt;0,MIN(J36:N36),"")</f>
        <v/>
      </c>
      <c r="AE36" s="3" t="e">
        <f t="shared" si="8"/>
        <v>#N/A</v>
      </c>
      <c r="AF36" t="e">
        <f t="shared" si="9"/>
        <v>#N/A</v>
      </c>
      <c r="AG36" t="e">
        <f>VLOOKUP(B36,Repeat[],4,FALSE)</f>
        <v>#N/A</v>
      </c>
      <c r="AH36" t="e">
        <f>VLOOKUP(B36,Error[],4,FALSE)</f>
        <v>#N/A</v>
      </c>
      <c r="AI36" t="e">
        <f>IF(A36="no test", ISBLANK(C36), C36&gt;=VLOOKUP(B36,Thresholds[],6,0))</f>
        <v>#N/A</v>
      </c>
    </row>
    <row r="37" spans="1:35" ht="7.5" customHeight="1" x14ac:dyDescent="0.25">
      <c r="A37" s="4"/>
      <c r="B37" s="112"/>
      <c r="C37" s="100"/>
      <c r="D37" s="121"/>
      <c r="E37" s="12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W37" s="49" t="str">
        <f t="shared" si="4"/>
        <v/>
      </c>
      <c r="X37" s="28" t="str">
        <f t="shared" si="5"/>
        <v/>
      </c>
      <c r="Y37" s="49" t="str">
        <f t="shared" si="6"/>
        <v/>
      </c>
      <c r="Z37" s="49" t="str">
        <f t="shared" si="7"/>
        <v/>
      </c>
      <c r="AA37" s="22"/>
      <c r="AB37" s="3"/>
      <c r="AC37" s="22"/>
    </row>
    <row r="38" spans="1:35" ht="16.5" customHeight="1" x14ac:dyDescent="0.3">
      <c r="A38" s="4" t="str">
        <f>IFERROR(VLOOKUP(B38,Thresholds[],2,FALSE),"")</f>
        <v/>
      </c>
      <c r="B38" s="110" t="str">
        <f>IF(K$14="","",K$14)</f>
        <v/>
      </c>
      <c r="C38" s="62"/>
      <c r="D38" s="119"/>
      <c r="E38" s="119"/>
      <c r="F38" s="67"/>
      <c r="G38" s="67"/>
      <c r="H38" s="81"/>
      <c r="I38" s="82" t="str">
        <f>IFERROR(IF(OR(AA38&lt;-AH38,AA38&gt;AH38),"AF ERROR",IF(Y38&gt;AG38,"AF REPEAT","")),"")</f>
        <v/>
      </c>
      <c r="J38" s="68"/>
      <c r="K38" s="68"/>
      <c r="L38" s="68"/>
      <c r="M38" s="68"/>
      <c r="N38" s="68"/>
      <c r="O38" s="11" t="str">
        <f>IFERROR(IF(B38="","",AB38-AC38),"")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19">IFERROR(AE38&amp;"/"&amp;AF38,"")</f>
        <v/>
      </c>
      <c r="S38" s="70" t="str">
        <f>IFERROR(IF(O38&gt;AG38,"OOT REPEATABILITY",""),"")</f>
        <v/>
      </c>
      <c r="T38" s="70" t="str">
        <f>IFERROR(IF(OR(Q38&lt;-AH38,Q38&gt;AH38),"OOT ERROR",""),"")</f>
        <v/>
      </c>
      <c r="V38" t="str">
        <f>IFERROR(VLOOKUP(B38,UNCERTAINTY[],2,FALSE),"")</f>
        <v/>
      </c>
      <c r="W38" s="49" t="str">
        <f t="shared" si="4"/>
        <v/>
      </c>
      <c r="X38" s="28" t="str">
        <f t="shared" si="5"/>
        <v/>
      </c>
      <c r="Y38" s="49" t="str">
        <f t="shared" si="6"/>
        <v/>
      </c>
      <c r="Z38" s="49" t="str">
        <f t="shared" si="7"/>
        <v/>
      </c>
      <c r="AA38" s="22" t="e">
        <f>Z38-C38</f>
        <v>#VALUE!</v>
      </c>
      <c r="AB38" s="3" t="str">
        <f>IF(J38&gt;0,MAX(J38:N38),"")</f>
        <v/>
      </c>
      <c r="AC38" s="22" t="str">
        <f>IF(J38&gt;0,MIN(J38:N38),"")</f>
        <v/>
      </c>
      <c r="AE38" s="3" t="e">
        <f t="shared" ref="AE38" si="20">TEXT(AG38,"0.0")</f>
        <v>#N/A</v>
      </c>
      <c r="AF38" t="e">
        <f t="shared" ref="AF38" si="21">TEXT(AH38,"±0.0")</f>
        <v>#N/A</v>
      </c>
      <c r="AG38" t="e">
        <f>VLOOKUP(B38,Repeat[],2,FALSE)</f>
        <v>#N/A</v>
      </c>
      <c r="AH38" t="e">
        <f>VLOOKUP(B38,Error[],2,FALSE)</f>
        <v>#N/A</v>
      </c>
      <c r="AI38" t="e">
        <f>IF(A38="no test", ISBLANK(C38), C38&lt;VLOOKUP(B38,Thresholds[],5,0))</f>
        <v>#N/A</v>
      </c>
    </row>
    <row r="39" spans="1:35" ht="16.5" customHeight="1" x14ac:dyDescent="0.3">
      <c r="A39" s="4" t="str">
        <f>IFERROR(VLOOKUP(B39,Thresholds[],3,FALSE),"")</f>
        <v/>
      </c>
      <c r="B39" s="110" t="str">
        <f>IF(K$14="","",K$14)</f>
        <v/>
      </c>
      <c r="C39" s="62"/>
      <c r="D39" s="119"/>
      <c r="E39" s="119"/>
      <c r="F39" s="67"/>
      <c r="G39" s="67"/>
      <c r="H39" s="81" t="str">
        <f>IF(AND(C39-C38&lt;5,C39&gt;0),"Too Close","")</f>
        <v/>
      </c>
      <c r="I39" s="82" t="str">
        <f>IFERROR(IF(OR(AA39&lt;-AH39,AA39&gt;AH39),"AF ERROR",IF(Y39&gt;AG39,"AF REPEAT","")),"")</f>
        <v/>
      </c>
      <c r="J39" s="68"/>
      <c r="K39" s="68"/>
      <c r="L39" s="68"/>
      <c r="M39" s="68"/>
      <c r="N39" s="68"/>
      <c r="O39" s="11" t="str">
        <f>IFERROR(IF(B39="","",AB39-AC39),"")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19"/>
        <v/>
      </c>
      <c r="S39" s="70" t="str">
        <f>IFERROR(IF(O39&gt;AG39,"OOT REPEATABILITY",""),"")</f>
        <v/>
      </c>
      <c r="T39" s="70" t="str">
        <f>IFERROR(IF(OR(Q39&lt;-AH39,Q39&gt;AH39),"OOT ERROR",""),"")</f>
        <v/>
      </c>
      <c r="V39" t="str">
        <f>IFERROR(VLOOKUP(B39,UNCERTAINTY[],3,FALSE),"")</f>
        <v/>
      </c>
      <c r="W39" s="49" t="str">
        <f t="shared" si="4"/>
        <v/>
      </c>
      <c r="X39" s="28" t="str">
        <f t="shared" si="5"/>
        <v/>
      </c>
      <c r="Y39" s="49" t="str">
        <f t="shared" si="6"/>
        <v/>
      </c>
      <c r="Z39" s="49" t="str">
        <f t="shared" si="7"/>
        <v/>
      </c>
      <c r="AA39" s="22" t="e">
        <f>Z39-C39</f>
        <v>#VALUE!</v>
      </c>
      <c r="AB39" s="3" t="str">
        <f>IF(J39&gt;0,MAX(J39:N39),"")</f>
        <v/>
      </c>
      <c r="AC39" s="22" t="str">
        <f>IF(J39&gt;0,MIN(J39:N39),"")</f>
        <v/>
      </c>
      <c r="AE39" s="3" t="e">
        <f t="shared" si="8"/>
        <v>#N/A</v>
      </c>
      <c r="AF39" t="e">
        <f t="shared" si="9"/>
        <v>#N/A</v>
      </c>
      <c r="AG39" t="e">
        <f>VLOOKUP(B39,Repeat[],3,FALSE)</f>
        <v>#N/A</v>
      </c>
      <c r="AH39" t="e">
        <f>VLOOKUP(B39,Error[],3,FALSE)</f>
        <v>#N/A</v>
      </c>
      <c r="AI39" t="e">
        <f>IF(A39="no test", ISBLANK(C39), AND(C39&gt;=VLOOKUP(B39,Thresholds[],5,0),C39&lt;VLOOKUP(B39,Thresholds[],6,0)))</f>
        <v>#N/A</v>
      </c>
    </row>
    <row r="40" spans="1:35" ht="16.5" customHeight="1" x14ac:dyDescent="0.3">
      <c r="A40" s="4" t="str">
        <f>IFERROR(VLOOKUP(B40,Thresholds[],4,FALSE),"")</f>
        <v/>
      </c>
      <c r="B40" s="110" t="str">
        <f>IF(K$14="","",K$14)</f>
        <v/>
      </c>
      <c r="C40" s="62"/>
      <c r="D40" s="119"/>
      <c r="E40" s="119"/>
      <c r="F40" s="67"/>
      <c r="G40" s="67"/>
      <c r="H40" s="81" t="str">
        <f>IF(AND(C40-C39&lt;5,C40&gt;0),"Too Close","")</f>
        <v/>
      </c>
      <c r="I40" s="82" t="str">
        <f>IFERROR(IF(OR(AA40&lt;-AH40,AA40&gt;AH40),"AF ERROR",IF(Y40&gt;AG40,"AF REPEAT","")),"")</f>
        <v/>
      </c>
      <c r="J40" s="68"/>
      <c r="K40" s="68"/>
      <c r="L40" s="68"/>
      <c r="M40" s="68"/>
      <c r="N40" s="68"/>
      <c r="O40" s="11" t="str">
        <f>IFERROR(IF(B40="","",AB40-AC40),"")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19"/>
        <v/>
      </c>
      <c r="S40" s="70" t="str">
        <f>IFERROR(IF(O40&gt;AG40,"OOT REPEATABILITY",""),"")</f>
        <v/>
      </c>
      <c r="T40" s="70" t="str">
        <f>IFERROR(IF(OR(Q40&lt;-AH40,Q40&gt;AH40),"OOT ERROR",""),"")</f>
        <v/>
      </c>
      <c r="V40" t="str">
        <f>IFERROR(VLOOKUP(B40,UNCERTAINTY[],4,FALSE),"")</f>
        <v/>
      </c>
      <c r="W40" s="49" t="str">
        <f t="shared" si="4"/>
        <v/>
      </c>
      <c r="X40" s="28" t="str">
        <f t="shared" si="5"/>
        <v/>
      </c>
      <c r="Y40" s="49" t="str">
        <f t="shared" si="6"/>
        <v/>
      </c>
      <c r="Z40" s="49" t="str">
        <f t="shared" si="7"/>
        <v/>
      </c>
      <c r="AA40" s="22" t="e">
        <f>Z40-C40</f>
        <v>#VALUE!</v>
      </c>
      <c r="AB40" s="3" t="str">
        <f>IF(J40&gt;0,MAX(J40:N40),"")</f>
        <v/>
      </c>
      <c r="AC40" s="22" t="str">
        <f>IF(J40&gt;0,MIN(J40:N40),"")</f>
        <v/>
      </c>
      <c r="AE40" s="3" t="e">
        <f t="shared" si="8"/>
        <v>#N/A</v>
      </c>
      <c r="AF40" t="e">
        <f t="shared" si="9"/>
        <v>#N/A</v>
      </c>
      <c r="AG40" t="e">
        <f>VLOOKUP(B40,Repeat[],4,FALSE)</f>
        <v>#N/A</v>
      </c>
      <c r="AH40" t="e">
        <f>VLOOKUP(B40,Error[],4,FALSE)</f>
        <v>#N/A</v>
      </c>
      <c r="AI40" t="e">
        <f>IF(A40="no test", ISBLANK(C40), C40&gt;=VLOOKUP(B40,Thresholds[],6,0))</f>
        <v>#N/A</v>
      </c>
    </row>
    <row r="41" spans="1:35" ht="7.5" customHeight="1" x14ac:dyDescent="0.25">
      <c r="A41" s="4"/>
      <c r="B41" s="112"/>
      <c r="C41" s="100"/>
      <c r="D41" s="121"/>
      <c r="E41" s="12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W41" s="49" t="str">
        <f t="shared" si="4"/>
        <v/>
      </c>
      <c r="X41" s="28" t="str">
        <f t="shared" si="5"/>
        <v/>
      </c>
      <c r="Y41" s="49" t="str">
        <f t="shared" si="6"/>
        <v/>
      </c>
      <c r="Z41" s="49" t="str">
        <f t="shared" si="7"/>
        <v/>
      </c>
      <c r="AA41" s="22"/>
      <c r="AB41" s="3"/>
      <c r="AC41" s="22"/>
    </row>
    <row r="42" spans="1:35" ht="16.5" customHeight="1" x14ac:dyDescent="0.3">
      <c r="A42" s="4" t="str">
        <f>IFERROR(VLOOKUP(B42,Thresholds[],2,FALSE),"")</f>
        <v/>
      </c>
      <c r="B42" s="110" t="str">
        <f>IF(L$14="","",L$14)</f>
        <v/>
      </c>
      <c r="C42" s="62"/>
      <c r="D42" s="119"/>
      <c r="E42" s="119"/>
      <c r="F42" s="67"/>
      <c r="G42" s="67"/>
      <c r="H42" s="81"/>
      <c r="I42" s="82" t="str">
        <f>IFERROR(IF(OR(AA42&lt;-AH42,AA42&gt;AH42),"AF ERROR",IF(Y42&gt;AG42,"AF REPEAT","")),"")</f>
        <v/>
      </c>
      <c r="J42" s="68"/>
      <c r="K42" s="68"/>
      <c r="L42" s="68"/>
      <c r="M42" s="68"/>
      <c r="N42" s="68"/>
      <c r="O42" s="11" t="str">
        <f>IFERROR(IF(B42="","",AB42-AC42),"")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22">IFERROR(AE42&amp;"/"&amp;AF42,"")</f>
        <v/>
      </c>
      <c r="S42" s="70" t="str">
        <f>IFERROR(IF(O42&gt;AG42,"OOT REPEATABILITY",""),"")</f>
        <v/>
      </c>
      <c r="T42" s="70" t="str">
        <f>IFERROR(IF(OR(Q42&lt;-AH42,Q42&gt;AH42),"OOT ERROR",""),"")</f>
        <v/>
      </c>
      <c r="V42" t="str">
        <f>IFERROR(VLOOKUP(B42,UNCERTAINTY[],2,FALSE),"")</f>
        <v/>
      </c>
      <c r="W42" s="49" t="str">
        <f t="shared" si="4"/>
        <v/>
      </c>
      <c r="X42" s="28" t="str">
        <f t="shared" si="5"/>
        <v/>
      </c>
      <c r="Y42" s="49" t="str">
        <f t="shared" si="6"/>
        <v/>
      </c>
      <c r="Z42" s="49" t="str">
        <f t="shared" si="7"/>
        <v/>
      </c>
      <c r="AA42" s="22" t="e">
        <f>Z42-C42</f>
        <v>#VALUE!</v>
      </c>
      <c r="AB42" s="3" t="str">
        <f>IF(J42&gt;0,MAX(J42:N42),"")</f>
        <v/>
      </c>
      <c r="AC42" s="22" t="str">
        <f>IF(J42&gt;0,MIN(J42:N42),"")</f>
        <v/>
      </c>
      <c r="AE42" s="3" t="e">
        <f t="shared" ref="AE42" si="23">TEXT(AG42,"0.0")</f>
        <v>#N/A</v>
      </c>
      <c r="AF42" t="e">
        <f t="shared" ref="AF42" si="24">TEXT(AH42,"±0.0")</f>
        <v>#N/A</v>
      </c>
      <c r="AG42" t="e">
        <f>VLOOKUP(B42,Repeat[],2,FALSE)</f>
        <v>#N/A</v>
      </c>
      <c r="AH42" t="e">
        <f>VLOOKUP(B42,Error[],2,FALSE)</f>
        <v>#N/A</v>
      </c>
      <c r="AI42" t="e">
        <f>IF(A42="no test", ISBLANK(C42), C42&lt;VLOOKUP(B42,Thresholds[],5,0))</f>
        <v>#N/A</v>
      </c>
    </row>
    <row r="43" spans="1:35" ht="16.5" customHeight="1" x14ac:dyDescent="0.3">
      <c r="A43" s="4" t="str">
        <f>IFERROR(VLOOKUP(B43,Thresholds[],3,FALSE),"")</f>
        <v/>
      </c>
      <c r="B43" s="110" t="str">
        <f>IF(L$14="","",L$14)</f>
        <v/>
      </c>
      <c r="C43" s="62"/>
      <c r="D43" s="119"/>
      <c r="E43" s="119"/>
      <c r="F43" s="67"/>
      <c r="G43" s="67"/>
      <c r="H43" s="81" t="str">
        <f>IF(AND(C43-C42&lt;5,C43&gt;0),"Too Close","")</f>
        <v/>
      </c>
      <c r="I43" s="82" t="str">
        <f>IFERROR(IF(OR(AA43&lt;-AH43,AA43&gt;AH43),"AF ERROR",IF(Y43&gt;AG43,"AF REPEAT","")),"")</f>
        <v/>
      </c>
      <c r="J43" s="68"/>
      <c r="K43" s="68"/>
      <c r="L43" s="68"/>
      <c r="M43" s="68"/>
      <c r="N43" s="68"/>
      <c r="O43" s="11" t="str">
        <f>IFERROR(IF(B43="","",AB43-AC43),"")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22"/>
        <v/>
      </c>
      <c r="S43" s="70" t="str">
        <f>IFERROR(IF(O43&gt;AG43,"OOT REPEATABILITY",""),"")</f>
        <v/>
      </c>
      <c r="T43" s="70" t="str">
        <f>IFERROR(IF(OR(Q43&lt;-AH43,Q43&gt;AH43),"OOT ERROR",""),"")</f>
        <v/>
      </c>
      <c r="V43" t="str">
        <f>IFERROR(VLOOKUP(B43,UNCERTAINTY[],3,FALSE),"")</f>
        <v/>
      </c>
      <c r="W43" s="49" t="str">
        <f t="shared" si="4"/>
        <v/>
      </c>
      <c r="X43" s="28" t="str">
        <f t="shared" si="5"/>
        <v/>
      </c>
      <c r="Y43" s="49" t="str">
        <f t="shared" si="6"/>
        <v/>
      </c>
      <c r="Z43" s="49" t="str">
        <f t="shared" si="7"/>
        <v/>
      </c>
      <c r="AA43" s="22" t="e">
        <f>Z43-C43</f>
        <v>#VALUE!</v>
      </c>
      <c r="AB43" s="3" t="str">
        <f>IF(J43&gt;0,MAX(J43:N43),"")</f>
        <v/>
      </c>
      <c r="AC43" s="22" t="str">
        <f>IF(J43&gt;0,MIN(J43:N43),"")</f>
        <v/>
      </c>
      <c r="AE43" s="3" t="e">
        <f t="shared" si="8"/>
        <v>#N/A</v>
      </c>
      <c r="AF43" t="e">
        <f t="shared" si="9"/>
        <v>#N/A</v>
      </c>
      <c r="AG43" t="e">
        <f>VLOOKUP(B43,Repeat[],3,FALSE)</f>
        <v>#N/A</v>
      </c>
      <c r="AH43" t="e">
        <f>VLOOKUP(B43,Error[],3,FALSE)</f>
        <v>#N/A</v>
      </c>
      <c r="AI43" t="e">
        <f>IF(A43="no test", ISBLANK(C43), AND(C43&gt;=VLOOKUP(B43,Thresholds[],5,0),C43&lt;VLOOKUP(B43,Thresholds[],6,0)))</f>
        <v>#N/A</v>
      </c>
    </row>
    <row r="44" spans="1:35" ht="16.5" customHeight="1" x14ac:dyDescent="0.3">
      <c r="A44" s="4" t="str">
        <f>IFERROR(VLOOKUP(B44,Thresholds[],4,FALSE),"")</f>
        <v/>
      </c>
      <c r="B44" s="110" t="str">
        <f>IF(L$14="","",L$14)</f>
        <v/>
      </c>
      <c r="C44" s="62"/>
      <c r="D44" s="119"/>
      <c r="E44" s="119"/>
      <c r="F44" s="67"/>
      <c r="G44" s="67"/>
      <c r="H44" s="81" t="str">
        <f>IF(AND(C44-C43&lt;5,C44&gt;0),"Too Close","")</f>
        <v/>
      </c>
      <c r="I44" s="82" t="str">
        <f>IFERROR(IF(OR(AA44&lt;-AH44,AA44&gt;AH44),"AF ERROR",IF(Y44&gt;AG44,"AF REPEAT","")),"")</f>
        <v/>
      </c>
      <c r="J44" s="68"/>
      <c r="K44" s="68"/>
      <c r="L44" s="68"/>
      <c r="M44" s="68"/>
      <c r="N44" s="68"/>
      <c r="O44" s="11" t="str">
        <f>IFERROR(IF(B44="","",AB44-AC44),"")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22"/>
        <v/>
      </c>
      <c r="S44" s="70" t="str">
        <f>IFERROR(IF(O44&gt;AG44,"OOT REPEATABILITY",""),"")</f>
        <v/>
      </c>
      <c r="T44" s="70" t="str">
        <f>IFERROR(IF(OR(Q44&lt;-AH44,Q44&gt;AH44),"OOT ERROR",""),"")</f>
        <v/>
      </c>
      <c r="V44" t="str">
        <f>IFERROR(VLOOKUP(B44,UNCERTAINTY[],4,FALSE),"")</f>
        <v/>
      </c>
      <c r="W44" s="49" t="str">
        <f t="shared" si="4"/>
        <v/>
      </c>
      <c r="X44" s="28" t="str">
        <f t="shared" si="5"/>
        <v/>
      </c>
      <c r="Y44" s="49" t="str">
        <f t="shared" si="6"/>
        <v/>
      </c>
      <c r="Z44" s="49" t="str">
        <f t="shared" si="7"/>
        <v/>
      </c>
      <c r="AA44" s="22" t="e">
        <f>Z44-C44</f>
        <v>#VALUE!</v>
      </c>
      <c r="AB44" s="3" t="str">
        <f>IF(J44&gt;0,MAX(J44:N44),"")</f>
        <v/>
      </c>
      <c r="AC44" s="22" t="str">
        <f>IF(J44&gt;0,MIN(J44:N44),"")</f>
        <v/>
      </c>
      <c r="AE44" s="3" t="e">
        <f t="shared" si="8"/>
        <v>#N/A</v>
      </c>
      <c r="AF44" t="e">
        <f t="shared" si="9"/>
        <v>#N/A</v>
      </c>
      <c r="AG44" t="e">
        <f>VLOOKUP(B44,Repeat[],4,FALSE)</f>
        <v>#N/A</v>
      </c>
      <c r="AH44" t="e">
        <f>VLOOKUP(B44,Error[],4,FALSE)</f>
        <v>#N/A</v>
      </c>
      <c r="AI44" t="e">
        <f>IF(A44="no test", ISBLANK(C44), C44&gt;=VLOOKUP(B44,Thresholds[],6,0))</f>
        <v>#N/A</v>
      </c>
    </row>
    <row r="45" spans="1:35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49"/>
      <c r="X45" s="50"/>
      <c r="Y45" s="49"/>
      <c r="Z45" s="49"/>
      <c r="AA45" s="22"/>
      <c r="AB45" s="3"/>
      <c r="AC45" s="22"/>
      <c r="AI45" s="99"/>
    </row>
    <row r="46" spans="1:35" ht="16.5" customHeight="1" x14ac:dyDescent="0.25">
      <c r="A46" t="s">
        <v>83</v>
      </c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9"/>
      <c r="N46" t="s">
        <v>84</v>
      </c>
      <c r="O46" s="139" t="str">
        <f>IFERROR(VLOOKUP(B46,DropDowns!H13:I15,2,FALSE),"")</f>
        <v/>
      </c>
      <c r="P46" s="139"/>
      <c r="Q46" s="12"/>
      <c r="R46" s="12"/>
      <c r="U46" s="27"/>
      <c r="V46" s="27"/>
      <c r="W46" s="27"/>
      <c r="X46" s="27"/>
      <c r="Y46" s="27"/>
      <c r="Z46" s="27"/>
    </row>
    <row r="47" spans="1:35" x14ac:dyDescent="0.25">
      <c r="A47" s="4" t="s">
        <v>85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86</v>
      </c>
      <c r="O47" s="139" t="str">
        <f>IFERROR(VLOOKUP(B47,DropDowns!H3:I8,2,FALSE),"")</f>
        <v/>
      </c>
      <c r="P47" s="139"/>
    </row>
    <row r="48" spans="1:35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BdFZrJ/rrz41qXmRf7HGgrklMK+yHw4PI9jNR0q0jPqx4nf3Ak8xvazi+u0l3Dqerejb3qmPfyBkWCY2Mp2VHQ==" saltValue="TjNZu1Xs1wl0PD8qQkb7dg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29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38:C40 C30:C32 C42:C44 C34:C36 C26:C28 C22:C24" xr:uid="{97DA6692-4AE3-4054-95B5-75D1BC9F5EEF}">
      <formula1>AI18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J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4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3"/>
  <sheetViews>
    <sheetView workbookViewId="0">
      <selection activeCell="N50" sqref="N50"/>
    </sheetView>
  </sheetViews>
  <sheetFormatPr defaultRowHeight="15" x14ac:dyDescent="0.25"/>
  <sheetData>
    <row r="1" spans="1:16" x14ac:dyDescent="0.25">
      <c r="A1" s="118" t="s">
        <v>1122</v>
      </c>
      <c r="B1" s="118" t="s">
        <v>1121</v>
      </c>
    </row>
    <row r="2" spans="1:16" x14ac:dyDescent="0.25">
      <c r="A2" t="str">
        <f>IF($B$2, "/P ", " ")</f>
        <v xml:space="preserve"> </v>
      </c>
      <c r="B2" t="b">
        <f>Worksheet!D$11="YES"</f>
        <v>0</v>
      </c>
    </row>
    <row r="3" spans="1:16" s="117" customFormat="1" x14ac:dyDescent="0.25"/>
    <row r="4" spans="1:16" x14ac:dyDescent="0.25">
      <c r="A4" s="109" t="s">
        <v>136</v>
      </c>
    </row>
    <row r="5" spans="1:16" x14ac:dyDescent="0.25">
      <c r="A5" s="104" t="s">
        <v>104</v>
      </c>
      <c r="B5" s="104" t="s">
        <v>53</v>
      </c>
      <c r="C5" s="15" t="s">
        <v>56</v>
      </c>
      <c r="D5" s="15" t="s">
        <v>57</v>
      </c>
      <c r="E5" s="15"/>
      <c r="F5" s="15"/>
      <c r="G5" s="15"/>
      <c r="H5" s="15" t="s">
        <v>61</v>
      </c>
      <c r="I5" s="15" t="s">
        <v>62</v>
      </c>
      <c r="J5" s="15" t="s">
        <v>63</v>
      </c>
      <c r="K5" s="36" t="s">
        <v>64</v>
      </c>
      <c r="L5" s="15" t="s">
        <v>105</v>
      </c>
      <c r="P5" s="15" t="s">
        <v>137</v>
      </c>
    </row>
    <row r="6" spans="1:16" ht="15.75" x14ac:dyDescent="0.25">
      <c r="A6" s="101" t="str">
        <f>IF(Worksheet!C18="", "", Worksheet!B18 &amp; $A$2 &amp; P6)</f>
        <v/>
      </c>
      <c r="B6" s="74" t="str">
        <f>IF(Worksheet!D18="","",Worksheet!D18)</f>
        <v/>
      </c>
      <c r="C6" s="74" t="str">
        <f>IF(Worksheet!F18="","",Worksheet!F18)</f>
        <v/>
      </c>
      <c r="D6" s="74" t="str">
        <f>IF(Worksheet!G18="","",Worksheet!G18)</f>
        <v/>
      </c>
      <c r="E6" s="105"/>
      <c r="F6" s="105"/>
      <c r="G6" s="105"/>
      <c r="H6" s="74" t="str">
        <f>IF(Worksheet!F18="","",Worksheet!Y18)</f>
        <v/>
      </c>
      <c r="I6" s="44" t="str">
        <f>IF(Worksheet!F18="","",Worksheet!Z18)</f>
        <v/>
      </c>
      <c r="J6" s="44" t="str">
        <f>IF(Worksheet!F18="","",Worksheet!AA18)</f>
        <v/>
      </c>
      <c r="K6" s="74" t="str">
        <f>IF(Worksheet!F18="","",Worksheet!R18)</f>
        <v/>
      </c>
      <c r="L6" s="39" t="str">
        <f>IF(Worksheet!F18="","",Worksheet!V18)</f>
        <v/>
      </c>
      <c r="P6" s="19" t="str">
        <f>TEXT(Worksheet!C18,"0.0")</f>
        <v>0.0</v>
      </c>
    </row>
    <row r="7" spans="1:16" ht="15.75" x14ac:dyDescent="0.25">
      <c r="A7" s="102" t="str">
        <f>IF(Worksheet!C19="", "", Worksheet!B19 &amp; $A$2 &amp; P7)</f>
        <v/>
      </c>
      <c r="B7" s="26" t="str">
        <f>IF(Worksheet!D19="","",Worksheet!D19)</f>
        <v/>
      </c>
      <c r="C7" s="26" t="str">
        <f>IF(Worksheet!F19="","",Worksheet!F19)</f>
        <v/>
      </c>
      <c r="D7" s="26" t="str">
        <f>IF(Worksheet!G19="","",Worksheet!G19)</f>
        <v/>
      </c>
      <c r="E7" s="73"/>
      <c r="F7" s="73"/>
      <c r="G7" s="73"/>
      <c r="H7" s="26" t="str">
        <f>IF(Worksheet!F19="","",Worksheet!Y19)</f>
        <v/>
      </c>
      <c r="I7" s="45" t="str">
        <f>IF(Worksheet!F19="","",Worksheet!Z19)</f>
        <v/>
      </c>
      <c r="J7" s="45" t="str">
        <f>IF(Worksheet!F19="","",Worksheet!AA19)</f>
        <v/>
      </c>
      <c r="K7" s="26" t="str">
        <f>IF(Worksheet!F19="","",Worksheet!R19)</f>
        <v/>
      </c>
      <c r="L7" s="40" t="str">
        <f>IF(Worksheet!F19="","",Worksheet!V19)</f>
        <v/>
      </c>
      <c r="P7" s="19" t="str">
        <f>TEXT(Worksheet!C19,"0.0")</f>
        <v>0.0</v>
      </c>
    </row>
    <row r="8" spans="1:16" ht="15.75" x14ac:dyDescent="0.25">
      <c r="A8" s="103" t="str">
        <f>IF(Worksheet!C20="", "", Worksheet!B20 &amp; $A$2 &amp; P8)</f>
        <v/>
      </c>
      <c r="B8" s="75" t="str">
        <f>IF(Worksheet!D20="","",Worksheet!D20)</f>
        <v/>
      </c>
      <c r="C8" s="75" t="str">
        <f>IF(Worksheet!F20="","",Worksheet!F20)</f>
        <v/>
      </c>
      <c r="D8" s="75" t="str">
        <f>IF(Worksheet!G20="","",Worksheet!G20)</f>
        <v/>
      </c>
      <c r="E8" s="106"/>
      <c r="F8" s="106"/>
      <c r="G8" s="106"/>
      <c r="H8" s="75" t="str">
        <f>IF(Worksheet!F20="","",Worksheet!Y20)</f>
        <v/>
      </c>
      <c r="I8" s="46" t="str">
        <f>IF(Worksheet!F20="","",Worksheet!Z20)</f>
        <v/>
      </c>
      <c r="J8" s="46" t="str">
        <f>IF(Worksheet!F20="","",Worksheet!AA20)</f>
        <v/>
      </c>
      <c r="K8" s="75" t="str">
        <f>IF(Worksheet!F20="","",Worksheet!R20)</f>
        <v/>
      </c>
      <c r="L8" s="41" t="str">
        <f>IF(Worksheet!F20="","",Worksheet!V20)</f>
        <v/>
      </c>
      <c r="P8" s="19" t="str">
        <f>TEXT(Worksheet!C20,"0.0")</f>
        <v>0.0</v>
      </c>
    </row>
    <row r="9" spans="1:16" ht="7.5" customHeight="1" x14ac:dyDescent="0.25">
      <c r="A9" s="19"/>
      <c r="B9" s="19"/>
      <c r="C9" s="19"/>
      <c r="D9" s="19"/>
      <c r="E9" s="107"/>
      <c r="F9" s="107"/>
      <c r="G9" s="107"/>
      <c r="H9" s="19"/>
      <c r="I9" s="19"/>
      <c r="J9" s="19"/>
      <c r="K9" s="19"/>
    </row>
    <row r="10" spans="1:16" ht="15.75" x14ac:dyDescent="0.25">
      <c r="A10" s="101" t="str">
        <f>IF(Worksheet!C22="", "", Worksheet!B22 &amp; $A$2 &amp; P10)</f>
        <v/>
      </c>
      <c r="B10" s="74" t="str">
        <f>IF(Worksheet!D22="","",Worksheet!D22)</f>
        <v/>
      </c>
      <c r="C10" s="74" t="str">
        <f>IF(Worksheet!F22="","",Worksheet!F22)</f>
        <v/>
      </c>
      <c r="D10" s="74" t="str">
        <f>IF(Worksheet!G22="","",Worksheet!G22)</f>
        <v/>
      </c>
      <c r="E10" s="105"/>
      <c r="F10" s="105"/>
      <c r="G10" s="105"/>
      <c r="H10" s="74" t="str">
        <f>IF(Worksheet!F22="","",Worksheet!Y22)</f>
        <v/>
      </c>
      <c r="I10" s="44" t="str">
        <f>IF(Worksheet!F22="","",Worksheet!Z22)</f>
        <v/>
      </c>
      <c r="J10" s="44" t="str">
        <f>IF(Worksheet!F22="","",Worksheet!AA22)</f>
        <v/>
      </c>
      <c r="K10" s="74" t="str">
        <f>IF(Worksheet!F22="","",Worksheet!R22)</f>
        <v/>
      </c>
      <c r="L10" s="39" t="str">
        <f>IF(Worksheet!F22="","",Worksheet!V22)</f>
        <v/>
      </c>
      <c r="P10" s="19" t="str">
        <f>TEXT(Worksheet!C22,"0.0")</f>
        <v>0.0</v>
      </c>
    </row>
    <row r="11" spans="1:16" ht="15.75" x14ac:dyDescent="0.25">
      <c r="A11" s="102" t="str">
        <f>IF(Worksheet!C23="", "", Worksheet!B23 &amp; $A$2 &amp; P11)</f>
        <v/>
      </c>
      <c r="B11" s="26" t="str">
        <f>IF(Worksheet!D23="","",Worksheet!D23)</f>
        <v/>
      </c>
      <c r="C11" s="26" t="str">
        <f>IF(Worksheet!F23="","",Worksheet!F23)</f>
        <v/>
      </c>
      <c r="D11" s="26" t="str">
        <f>IF(Worksheet!G23="","",Worksheet!G23)</f>
        <v/>
      </c>
      <c r="E11" s="73"/>
      <c r="F11" s="73"/>
      <c r="G11" s="73"/>
      <c r="H11" s="26" t="str">
        <f>IF(Worksheet!F23="","",Worksheet!Y23)</f>
        <v/>
      </c>
      <c r="I11" s="45" t="str">
        <f>IF(Worksheet!F23="","",Worksheet!Z23)</f>
        <v/>
      </c>
      <c r="J11" s="45" t="str">
        <f>IF(Worksheet!F23="","",Worksheet!AA23)</f>
        <v/>
      </c>
      <c r="K11" s="26" t="str">
        <f>IF(Worksheet!F23="","",Worksheet!R23)</f>
        <v/>
      </c>
      <c r="L11" s="40" t="str">
        <f>IF(Worksheet!F23="","",Worksheet!V23)</f>
        <v/>
      </c>
      <c r="P11" s="19" t="str">
        <f>TEXT(Worksheet!C23,"0.0")</f>
        <v>0.0</v>
      </c>
    </row>
    <row r="12" spans="1:16" ht="15.75" x14ac:dyDescent="0.25">
      <c r="A12" s="103" t="str">
        <f>IF(Worksheet!C24="", "", Worksheet!B24 &amp; $A$2 &amp; P12)</f>
        <v/>
      </c>
      <c r="B12" s="75" t="str">
        <f>IF(Worksheet!D24="","",Worksheet!D24)</f>
        <v/>
      </c>
      <c r="C12" s="75" t="str">
        <f>IF(Worksheet!F24="","",Worksheet!F24)</f>
        <v/>
      </c>
      <c r="D12" s="75" t="str">
        <f>IF(Worksheet!G24="","",Worksheet!G24)</f>
        <v/>
      </c>
      <c r="E12" s="106"/>
      <c r="F12" s="106"/>
      <c r="G12" s="106"/>
      <c r="H12" s="75" t="str">
        <f>IF(Worksheet!F24="","",Worksheet!Y24)</f>
        <v/>
      </c>
      <c r="I12" s="46" t="str">
        <f>IF(Worksheet!F24="","",Worksheet!Z24)</f>
        <v/>
      </c>
      <c r="J12" s="46" t="str">
        <f>IF(Worksheet!F24="","",Worksheet!AA24)</f>
        <v/>
      </c>
      <c r="K12" s="75" t="str">
        <f>IF(Worksheet!F24="","",Worksheet!R24)</f>
        <v/>
      </c>
      <c r="L12" s="41" t="str">
        <f>IF(Worksheet!F24="","",Worksheet!V24)</f>
        <v/>
      </c>
      <c r="P12" s="19" t="str">
        <f>TEXT(Worksheet!C24,"0.0")</f>
        <v>0.0</v>
      </c>
    </row>
    <row r="13" spans="1:16" ht="7.5" customHeight="1" x14ac:dyDescent="0.25">
      <c r="A13" s="19"/>
      <c r="B13" s="19"/>
      <c r="C13" s="19"/>
      <c r="D13" s="19"/>
      <c r="E13" s="107"/>
      <c r="F13" s="107"/>
      <c r="G13" s="107"/>
      <c r="H13" s="19"/>
      <c r="I13" s="19"/>
      <c r="J13" s="19"/>
      <c r="K13" s="19"/>
    </row>
    <row r="14" spans="1:16" ht="15.75" x14ac:dyDescent="0.25">
      <c r="A14" s="101" t="str">
        <f>IF(Worksheet!C26="", "", Worksheet!B26 &amp; $A$2 &amp; P14)</f>
        <v/>
      </c>
      <c r="B14" s="74" t="str">
        <f>IF(Worksheet!D26="","",Worksheet!D26)</f>
        <v/>
      </c>
      <c r="C14" s="74" t="str">
        <f>IF(Worksheet!F26="","",Worksheet!F26)</f>
        <v/>
      </c>
      <c r="D14" s="74" t="str">
        <f>IF(Worksheet!G26="","",Worksheet!G26)</f>
        <v/>
      </c>
      <c r="E14" s="105"/>
      <c r="F14" s="105"/>
      <c r="G14" s="105"/>
      <c r="H14" s="74" t="str">
        <f>IF(Worksheet!F26="","",Worksheet!Y26)</f>
        <v/>
      </c>
      <c r="I14" s="44" t="str">
        <f>IF(Worksheet!F26="","",Worksheet!Z26)</f>
        <v/>
      </c>
      <c r="J14" s="44" t="str">
        <f>IF(Worksheet!F26="","",Worksheet!AA26)</f>
        <v/>
      </c>
      <c r="K14" s="74" t="str">
        <f>IF(Worksheet!F26="","",Worksheet!R26)</f>
        <v/>
      </c>
      <c r="L14" s="39" t="str">
        <f>IF(Worksheet!F26="","",Worksheet!V26)</f>
        <v/>
      </c>
      <c r="P14" s="19" t="str">
        <f>TEXT(Worksheet!C26,"0.0")</f>
        <v>0.0</v>
      </c>
    </row>
    <row r="15" spans="1:16" ht="15.75" x14ac:dyDescent="0.25">
      <c r="A15" s="102" t="str">
        <f>IF(Worksheet!C27="", "", Worksheet!B27 &amp; $A$2 &amp; P15)</f>
        <v/>
      </c>
      <c r="B15" s="26" t="str">
        <f>IF(Worksheet!D27="","",Worksheet!D27)</f>
        <v/>
      </c>
      <c r="C15" s="26" t="str">
        <f>IF(Worksheet!F27="","",Worksheet!F27)</f>
        <v/>
      </c>
      <c r="D15" s="26" t="str">
        <f>IF(Worksheet!G27="","",Worksheet!G27)</f>
        <v/>
      </c>
      <c r="E15" s="73"/>
      <c r="F15" s="73"/>
      <c r="G15" s="73"/>
      <c r="H15" s="26" t="str">
        <f>IF(Worksheet!F27="","",Worksheet!Y27)</f>
        <v/>
      </c>
      <c r="I15" s="45" t="str">
        <f>IF(Worksheet!F27="","",Worksheet!Z27)</f>
        <v/>
      </c>
      <c r="J15" s="45" t="str">
        <f>IF(Worksheet!F27="","",Worksheet!AA27)</f>
        <v/>
      </c>
      <c r="K15" s="26" t="str">
        <f>IF(Worksheet!F27="","",Worksheet!R27)</f>
        <v/>
      </c>
      <c r="L15" s="40" t="str">
        <f>IF(Worksheet!F27="","",Worksheet!V27)</f>
        <v/>
      </c>
      <c r="P15" s="19" t="str">
        <f>TEXT(Worksheet!C27,"0.0")</f>
        <v>0.0</v>
      </c>
    </row>
    <row r="16" spans="1:16" ht="15.75" x14ac:dyDescent="0.25">
      <c r="A16" s="103" t="str">
        <f>IF(Worksheet!C28="", "", Worksheet!B28 &amp; $A$2 &amp; P16)</f>
        <v/>
      </c>
      <c r="B16" s="75" t="str">
        <f>IF(Worksheet!D28="","",Worksheet!D28)</f>
        <v/>
      </c>
      <c r="C16" s="75" t="str">
        <f>IF(Worksheet!F28="","",Worksheet!F28)</f>
        <v/>
      </c>
      <c r="D16" s="75" t="str">
        <f>IF(Worksheet!G28="","",Worksheet!G28)</f>
        <v/>
      </c>
      <c r="E16" s="106"/>
      <c r="F16" s="106"/>
      <c r="G16" s="106"/>
      <c r="H16" s="75" t="str">
        <f>IF(Worksheet!F28="","",Worksheet!Y28)</f>
        <v/>
      </c>
      <c r="I16" s="46" t="str">
        <f>IF(Worksheet!F28="","",Worksheet!Z28)</f>
        <v/>
      </c>
      <c r="J16" s="46" t="str">
        <f>IF(Worksheet!F28="","",Worksheet!AA28)</f>
        <v/>
      </c>
      <c r="K16" s="75" t="str">
        <f>IF(Worksheet!F28="","",Worksheet!R28)</f>
        <v/>
      </c>
      <c r="L16" s="41" t="str">
        <f>IF(Worksheet!F28="","",Worksheet!V28)</f>
        <v/>
      </c>
      <c r="P16" s="19" t="str">
        <f>TEXT(Worksheet!C28,"0.0")</f>
        <v>0.0</v>
      </c>
    </row>
    <row r="17" spans="1:16" ht="7.5" customHeight="1" x14ac:dyDescent="0.25">
      <c r="A17" s="19"/>
      <c r="B17" s="19"/>
      <c r="C17" s="19"/>
      <c r="D17" s="19"/>
      <c r="E17" s="107"/>
      <c r="F17" s="107"/>
      <c r="G17" s="107"/>
      <c r="H17" s="19"/>
      <c r="I17" s="19"/>
      <c r="J17" s="19"/>
      <c r="K17" s="19"/>
    </row>
    <row r="18" spans="1:16" ht="15.75" x14ac:dyDescent="0.25">
      <c r="A18" s="101" t="str">
        <f>IF(Worksheet!C30="", "", Worksheet!B30 &amp; $A$2 &amp; P18)</f>
        <v/>
      </c>
      <c r="B18" s="74" t="str">
        <f>IF(Worksheet!D30="","",Worksheet!D30)</f>
        <v/>
      </c>
      <c r="C18" s="74" t="str">
        <f>IF(Worksheet!F30="","",Worksheet!F30)</f>
        <v/>
      </c>
      <c r="D18" s="74" t="str">
        <f>IF(Worksheet!G30="","",Worksheet!G30)</f>
        <v/>
      </c>
      <c r="E18" s="105"/>
      <c r="F18" s="105"/>
      <c r="G18" s="105"/>
      <c r="H18" s="74" t="str">
        <f>IF(Worksheet!F30="","",Worksheet!Y30)</f>
        <v/>
      </c>
      <c r="I18" s="44" t="str">
        <f>IF(Worksheet!F30="","",Worksheet!Z30)</f>
        <v/>
      </c>
      <c r="J18" s="44" t="str">
        <f>IF(Worksheet!F30="","",Worksheet!AA30)</f>
        <v/>
      </c>
      <c r="K18" s="74" t="str">
        <f>IF(Worksheet!F30="","",Worksheet!R30)</f>
        <v/>
      </c>
      <c r="L18" s="39" t="str">
        <f>IF(Worksheet!F30="","",Worksheet!V30)</f>
        <v/>
      </c>
      <c r="P18" s="19" t="str">
        <f>TEXT(Worksheet!C30,"0.0")</f>
        <v>0.0</v>
      </c>
    </row>
    <row r="19" spans="1:16" ht="15.75" x14ac:dyDescent="0.25">
      <c r="A19" s="102" t="str">
        <f>IF(Worksheet!C31="", "", Worksheet!B31 &amp; $A$2 &amp; P19)</f>
        <v/>
      </c>
      <c r="B19" s="26" t="str">
        <f>IF(Worksheet!D31="","",Worksheet!D31)</f>
        <v/>
      </c>
      <c r="C19" s="26" t="str">
        <f>IF(Worksheet!F31="","",Worksheet!F31)</f>
        <v/>
      </c>
      <c r="D19" s="26" t="str">
        <f>IF(Worksheet!G31="","",Worksheet!G31)</f>
        <v/>
      </c>
      <c r="E19" s="73"/>
      <c r="F19" s="73"/>
      <c r="G19" s="73"/>
      <c r="H19" s="26" t="str">
        <f>IF(Worksheet!F31="","",Worksheet!Y31)</f>
        <v/>
      </c>
      <c r="I19" s="45" t="str">
        <f>IF(Worksheet!F31="","",Worksheet!Z31)</f>
        <v/>
      </c>
      <c r="J19" s="45" t="str">
        <f>IF(Worksheet!F31="","",Worksheet!AA31)</f>
        <v/>
      </c>
      <c r="K19" s="26" t="str">
        <f>IF(Worksheet!F31="","",Worksheet!R31)</f>
        <v/>
      </c>
      <c r="L19" s="40" t="str">
        <f>IF(Worksheet!F31="","",Worksheet!V31)</f>
        <v/>
      </c>
      <c r="P19" s="19" t="str">
        <f>TEXT(Worksheet!C31,"0.0")</f>
        <v>0.0</v>
      </c>
    </row>
    <row r="20" spans="1:16" ht="15.75" x14ac:dyDescent="0.25">
      <c r="A20" s="103" t="str">
        <f>IF(Worksheet!C32="", "", Worksheet!B32 &amp; $A$2 &amp; P20)</f>
        <v/>
      </c>
      <c r="B20" s="75" t="str">
        <f>IF(Worksheet!D32="","",Worksheet!D32)</f>
        <v/>
      </c>
      <c r="C20" s="75" t="str">
        <f>IF(Worksheet!F32="","",Worksheet!F32)</f>
        <v/>
      </c>
      <c r="D20" s="75" t="str">
        <f>IF(Worksheet!G32="","",Worksheet!G32)</f>
        <v/>
      </c>
      <c r="E20" s="106"/>
      <c r="F20" s="106"/>
      <c r="G20" s="106"/>
      <c r="H20" s="75" t="str">
        <f>IF(Worksheet!F32="","",Worksheet!Y32)</f>
        <v/>
      </c>
      <c r="I20" s="46" t="str">
        <f>IF(Worksheet!F32="","",Worksheet!Z32)</f>
        <v/>
      </c>
      <c r="J20" s="46" t="str">
        <f>IF(Worksheet!F32="","",Worksheet!AA32)</f>
        <v/>
      </c>
      <c r="K20" s="75" t="str">
        <f>IF(Worksheet!F32="","",Worksheet!R32)</f>
        <v/>
      </c>
      <c r="L20" s="41" t="str">
        <f>IF(Worksheet!F32="","",Worksheet!V32)</f>
        <v/>
      </c>
      <c r="P20" s="19" t="str">
        <f>TEXT(Worksheet!C32,"0.0")</f>
        <v>0.0</v>
      </c>
    </row>
    <row r="21" spans="1:16" ht="7.5" customHeight="1" x14ac:dyDescent="0.25">
      <c r="A21" s="19"/>
      <c r="B21" s="19"/>
      <c r="C21" s="19"/>
      <c r="D21" s="19"/>
      <c r="E21" s="107"/>
      <c r="F21" s="107"/>
      <c r="G21" s="107"/>
      <c r="H21" s="19"/>
      <c r="I21" s="19"/>
      <c r="J21" s="19"/>
      <c r="K21" s="19"/>
    </row>
    <row r="22" spans="1:16" ht="15.75" x14ac:dyDescent="0.25">
      <c r="A22" s="101" t="str">
        <f>IF(Worksheet!C34="", "", Worksheet!B34 &amp; $A$2 &amp; P22)</f>
        <v/>
      </c>
      <c r="B22" s="74" t="str">
        <f>IF(Worksheet!D34="","",Worksheet!D34)</f>
        <v/>
      </c>
      <c r="C22" s="74" t="str">
        <f>IF(Worksheet!F34="","",Worksheet!F34)</f>
        <v/>
      </c>
      <c r="D22" s="74" t="str">
        <f>IF(Worksheet!G34="","",Worksheet!G34)</f>
        <v/>
      </c>
      <c r="E22" s="105"/>
      <c r="F22" s="105"/>
      <c r="G22" s="105"/>
      <c r="H22" s="74" t="str">
        <f>IF(Worksheet!F34="","",Worksheet!Y34)</f>
        <v/>
      </c>
      <c r="I22" s="44" t="str">
        <f>IF(Worksheet!F34="","",Worksheet!Z34)</f>
        <v/>
      </c>
      <c r="J22" s="44" t="str">
        <f>IF(Worksheet!F34="","",Worksheet!AA34)</f>
        <v/>
      </c>
      <c r="K22" s="74" t="str">
        <f>IF(Worksheet!F34="","",Worksheet!R34)</f>
        <v/>
      </c>
      <c r="L22" s="39" t="str">
        <f>IF(Worksheet!F34="","",Worksheet!V34)</f>
        <v/>
      </c>
      <c r="P22" s="19" t="str">
        <f>TEXT(Worksheet!C34,"0.0")</f>
        <v>0.0</v>
      </c>
    </row>
    <row r="23" spans="1:16" ht="15.75" x14ac:dyDescent="0.25">
      <c r="A23" s="102" t="str">
        <f>IF(Worksheet!C35="", "", Worksheet!B35 &amp; $A$2 &amp; P23)</f>
        <v/>
      </c>
      <c r="B23" s="26" t="str">
        <f>IF(Worksheet!D35="","",Worksheet!D35)</f>
        <v/>
      </c>
      <c r="C23" s="26" t="str">
        <f>IF(Worksheet!F35="","",Worksheet!F35)</f>
        <v/>
      </c>
      <c r="D23" s="26" t="str">
        <f>IF(Worksheet!G35="","",Worksheet!G35)</f>
        <v/>
      </c>
      <c r="E23" s="73"/>
      <c r="F23" s="73"/>
      <c r="G23" s="73"/>
      <c r="H23" s="26" t="str">
        <f>IF(Worksheet!F35="","",Worksheet!Y35)</f>
        <v/>
      </c>
      <c r="I23" s="45" t="str">
        <f>IF(Worksheet!F35="","",Worksheet!Z35)</f>
        <v/>
      </c>
      <c r="J23" s="45" t="str">
        <f>IF(Worksheet!F35="","",Worksheet!AA35)</f>
        <v/>
      </c>
      <c r="K23" s="26" t="str">
        <f>IF(Worksheet!F35="","",Worksheet!R35)</f>
        <v/>
      </c>
      <c r="L23" s="40" t="str">
        <f>IF(Worksheet!F35="","",Worksheet!V35)</f>
        <v/>
      </c>
      <c r="P23" s="19" t="str">
        <f>TEXT(Worksheet!C35,"0.0")</f>
        <v>0.0</v>
      </c>
    </row>
    <row r="24" spans="1:16" ht="15.75" x14ac:dyDescent="0.25">
      <c r="A24" s="103" t="str">
        <f>IF(Worksheet!C36="", "", Worksheet!B36 &amp; $A$2 &amp; P24)</f>
        <v/>
      </c>
      <c r="B24" s="75" t="str">
        <f>IF(Worksheet!D36="","",Worksheet!D36)</f>
        <v/>
      </c>
      <c r="C24" s="75" t="str">
        <f>IF(Worksheet!F36="","",Worksheet!F36)</f>
        <v/>
      </c>
      <c r="D24" s="75" t="str">
        <f>IF(Worksheet!G36="","",Worksheet!G36)</f>
        <v/>
      </c>
      <c r="E24" s="106"/>
      <c r="F24" s="106"/>
      <c r="G24" s="106"/>
      <c r="H24" s="75" t="str">
        <f>IF(Worksheet!F36="","",Worksheet!Y36)</f>
        <v/>
      </c>
      <c r="I24" s="46" t="str">
        <f>IF(Worksheet!F36="","",Worksheet!Z36)</f>
        <v/>
      </c>
      <c r="J24" s="46" t="str">
        <f>IF(Worksheet!F36="","",Worksheet!AA36)</f>
        <v/>
      </c>
      <c r="K24" s="75" t="str">
        <f>IF(Worksheet!F36="","",Worksheet!R36)</f>
        <v/>
      </c>
      <c r="L24" s="41" t="str">
        <f>IF(Worksheet!F36="","",Worksheet!V36)</f>
        <v/>
      </c>
      <c r="P24" s="19" t="str">
        <f>TEXT(Worksheet!C36,"0.0")</f>
        <v>0.0</v>
      </c>
    </row>
    <row r="25" spans="1:16" ht="7.5" customHeight="1" x14ac:dyDescent="0.25">
      <c r="A25" s="19"/>
      <c r="B25" s="19"/>
      <c r="C25" s="19"/>
      <c r="D25" s="19"/>
      <c r="E25" s="107"/>
      <c r="F25" s="107"/>
      <c r="G25" s="107"/>
      <c r="H25" s="19"/>
      <c r="I25" s="19"/>
      <c r="J25" s="19"/>
      <c r="K25" s="19"/>
    </row>
    <row r="26" spans="1:16" ht="15.75" x14ac:dyDescent="0.25">
      <c r="A26" s="101" t="str">
        <f>IF(Worksheet!C38="", "", Worksheet!B38 &amp; $A$2 &amp; P26)</f>
        <v/>
      </c>
      <c r="B26" s="74" t="str">
        <f>IF(Worksheet!D38="","",Worksheet!D38)</f>
        <v/>
      </c>
      <c r="C26" s="74" t="str">
        <f>IF(Worksheet!F38="","",Worksheet!F38)</f>
        <v/>
      </c>
      <c r="D26" s="74" t="str">
        <f>IF(Worksheet!G38="","",Worksheet!G38)</f>
        <v/>
      </c>
      <c r="E26" s="105"/>
      <c r="F26" s="105"/>
      <c r="G26" s="105"/>
      <c r="H26" s="74" t="str">
        <f>IF(Worksheet!F38="","",Worksheet!Y38)</f>
        <v/>
      </c>
      <c r="I26" s="44" t="str">
        <f>IF(Worksheet!F38="","",Worksheet!Z38)</f>
        <v/>
      </c>
      <c r="J26" s="44" t="str">
        <f>IF(Worksheet!F38="","",Worksheet!AA38)</f>
        <v/>
      </c>
      <c r="K26" s="74" t="str">
        <f>IF(Worksheet!F38="","",Worksheet!R38)</f>
        <v/>
      </c>
      <c r="L26" s="39" t="str">
        <f>IF(Worksheet!F38="","",Worksheet!V38)</f>
        <v/>
      </c>
      <c r="P26" s="19" t="str">
        <f>TEXT(Worksheet!C38,"0.0")</f>
        <v>0.0</v>
      </c>
    </row>
    <row r="27" spans="1:16" ht="15.75" x14ac:dyDescent="0.25">
      <c r="A27" s="102" t="str">
        <f>IF(Worksheet!C39="", "", Worksheet!B39 &amp; $A$2 &amp; P27)</f>
        <v/>
      </c>
      <c r="B27" s="26" t="str">
        <f>IF(Worksheet!D39="","",Worksheet!D39)</f>
        <v/>
      </c>
      <c r="C27" s="26" t="str">
        <f>IF(Worksheet!F39="","",Worksheet!F39)</f>
        <v/>
      </c>
      <c r="D27" s="26" t="str">
        <f>IF(Worksheet!G39="","",Worksheet!G39)</f>
        <v/>
      </c>
      <c r="E27" s="73"/>
      <c r="F27" s="73"/>
      <c r="G27" s="73"/>
      <c r="H27" s="26" t="str">
        <f>IF(Worksheet!F39="","",Worksheet!Y39)</f>
        <v/>
      </c>
      <c r="I27" s="45" t="str">
        <f>IF(Worksheet!F39="","",Worksheet!Z39)</f>
        <v/>
      </c>
      <c r="J27" s="45" t="str">
        <f>IF(Worksheet!F39="","",Worksheet!AA39)</f>
        <v/>
      </c>
      <c r="K27" s="26" t="str">
        <f>IF(Worksheet!F39="","",Worksheet!R39)</f>
        <v/>
      </c>
      <c r="L27" s="40" t="str">
        <f>IF(Worksheet!F39="","",Worksheet!V39)</f>
        <v/>
      </c>
      <c r="P27" s="19" t="str">
        <f>TEXT(Worksheet!C39,"0.0")</f>
        <v>0.0</v>
      </c>
    </row>
    <row r="28" spans="1:16" ht="15.75" x14ac:dyDescent="0.25">
      <c r="A28" s="103" t="str">
        <f>IF(Worksheet!C40="", "", Worksheet!B40 &amp; $A$2 &amp; P28)</f>
        <v/>
      </c>
      <c r="B28" s="75" t="str">
        <f>IF(Worksheet!D40="","",Worksheet!D40)</f>
        <v/>
      </c>
      <c r="C28" s="75" t="str">
        <f>IF(Worksheet!F40="","",Worksheet!F40)</f>
        <v/>
      </c>
      <c r="D28" s="75" t="str">
        <f>IF(Worksheet!G40="","",Worksheet!G40)</f>
        <v/>
      </c>
      <c r="E28" s="106"/>
      <c r="F28" s="106"/>
      <c r="G28" s="106"/>
      <c r="H28" s="75" t="str">
        <f>IF(Worksheet!F40="","",Worksheet!Y40)</f>
        <v/>
      </c>
      <c r="I28" s="46" t="str">
        <f>IF(Worksheet!F40="","",Worksheet!Z40)</f>
        <v/>
      </c>
      <c r="J28" s="46" t="str">
        <f>IF(Worksheet!F40="","",Worksheet!AA40)</f>
        <v/>
      </c>
      <c r="K28" s="75" t="str">
        <f>IF(Worksheet!F40="","",Worksheet!R40)</f>
        <v/>
      </c>
      <c r="L28" s="41" t="str">
        <f>IF(Worksheet!F40="","",Worksheet!V40)</f>
        <v/>
      </c>
      <c r="P28" s="19" t="str">
        <f>TEXT(Worksheet!C40,"0.0")</f>
        <v>0.0</v>
      </c>
    </row>
    <row r="29" spans="1:16" ht="7.5" customHeight="1" x14ac:dyDescent="0.25">
      <c r="A29" s="19"/>
      <c r="B29" s="19"/>
      <c r="C29" s="19"/>
      <c r="D29" s="19"/>
      <c r="E29" s="107"/>
      <c r="F29" s="107"/>
      <c r="G29" s="107"/>
      <c r="H29" s="19"/>
      <c r="I29" s="19"/>
      <c r="J29" s="19"/>
      <c r="K29" s="19"/>
    </row>
    <row r="30" spans="1:16" ht="15.75" x14ac:dyDescent="0.25">
      <c r="A30" s="101" t="str">
        <f>IF(Worksheet!C42="", "", Worksheet!B42 &amp; $A$2 &amp; P30)</f>
        <v/>
      </c>
      <c r="B30" s="74" t="str">
        <f>IF(Worksheet!D42="","",Worksheet!D42)</f>
        <v/>
      </c>
      <c r="C30" s="74" t="str">
        <f>IF(Worksheet!F42="","",Worksheet!F42)</f>
        <v/>
      </c>
      <c r="D30" s="74" t="str">
        <f>IF(Worksheet!G42="","",Worksheet!G42)</f>
        <v/>
      </c>
      <c r="E30" s="105"/>
      <c r="F30" s="105"/>
      <c r="G30" s="105"/>
      <c r="H30" s="74" t="str">
        <f>IF(Worksheet!F42="","",Worksheet!Y42)</f>
        <v/>
      </c>
      <c r="I30" s="44" t="str">
        <f>IF(Worksheet!F42="","",Worksheet!Z42)</f>
        <v/>
      </c>
      <c r="J30" s="44" t="str">
        <f>IF(Worksheet!F42="","",Worksheet!AA42)</f>
        <v/>
      </c>
      <c r="K30" s="74" t="str">
        <f>IF(Worksheet!F42="","",Worksheet!R42)</f>
        <v/>
      </c>
      <c r="L30" s="39" t="str">
        <f>IF(Worksheet!F42="","",Worksheet!V42)</f>
        <v/>
      </c>
      <c r="P30" s="19" t="str">
        <f>TEXT(Worksheet!C42,"0.0")</f>
        <v>0.0</v>
      </c>
    </row>
    <row r="31" spans="1:16" ht="15.75" x14ac:dyDescent="0.25">
      <c r="A31" s="102" t="str">
        <f>IF(Worksheet!C43="", "", Worksheet!B43 &amp; $A$2 &amp; P31)</f>
        <v/>
      </c>
      <c r="B31" s="26" t="str">
        <f>IF(Worksheet!D43="","",Worksheet!D43)</f>
        <v/>
      </c>
      <c r="C31" s="26" t="str">
        <f>IF(Worksheet!F43="","",Worksheet!F43)</f>
        <v/>
      </c>
      <c r="D31" s="26" t="str">
        <f>IF(Worksheet!G43="","",Worksheet!G43)</f>
        <v/>
      </c>
      <c r="E31" s="73"/>
      <c r="F31" s="73"/>
      <c r="G31" s="73"/>
      <c r="H31" s="26" t="str">
        <f>IF(Worksheet!F43="","",Worksheet!Y43)</f>
        <v/>
      </c>
      <c r="I31" s="45" t="str">
        <f>IF(Worksheet!F43="","",Worksheet!Z43)</f>
        <v/>
      </c>
      <c r="J31" s="45" t="str">
        <f>IF(Worksheet!F43="","",Worksheet!AA43)</f>
        <v/>
      </c>
      <c r="K31" s="26" t="str">
        <f>IF(Worksheet!F43="","",Worksheet!R43)</f>
        <v/>
      </c>
      <c r="L31" s="40" t="str">
        <f>IF(Worksheet!F43="","",Worksheet!V43)</f>
        <v/>
      </c>
      <c r="P31" s="19" t="str">
        <f>TEXT(Worksheet!C43,"0.0")</f>
        <v>0.0</v>
      </c>
    </row>
    <row r="32" spans="1:16" ht="15.75" x14ac:dyDescent="0.25">
      <c r="A32" s="103" t="str">
        <f>IF(Worksheet!C44="", "", Worksheet!B44 &amp; $A$2 &amp; P32)</f>
        <v/>
      </c>
      <c r="B32" s="75" t="str">
        <f>IF(Worksheet!D44="","",Worksheet!D44)</f>
        <v/>
      </c>
      <c r="C32" s="75" t="str">
        <f>IF(Worksheet!F44="","",Worksheet!F44)</f>
        <v/>
      </c>
      <c r="D32" s="75" t="str">
        <f>IF(Worksheet!G44="","",Worksheet!G44)</f>
        <v/>
      </c>
      <c r="E32" s="106"/>
      <c r="F32" s="106"/>
      <c r="G32" s="106"/>
      <c r="H32" s="75" t="str">
        <f>IF(Worksheet!F44="","",Worksheet!Y44)</f>
        <v/>
      </c>
      <c r="I32" s="46" t="str">
        <f>IF(Worksheet!F44="","",Worksheet!Z44)</f>
        <v/>
      </c>
      <c r="J32" s="46" t="str">
        <f>IF(Worksheet!F44="","",Worksheet!AA44)</f>
        <v/>
      </c>
      <c r="K32" s="75" t="str">
        <f>IF(Worksheet!F44="","",Worksheet!R44)</f>
        <v/>
      </c>
      <c r="L32" s="41" t="str">
        <f>IF(Worksheet!F44="","",Worksheet!V44)</f>
        <v/>
      </c>
      <c r="P32" s="19" t="str">
        <f>TEXT(Worksheet!C44,"0.0")</f>
        <v>0.0</v>
      </c>
    </row>
    <row r="33" spans="1:17" ht="15.75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7" ht="15.75" x14ac:dyDescent="0.25">
      <c r="A34" s="109" t="s">
        <v>138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</row>
    <row r="35" spans="1:17" x14ac:dyDescent="0.25">
      <c r="A35" s="104" t="s">
        <v>104</v>
      </c>
      <c r="B35" s="104" t="s">
        <v>53</v>
      </c>
      <c r="C35" s="15" t="s">
        <v>56</v>
      </c>
      <c r="D35" s="15" t="s">
        <v>57</v>
      </c>
      <c r="E35" s="15" t="s">
        <v>58</v>
      </c>
      <c r="F35" s="15" t="s">
        <v>59</v>
      </c>
      <c r="G35" s="15" t="s">
        <v>60</v>
      </c>
      <c r="H35" s="15" t="s">
        <v>61</v>
      </c>
      <c r="I35" s="15" t="s">
        <v>62</v>
      </c>
      <c r="J35" s="15" t="s">
        <v>63</v>
      </c>
      <c r="K35" s="36" t="s">
        <v>64</v>
      </c>
      <c r="L35" s="15" t="s">
        <v>105</v>
      </c>
    </row>
    <row r="36" spans="1:17" ht="15.75" x14ac:dyDescent="0.25">
      <c r="A36" s="74" t="str">
        <f>IF(Worksheet!C18="", "", Worksheet!B18 &amp; $A$2 &amp; P36)</f>
        <v/>
      </c>
      <c r="B36" s="74" t="str">
        <f>IF(Worksheet!D18="","",Worksheet!D18)</f>
        <v/>
      </c>
      <c r="C36" s="44" t="str">
        <f>IF(Worksheet!J18="","",Worksheet!J18)</f>
        <v/>
      </c>
      <c r="D36" s="44" t="str">
        <f>IF(Worksheet!K18="","",Worksheet!K18)</f>
        <v/>
      </c>
      <c r="E36" s="44" t="str">
        <f>IF(Worksheet!L18="","",Worksheet!L18)</f>
        <v/>
      </c>
      <c r="F36" s="44" t="str">
        <f>IF(Worksheet!M18="","",Worksheet!M18)</f>
        <v/>
      </c>
      <c r="G36" s="44" t="str">
        <f>IF(Worksheet!N18="","",Worksheet!N18)</f>
        <v/>
      </c>
      <c r="H36" s="74" t="str">
        <f>IF(Worksheet!O18="","",Worksheet!O18)</f>
        <v/>
      </c>
      <c r="I36" s="44" t="str">
        <f>IF(Worksheet!P18="","",Worksheet!P18)</f>
        <v/>
      </c>
      <c r="J36" s="44" t="str">
        <f>IF(Worksheet!Q18="","",Worksheet!Q18)</f>
        <v/>
      </c>
      <c r="K36" s="74" t="str">
        <f>IF(Worksheet!J18="","",Worksheet!R18)</f>
        <v/>
      </c>
      <c r="L36" s="39" t="str">
        <f>IF(Worksheet!P18="","",Worksheet!V18)</f>
        <v/>
      </c>
      <c r="N36" s="38"/>
      <c r="P36" s="19" t="str">
        <f>TEXT(Worksheet!C18,"0.0")</f>
        <v>0.0</v>
      </c>
      <c r="Q36" s="19"/>
    </row>
    <row r="37" spans="1:17" ht="15.75" x14ac:dyDescent="0.25">
      <c r="A37" s="26" t="str">
        <f>IF(Worksheet!C19="", "", Worksheet!B19 &amp; $A$2 &amp; P37)</f>
        <v/>
      </c>
      <c r="B37" s="26" t="str">
        <f>IF(Worksheet!D19="","",Worksheet!D19)</f>
        <v/>
      </c>
      <c r="C37" s="45" t="str">
        <f>IF(Worksheet!J19="","",Worksheet!J19)</f>
        <v/>
      </c>
      <c r="D37" s="45" t="str">
        <f>IF(Worksheet!K19="","",Worksheet!K19)</f>
        <v/>
      </c>
      <c r="E37" s="45" t="str">
        <f>IF(Worksheet!L19="","",Worksheet!L19)</f>
        <v/>
      </c>
      <c r="F37" s="45" t="str">
        <f>IF(Worksheet!M19="","",Worksheet!M19)</f>
        <v/>
      </c>
      <c r="G37" s="45" t="str">
        <f>IF(Worksheet!N19="","",Worksheet!N19)</f>
        <v/>
      </c>
      <c r="H37" s="26" t="str">
        <f>IF(Worksheet!O19="","",Worksheet!O19)</f>
        <v/>
      </c>
      <c r="I37" s="45" t="str">
        <f>IF(Worksheet!P19="","",Worksheet!P19)</f>
        <v/>
      </c>
      <c r="J37" s="45" t="str">
        <f>IF(Worksheet!Q19="","",Worksheet!Q19)</f>
        <v/>
      </c>
      <c r="K37" s="26" t="str">
        <f>IF(Worksheet!J19="","",Worksheet!R19)</f>
        <v/>
      </c>
      <c r="L37" s="40" t="str">
        <f>IF(Worksheet!P19="","",Worksheet!V19)</f>
        <v/>
      </c>
      <c r="P37" s="19" t="str">
        <f>TEXT(Worksheet!C19,"0.0")</f>
        <v>0.0</v>
      </c>
      <c r="Q37" s="19"/>
    </row>
    <row r="38" spans="1:17" ht="15.75" x14ac:dyDescent="0.25">
      <c r="A38" s="75" t="str">
        <f>IF(Worksheet!C20="", "", Worksheet!B20 &amp; $A$2 &amp; P38)</f>
        <v/>
      </c>
      <c r="B38" s="75" t="str">
        <f>IF(Worksheet!D20="","",Worksheet!D20)</f>
        <v/>
      </c>
      <c r="C38" s="46" t="str">
        <f>IF(Worksheet!J20="","",Worksheet!J20)</f>
        <v/>
      </c>
      <c r="D38" s="46" t="str">
        <f>IF(Worksheet!K20="","",Worksheet!K20)</f>
        <v/>
      </c>
      <c r="E38" s="46" t="str">
        <f>IF(Worksheet!L20="","",Worksheet!L20)</f>
        <v/>
      </c>
      <c r="F38" s="46" t="str">
        <f>IF(Worksheet!M20="","",Worksheet!M20)</f>
        <v/>
      </c>
      <c r="G38" s="46" t="str">
        <f>IF(Worksheet!N20="","",Worksheet!N20)</f>
        <v/>
      </c>
      <c r="H38" s="75" t="str">
        <f>IF(Worksheet!O20="","",Worksheet!O20)</f>
        <v/>
      </c>
      <c r="I38" s="46" t="str">
        <f>IF(Worksheet!P20="","",Worksheet!P20)</f>
        <v/>
      </c>
      <c r="J38" s="46" t="str">
        <f>IF(Worksheet!Q20="","",Worksheet!Q20)</f>
        <v/>
      </c>
      <c r="K38" s="75" t="str">
        <f>IF(Worksheet!J20="","",Worksheet!R20)</f>
        <v/>
      </c>
      <c r="L38" s="41" t="str">
        <f>IF(Worksheet!P20="","",Worksheet!V20)</f>
        <v/>
      </c>
      <c r="P38" s="19" t="str">
        <f>TEXT(Worksheet!C20,"0.0")</f>
        <v>0.0</v>
      </c>
      <c r="Q38" s="19"/>
    </row>
    <row r="39" spans="1:17" ht="7.5" customHeight="1" x14ac:dyDescent="0.25">
      <c r="A39" s="19"/>
      <c r="B39" s="19"/>
      <c r="C39" s="19"/>
      <c r="D39" s="19"/>
      <c r="E39" s="19"/>
      <c r="F39" s="19"/>
      <c r="G39" s="19"/>
      <c r="H39" s="19"/>
      <c r="I39" s="76"/>
      <c r="J39" s="76"/>
      <c r="K39" s="19"/>
    </row>
    <row r="40" spans="1:17" ht="15.75" x14ac:dyDescent="0.25">
      <c r="A40" s="74" t="str">
        <f>IF(Worksheet!C22="", "", Worksheet!B22 &amp; $A$2 &amp; P40)</f>
        <v/>
      </c>
      <c r="B40" s="74" t="str">
        <f>IF(Worksheet!D22="","",Worksheet!D22)</f>
        <v/>
      </c>
      <c r="C40" s="44" t="str">
        <f>IF(Worksheet!J22="","",Worksheet!J22)</f>
        <v/>
      </c>
      <c r="D40" s="44" t="str">
        <f>IF(Worksheet!K22="","",Worksheet!K22)</f>
        <v/>
      </c>
      <c r="E40" s="44" t="str">
        <f>IF(Worksheet!L22="","",Worksheet!L22)</f>
        <v/>
      </c>
      <c r="F40" s="44" t="str">
        <f>IF(Worksheet!M22="","",Worksheet!M22)</f>
        <v/>
      </c>
      <c r="G40" s="44" t="str">
        <f>IF(Worksheet!N22="","",Worksheet!N22)</f>
        <v/>
      </c>
      <c r="H40" s="74" t="str">
        <f>IF(Worksheet!O22="","",Worksheet!O22)</f>
        <v/>
      </c>
      <c r="I40" s="44" t="str">
        <f>IF(Worksheet!P22="","",Worksheet!P22)</f>
        <v/>
      </c>
      <c r="J40" s="44" t="str">
        <f>IF(Worksheet!Q22="","",Worksheet!Q22)</f>
        <v/>
      </c>
      <c r="K40" s="74" t="str">
        <f>IF(Worksheet!J22="","",Worksheet!R22)</f>
        <v/>
      </c>
      <c r="L40" s="39" t="str">
        <f>IF(Worksheet!P22="","",Worksheet!V22)</f>
        <v/>
      </c>
      <c r="P40" s="19" t="str">
        <f>TEXT(Worksheet!C22,"0.0")</f>
        <v>0.0</v>
      </c>
    </row>
    <row r="41" spans="1:17" ht="15.75" x14ac:dyDescent="0.25">
      <c r="A41" s="26" t="str">
        <f>IF(Worksheet!C23="", "", Worksheet!B23 &amp; $A$2 &amp; P41)</f>
        <v/>
      </c>
      <c r="B41" s="26" t="str">
        <f>IF(Worksheet!D23="","",Worksheet!D23)</f>
        <v/>
      </c>
      <c r="C41" s="45" t="str">
        <f>IF(Worksheet!J23="","",Worksheet!J23)</f>
        <v/>
      </c>
      <c r="D41" s="45" t="str">
        <f>IF(Worksheet!K23="","",Worksheet!K23)</f>
        <v/>
      </c>
      <c r="E41" s="45" t="str">
        <f>IF(Worksheet!L23="","",Worksheet!L23)</f>
        <v/>
      </c>
      <c r="F41" s="45" t="str">
        <f>IF(Worksheet!M23="","",Worksheet!M23)</f>
        <v/>
      </c>
      <c r="G41" s="45" t="str">
        <f>IF(Worksheet!N23="","",Worksheet!N23)</f>
        <v/>
      </c>
      <c r="H41" s="26" t="str">
        <f>IF(Worksheet!O23="","",Worksheet!O23)</f>
        <v/>
      </c>
      <c r="I41" s="45" t="str">
        <f>IF(Worksheet!P23="","",Worksheet!P23)</f>
        <v/>
      </c>
      <c r="J41" s="45" t="str">
        <f>IF(Worksheet!Q23="","",Worksheet!Q23)</f>
        <v/>
      </c>
      <c r="K41" s="26" t="str">
        <f>IF(Worksheet!J23="","",Worksheet!R23)</f>
        <v/>
      </c>
      <c r="L41" s="40" t="str">
        <f>IF(Worksheet!P23="","",Worksheet!V23)</f>
        <v/>
      </c>
      <c r="P41" s="19" t="str">
        <f>TEXT(Worksheet!C23,"0.0")</f>
        <v>0.0</v>
      </c>
    </row>
    <row r="42" spans="1:17" ht="15.75" x14ac:dyDescent="0.25">
      <c r="A42" s="75" t="str">
        <f>IF(Worksheet!C24="", "", Worksheet!B24 &amp; $A$2 &amp; P42)</f>
        <v/>
      </c>
      <c r="B42" s="75" t="str">
        <f>IF(Worksheet!D24="","",Worksheet!D24)</f>
        <v/>
      </c>
      <c r="C42" s="46" t="str">
        <f>IF(Worksheet!J24="","",Worksheet!J24)</f>
        <v/>
      </c>
      <c r="D42" s="46" t="str">
        <f>IF(Worksheet!K24="","",Worksheet!K24)</f>
        <v/>
      </c>
      <c r="E42" s="46" t="str">
        <f>IF(Worksheet!L24="","",Worksheet!L24)</f>
        <v/>
      </c>
      <c r="F42" s="46" t="str">
        <f>IF(Worksheet!M24="","",Worksheet!M24)</f>
        <v/>
      </c>
      <c r="G42" s="46" t="str">
        <f>IF(Worksheet!N24="","",Worksheet!N24)</f>
        <v/>
      </c>
      <c r="H42" s="75" t="str">
        <f>IF(Worksheet!O24="","",Worksheet!O24)</f>
        <v/>
      </c>
      <c r="I42" s="46" t="str">
        <f>IF(Worksheet!P24="","",Worksheet!P24)</f>
        <v/>
      </c>
      <c r="J42" s="46" t="str">
        <f>IF(Worksheet!Q24="","",Worksheet!Q24)</f>
        <v/>
      </c>
      <c r="K42" s="75" t="str">
        <f>IF(Worksheet!J24="","",Worksheet!R24)</f>
        <v/>
      </c>
      <c r="L42" s="41" t="str">
        <f>IF(Worksheet!P24="","",Worksheet!V24)</f>
        <v/>
      </c>
      <c r="P42" s="19" t="str">
        <f>TEXT(Worksheet!C24,"0.0")</f>
        <v>0.0</v>
      </c>
    </row>
    <row r="43" spans="1:17" ht="7.5" customHeight="1" x14ac:dyDescent="0.25">
      <c r="A43" s="19"/>
      <c r="B43" s="19"/>
      <c r="C43" s="19"/>
      <c r="D43" s="19"/>
      <c r="E43" s="19"/>
      <c r="F43" s="19"/>
      <c r="G43" s="19"/>
      <c r="H43" s="19"/>
      <c r="I43" s="76"/>
      <c r="J43" s="76"/>
      <c r="K43" s="19"/>
    </row>
    <row r="44" spans="1:17" ht="15.75" x14ac:dyDescent="0.25">
      <c r="A44" s="74" t="str">
        <f>IF(Worksheet!C26="", "", Worksheet!B26 &amp; $A$2 &amp; P44)</f>
        <v/>
      </c>
      <c r="B44" s="74" t="str">
        <f>IF(Worksheet!D26="","",Worksheet!D26)</f>
        <v/>
      </c>
      <c r="C44" s="44" t="str">
        <f>IF(Worksheet!J26="","",Worksheet!J26)</f>
        <v/>
      </c>
      <c r="D44" s="44" t="str">
        <f>IF(Worksheet!K26="","",Worksheet!K26)</f>
        <v/>
      </c>
      <c r="E44" s="44" t="str">
        <f>IF(Worksheet!L26="","",Worksheet!L26)</f>
        <v/>
      </c>
      <c r="F44" s="44" t="str">
        <f>IF(Worksheet!M26="","",Worksheet!M26)</f>
        <v/>
      </c>
      <c r="G44" s="44" t="str">
        <f>IF(Worksheet!N26="","",Worksheet!N26)</f>
        <v/>
      </c>
      <c r="H44" s="74" t="str">
        <f>IF(Worksheet!O26="","",Worksheet!O26)</f>
        <v/>
      </c>
      <c r="I44" s="44" t="str">
        <f>IF(Worksheet!P26="","",Worksheet!P26)</f>
        <v/>
      </c>
      <c r="J44" s="44" t="str">
        <f>IF(Worksheet!Q26="","",Worksheet!Q26)</f>
        <v/>
      </c>
      <c r="K44" s="74" t="str">
        <f>IF(Worksheet!J26="","",Worksheet!R26)</f>
        <v/>
      </c>
      <c r="L44" s="39" t="str">
        <f>IF(Worksheet!P26="","",Worksheet!V26)</f>
        <v/>
      </c>
      <c r="P44" s="19" t="str">
        <f>TEXT(Worksheet!C26,"0.0")</f>
        <v>0.0</v>
      </c>
    </row>
    <row r="45" spans="1:17" ht="15.75" x14ac:dyDescent="0.25">
      <c r="A45" s="26" t="str">
        <f>IF(Worksheet!C27="", "", Worksheet!B27 &amp; $A$2 &amp; P45)</f>
        <v/>
      </c>
      <c r="B45" s="26" t="str">
        <f>IF(Worksheet!D27="","",Worksheet!D27)</f>
        <v/>
      </c>
      <c r="C45" s="45" t="str">
        <f>IF(Worksheet!J27="","",Worksheet!J27)</f>
        <v/>
      </c>
      <c r="D45" s="45" t="str">
        <f>IF(Worksheet!K27="","",Worksheet!K27)</f>
        <v/>
      </c>
      <c r="E45" s="45" t="str">
        <f>IF(Worksheet!L27="","",Worksheet!L27)</f>
        <v/>
      </c>
      <c r="F45" s="45" t="str">
        <f>IF(Worksheet!M27="","",Worksheet!M27)</f>
        <v/>
      </c>
      <c r="G45" s="45" t="str">
        <f>IF(Worksheet!N27="","",Worksheet!N27)</f>
        <v/>
      </c>
      <c r="H45" s="26" t="str">
        <f>IF(Worksheet!O27="","",Worksheet!O27)</f>
        <v/>
      </c>
      <c r="I45" s="45" t="str">
        <f>IF(Worksheet!P27="","",Worksheet!P27)</f>
        <v/>
      </c>
      <c r="J45" s="45" t="str">
        <f>IF(Worksheet!Q27="","",Worksheet!Q27)</f>
        <v/>
      </c>
      <c r="K45" s="26" t="str">
        <f>IF(Worksheet!J27="","",Worksheet!R27)</f>
        <v/>
      </c>
      <c r="L45" s="40" t="str">
        <f>IF(Worksheet!P27="","",Worksheet!V27)</f>
        <v/>
      </c>
      <c r="P45" s="19" t="str">
        <f>TEXT(Worksheet!C27,"0.0")</f>
        <v>0.0</v>
      </c>
    </row>
    <row r="46" spans="1:17" ht="15.75" x14ac:dyDescent="0.25">
      <c r="A46" s="75" t="str">
        <f>IF(Worksheet!C28="", "", Worksheet!B28 &amp; $A$2 &amp; P46)</f>
        <v/>
      </c>
      <c r="B46" s="75" t="str">
        <f>IF(Worksheet!D28="","",Worksheet!D28)</f>
        <v/>
      </c>
      <c r="C46" s="46" t="str">
        <f>IF(Worksheet!J28="","",Worksheet!J28)</f>
        <v/>
      </c>
      <c r="D46" s="46" t="str">
        <f>IF(Worksheet!K28="","",Worksheet!K28)</f>
        <v/>
      </c>
      <c r="E46" s="46" t="str">
        <f>IF(Worksheet!L28="","",Worksheet!L28)</f>
        <v/>
      </c>
      <c r="F46" s="46" t="str">
        <f>IF(Worksheet!M28="","",Worksheet!M28)</f>
        <v/>
      </c>
      <c r="G46" s="46" t="str">
        <f>IF(Worksheet!N28="","",Worksheet!N28)</f>
        <v/>
      </c>
      <c r="H46" s="75" t="str">
        <f>IF(Worksheet!O28="","",Worksheet!O28)</f>
        <v/>
      </c>
      <c r="I46" s="46" t="str">
        <f>IF(Worksheet!P28="","",Worksheet!P28)</f>
        <v/>
      </c>
      <c r="J46" s="46" t="str">
        <f>IF(Worksheet!Q28="","",Worksheet!Q28)</f>
        <v/>
      </c>
      <c r="K46" s="75" t="str">
        <f>IF(Worksheet!J28="","",Worksheet!R28)</f>
        <v/>
      </c>
      <c r="L46" s="41" t="str">
        <f>IF(Worksheet!P28="","",Worksheet!V28)</f>
        <v/>
      </c>
      <c r="P46" s="19" t="str">
        <f>TEXT(Worksheet!C28,"0.0")</f>
        <v>0.0</v>
      </c>
    </row>
    <row r="47" spans="1:17" ht="7.5" customHeight="1" x14ac:dyDescent="0.25">
      <c r="A47" s="19"/>
      <c r="B47" s="19"/>
      <c r="C47" s="19"/>
      <c r="D47" s="19"/>
      <c r="E47" s="19"/>
      <c r="F47" s="19"/>
      <c r="G47" s="19"/>
      <c r="H47" s="19"/>
      <c r="I47" s="76"/>
      <c r="J47" s="76"/>
      <c r="K47" s="19"/>
    </row>
    <row r="48" spans="1:17" ht="15.75" x14ac:dyDescent="0.25">
      <c r="A48" s="74" t="str">
        <f>IF(Worksheet!C30="", "", Worksheet!B30 &amp; $A$2 &amp; P48)</f>
        <v/>
      </c>
      <c r="B48" s="74" t="str">
        <f>IF(Worksheet!D30="","",Worksheet!D30)</f>
        <v/>
      </c>
      <c r="C48" s="44" t="str">
        <f>IF(Worksheet!J30="","",Worksheet!J30)</f>
        <v/>
      </c>
      <c r="D48" s="44" t="str">
        <f>IF(Worksheet!K30="","",Worksheet!K30)</f>
        <v/>
      </c>
      <c r="E48" s="44" t="str">
        <f>IF(Worksheet!L30="","",Worksheet!L30)</f>
        <v/>
      </c>
      <c r="F48" s="44" t="str">
        <f>IF(Worksheet!M30="","",Worksheet!M30)</f>
        <v/>
      </c>
      <c r="G48" s="44" t="str">
        <f>IF(Worksheet!N30="","",Worksheet!N30)</f>
        <v/>
      </c>
      <c r="H48" s="74" t="str">
        <f>IF(Worksheet!O30="","",Worksheet!O30)</f>
        <v/>
      </c>
      <c r="I48" s="44" t="str">
        <f>IF(Worksheet!P30="","",Worksheet!P30)</f>
        <v/>
      </c>
      <c r="J48" s="44" t="str">
        <f>IF(Worksheet!Q30="","",Worksheet!Q30)</f>
        <v/>
      </c>
      <c r="K48" s="74" t="str">
        <f>IF(Worksheet!J30="","",Worksheet!R30)</f>
        <v/>
      </c>
      <c r="L48" s="39" t="str">
        <f>IF(Worksheet!P30="","",Worksheet!V30)</f>
        <v/>
      </c>
      <c r="P48" s="19" t="str">
        <f>TEXT(Worksheet!C30,"0.0")</f>
        <v>0.0</v>
      </c>
    </row>
    <row r="49" spans="1:16" ht="15.75" x14ac:dyDescent="0.25">
      <c r="A49" s="26" t="str">
        <f>IF(Worksheet!C31="", "", Worksheet!B31 &amp; $A$2 &amp; P49)</f>
        <v/>
      </c>
      <c r="B49" s="26" t="str">
        <f>IF(Worksheet!D31="","",Worksheet!D31)</f>
        <v/>
      </c>
      <c r="C49" s="45" t="str">
        <f>IF(Worksheet!J31="","",Worksheet!J31)</f>
        <v/>
      </c>
      <c r="D49" s="45" t="str">
        <f>IF(Worksheet!K31="","",Worksheet!K31)</f>
        <v/>
      </c>
      <c r="E49" s="45" t="str">
        <f>IF(Worksheet!L31="","",Worksheet!L31)</f>
        <v/>
      </c>
      <c r="F49" s="45" t="str">
        <f>IF(Worksheet!M31="","",Worksheet!M31)</f>
        <v/>
      </c>
      <c r="G49" s="45" t="str">
        <f>IF(Worksheet!N31="","",Worksheet!N31)</f>
        <v/>
      </c>
      <c r="H49" s="26" t="str">
        <f>IF(Worksheet!O31="","",Worksheet!O31)</f>
        <v/>
      </c>
      <c r="I49" s="45" t="str">
        <f>IF(Worksheet!P31="","",Worksheet!P31)</f>
        <v/>
      </c>
      <c r="J49" s="45" t="str">
        <f>IF(Worksheet!Q31="","",Worksheet!Q31)</f>
        <v/>
      </c>
      <c r="K49" s="26" t="str">
        <f>IF(Worksheet!J31="","",Worksheet!R31)</f>
        <v/>
      </c>
      <c r="L49" s="40" t="str">
        <f>IF(Worksheet!P31="","",Worksheet!V31)</f>
        <v/>
      </c>
      <c r="P49" s="19" t="str">
        <f>TEXT(Worksheet!C31,"0.0")</f>
        <v>0.0</v>
      </c>
    </row>
    <row r="50" spans="1:16" ht="15.75" x14ac:dyDescent="0.25">
      <c r="A50" s="75" t="str">
        <f>IF(Worksheet!C32="", "", Worksheet!B32 &amp; $A$2 &amp; P50)</f>
        <v/>
      </c>
      <c r="B50" s="75" t="str">
        <f>IF(Worksheet!D32="","",Worksheet!D32)</f>
        <v/>
      </c>
      <c r="C50" s="46" t="str">
        <f>IF(Worksheet!J32="","",Worksheet!J32)</f>
        <v/>
      </c>
      <c r="D50" s="46" t="str">
        <f>IF(Worksheet!K32="","",Worksheet!K32)</f>
        <v/>
      </c>
      <c r="E50" s="46" t="str">
        <f>IF(Worksheet!L32="","",Worksheet!L32)</f>
        <v/>
      </c>
      <c r="F50" s="46" t="str">
        <f>IF(Worksheet!M32="","",Worksheet!M32)</f>
        <v/>
      </c>
      <c r="G50" s="46" t="str">
        <f>IF(Worksheet!N32="","",Worksheet!N32)</f>
        <v/>
      </c>
      <c r="H50" s="75" t="str">
        <f>IF(Worksheet!O32="","",Worksheet!O32)</f>
        <v/>
      </c>
      <c r="I50" s="46" t="str">
        <f>IF(Worksheet!P32="","",Worksheet!P32)</f>
        <v/>
      </c>
      <c r="J50" s="46" t="str">
        <f>IF(Worksheet!Q32="","",Worksheet!Q32)</f>
        <v/>
      </c>
      <c r="K50" s="75" t="str">
        <f>IF(Worksheet!J32="","",Worksheet!R32)</f>
        <v/>
      </c>
      <c r="L50" s="41" t="str">
        <f>IF(Worksheet!P32="","",Worksheet!V32)</f>
        <v/>
      </c>
      <c r="P50" s="19" t="str">
        <f>TEXT(Worksheet!C32,"0.0")</f>
        <v>0.0</v>
      </c>
    </row>
    <row r="51" spans="1:16" ht="7.5" customHeight="1" x14ac:dyDescent="0.25">
      <c r="A51" s="19"/>
      <c r="B51" s="19"/>
      <c r="C51" s="19"/>
      <c r="D51" s="19"/>
      <c r="E51" s="19"/>
      <c r="F51" s="19"/>
      <c r="G51" s="19"/>
      <c r="H51" s="19"/>
      <c r="I51" s="76"/>
      <c r="J51" s="76"/>
      <c r="K51" s="19"/>
    </row>
    <row r="52" spans="1:16" ht="15.75" x14ac:dyDescent="0.25">
      <c r="A52" s="74" t="str">
        <f>IF(Worksheet!C34="", "", Worksheet!B34 &amp; $A$2 &amp; P52)</f>
        <v/>
      </c>
      <c r="B52" s="74" t="str">
        <f>IF(Worksheet!D34="","",Worksheet!D34)</f>
        <v/>
      </c>
      <c r="C52" s="44" t="str">
        <f>IF(Worksheet!J34="","",Worksheet!J34)</f>
        <v/>
      </c>
      <c r="D52" s="44" t="str">
        <f>IF(Worksheet!K34="","",Worksheet!K34)</f>
        <v/>
      </c>
      <c r="E52" s="44" t="str">
        <f>IF(Worksheet!L34="","",Worksheet!L34)</f>
        <v/>
      </c>
      <c r="F52" s="44" t="str">
        <f>IF(Worksheet!M34="","",Worksheet!M34)</f>
        <v/>
      </c>
      <c r="G52" s="44" t="str">
        <f>IF(Worksheet!N34="","",Worksheet!N34)</f>
        <v/>
      </c>
      <c r="H52" s="74" t="str">
        <f>IF(Worksheet!O34="","",Worksheet!O34)</f>
        <v/>
      </c>
      <c r="I52" s="44" t="str">
        <f>IF(Worksheet!P34="","",Worksheet!P34)</f>
        <v/>
      </c>
      <c r="J52" s="44" t="str">
        <f>IF(Worksheet!Q34="","",Worksheet!Q34)</f>
        <v/>
      </c>
      <c r="K52" s="74" t="str">
        <f>IF(Worksheet!J34="","",Worksheet!R34)</f>
        <v/>
      </c>
      <c r="L52" s="39" t="str">
        <f>IF(Worksheet!P34="","",Worksheet!V34)</f>
        <v/>
      </c>
      <c r="P52" s="19" t="str">
        <f>TEXT(Worksheet!C34,"0.0")</f>
        <v>0.0</v>
      </c>
    </row>
    <row r="53" spans="1:16" ht="15.75" x14ac:dyDescent="0.25">
      <c r="A53" s="26" t="str">
        <f>IF(Worksheet!C35="", "", Worksheet!B35 &amp; $A$2 &amp; P53)</f>
        <v/>
      </c>
      <c r="B53" s="26" t="str">
        <f>IF(Worksheet!D35="","",Worksheet!D35)</f>
        <v/>
      </c>
      <c r="C53" s="45" t="str">
        <f>IF(Worksheet!J35="","",Worksheet!J35)</f>
        <v/>
      </c>
      <c r="D53" s="45" t="str">
        <f>IF(Worksheet!K35="","",Worksheet!K35)</f>
        <v/>
      </c>
      <c r="E53" s="45" t="str">
        <f>IF(Worksheet!L35="","",Worksheet!L35)</f>
        <v/>
      </c>
      <c r="F53" s="45" t="str">
        <f>IF(Worksheet!M35="","",Worksheet!M35)</f>
        <v/>
      </c>
      <c r="G53" s="45" t="str">
        <f>IF(Worksheet!N35="","",Worksheet!N35)</f>
        <v/>
      </c>
      <c r="H53" s="26" t="str">
        <f>IF(Worksheet!O35="","",Worksheet!O35)</f>
        <v/>
      </c>
      <c r="I53" s="45" t="str">
        <f>IF(Worksheet!P35="","",Worksheet!P35)</f>
        <v/>
      </c>
      <c r="J53" s="45" t="str">
        <f>IF(Worksheet!Q35="","",Worksheet!Q35)</f>
        <v/>
      </c>
      <c r="K53" s="26" t="str">
        <f>IF(Worksheet!J35="","",Worksheet!R35)</f>
        <v/>
      </c>
      <c r="L53" s="40" t="str">
        <f>IF(Worksheet!P35="","",Worksheet!V35)</f>
        <v/>
      </c>
      <c r="P53" s="19" t="str">
        <f>TEXT(Worksheet!C35,"0.0")</f>
        <v>0.0</v>
      </c>
    </row>
    <row r="54" spans="1:16" ht="15.75" x14ac:dyDescent="0.25">
      <c r="A54" s="75" t="str">
        <f>IF(Worksheet!C36="", "", Worksheet!B36 &amp; $A$2 &amp; P54)</f>
        <v/>
      </c>
      <c r="B54" s="75" t="str">
        <f>IF(Worksheet!D36="","",Worksheet!D36)</f>
        <v/>
      </c>
      <c r="C54" s="46" t="str">
        <f>IF(Worksheet!J36="","",Worksheet!J36)</f>
        <v/>
      </c>
      <c r="D54" s="46" t="str">
        <f>IF(Worksheet!K36="","",Worksheet!K36)</f>
        <v/>
      </c>
      <c r="E54" s="46" t="str">
        <f>IF(Worksheet!L36="","",Worksheet!L36)</f>
        <v/>
      </c>
      <c r="F54" s="46" t="str">
        <f>IF(Worksheet!M36="","",Worksheet!M36)</f>
        <v/>
      </c>
      <c r="G54" s="46" t="str">
        <f>IF(Worksheet!N36="","",Worksheet!N36)</f>
        <v/>
      </c>
      <c r="H54" s="75" t="str">
        <f>IF(Worksheet!O36="","",Worksheet!O36)</f>
        <v/>
      </c>
      <c r="I54" s="46" t="str">
        <f>IF(Worksheet!P36="","",Worksheet!P36)</f>
        <v/>
      </c>
      <c r="J54" s="46" t="str">
        <f>IF(Worksheet!Q36="","",Worksheet!Q36)</f>
        <v/>
      </c>
      <c r="K54" s="75" t="str">
        <f>IF(Worksheet!J36="","",Worksheet!R36)</f>
        <v/>
      </c>
      <c r="L54" s="41" t="str">
        <f>IF(Worksheet!P36="","",Worksheet!V36)</f>
        <v/>
      </c>
      <c r="P54" s="19" t="str">
        <f>TEXT(Worksheet!C36,"0.0")</f>
        <v>0.0</v>
      </c>
    </row>
    <row r="55" spans="1:16" ht="7.5" customHeight="1" x14ac:dyDescent="0.25">
      <c r="A55" s="19"/>
      <c r="B55" s="19"/>
      <c r="C55" s="19"/>
      <c r="D55" s="19"/>
      <c r="E55" s="19"/>
      <c r="F55" s="19"/>
      <c r="G55" s="19"/>
      <c r="H55" s="19"/>
      <c r="I55" s="76"/>
      <c r="J55" s="76"/>
      <c r="K55" s="19"/>
    </row>
    <row r="56" spans="1:16" ht="15.75" x14ac:dyDescent="0.25">
      <c r="A56" s="74" t="str">
        <f>IF(Worksheet!C38="", "", Worksheet!B38 &amp; $A$2 &amp; P56)</f>
        <v/>
      </c>
      <c r="B56" s="74" t="str">
        <f>IF(Worksheet!D38="","",Worksheet!D38)</f>
        <v/>
      </c>
      <c r="C56" s="44" t="str">
        <f>IF(Worksheet!J38="","",Worksheet!J38)</f>
        <v/>
      </c>
      <c r="D56" s="44" t="str">
        <f>IF(Worksheet!K38="","",Worksheet!K38)</f>
        <v/>
      </c>
      <c r="E56" s="44" t="str">
        <f>IF(Worksheet!L38="","",Worksheet!L38)</f>
        <v/>
      </c>
      <c r="F56" s="44" t="str">
        <f>IF(Worksheet!M38="","",Worksheet!M38)</f>
        <v/>
      </c>
      <c r="G56" s="44" t="str">
        <f>IF(Worksheet!N38="","",Worksheet!N38)</f>
        <v/>
      </c>
      <c r="H56" s="74" t="str">
        <f>IF(Worksheet!O38="","",Worksheet!O38)</f>
        <v/>
      </c>
      <c r="I56" s="44" t="str">
        <f>IF(Worksheet!P38="","",Worksheet!P38)</f>
        <v/>
      </c>
      <c r="J56" s="44" t="str">
        <f>IF(Worksheet!Q38="","",Worksheet!Q38)</f>
        <v/>
      </c>
      <c r="K56" s="74" t="str">
        <f>IF(Worksheet!J38="","",Worksheet!R38)</f>
        <v/>
      </c>
      <c r="L56" s="39" t="str">
        <f>IF(Worksheet!P38="","",Worksheet!V38)</f>
        <v/>
      </c>
      <c r="P56" s="19" t="str">
        <f>TEXT(Worksheet!C38,"0.0")</f>
        <v>0.0</v>
      </c>
    </row>
    <row r="57" spans="1:16" ht="15.75" x14ac:dyDescent="0.25">
      <c r="A57" s="26" t="str">
        <f>IF(Worksheet!C39="", "", Worksheet!B39 &amp; $A$2 &amp; P57)</f>
        <v/>
      </c>
      <c r="B57" s="26" t="str">
        <f>IF(Worksheet!D39="","",Worksheet!D39)</f>
        <v/>
      </c>
      <c r="C57" s="45" t="str">
        <f>IF(Worksheet!J39="","",Worksheet!J39)</f>
        <v/>
      </c>
      <c r="D57" s="45" t="str">
        <f>IF(Worksheet!K39="","",Worksheet!K39)</f>
        <v/>
      </c>
      <c r="E57" s="45" t="str">
        <f>IF(Worksheet!L39="","",Worksheet!L39)</f>
        <v/>
      </c>
      <c r="F57" s="45" t="str">
        <f>IF(Worksheet!M39="","",Worksheet!M39)</f>
        <v/>
      </c>
      <c r="G57" s="45" t="str">
        <f>IF(Worksheet!N39="","",Worksheet!N39)</f>
        <v/>
      </c>
      <c r="H57" s="26" t="str">
        <f>IF(Worksheet!O39="","",Worksheet!O39)</f>
        <v/>
      </c>
      <c r="I57" s="45" t="str">
        <f>IF(Worksheet!P39="","",Worksheet!P39)</f>
        <v/>
      </c>
      <c r="J57" s="45" t="str">
        <f>IF(Worksheet!Q39="","",Worksheet!Q39)</f>
        <v/>
      </c>
      <c r="K57" s="26" t="str">
        <f>IF(Worksheet!J39="","",Worksheet!R39)</f>
        <v/>
      </c>
      <c r="L57" s="40" t="str">
        <f>IF(Worksheet!P39="","",Worksheet!V39)</f>
        <v/>
      </c>
      <c r="P57" s="19" t="str">
        <f>TEXT(Worksheet!C39,"0.0")</f>
        <v>0.0</v>
      </c>
    </row>
    <row r="58" spans="1:16" ht="15.75" x14ac:dyDescent="0.25">
      <c r="A58" s="75" t="str">
        <f>IF(Worksheet!C40="", "", Worksheet!B40 &amp; $A$2 &amp; P58)</f>
        <v/>
      </c>
      <c r="B58" s="75" t="str">
        <f>IF(Worksheet!D40="","",Worksheet!D40)</f>
        <v/>
      </c>
      <c r="C58" s="46" t="str">
        <f>IF(Worksheet!J40="","",Worksheet!J40)</f>
        <v/>
      </c>
      <c r="D58" s="46" t="str">
        <f>IF(Worksheet!K40="","",Worksheet!K40)</f>
        <v/>
      </c>
      <c r="E58" s="46" t="str">
        <f>IF(Worksheet!L40="","",Worksheet!L40)</f>
        <v/>
      </c>
      <c r="F58" s="46" t="str">
        <f>IF(Worksheet!M40="","",Worksheet!M40)</f>
        <v/>
      </c>
      <c r="G58" s="46" t="str">
        <f>IF(Worksheet!N40="","",Worksheet!N40)</f>
        <v/>
      </c>
      <c r="H58" s="75" t="str">
        <f>IF(Worksheet!O40="","",Worksheet!O40)</f>
        <v/>
      </c>
      <c r="I58" s="46" t="str">
        <f>IF(Worksheet!P40="","",Worksheet!P40)</f>
        <v/>
      </c>
      <c r="J58" s="46" t="str">
        <f>IF(Worksheet!Q40="","",Worksheet!Q40)</f>
        <v/>
      </c>
      <c r="K58" s="75" t="str">
        <f>IF(Worksheet!J40="","",Worksheet!R40)</f>
        <v/>
      </c>
      <c r="L58" s="41" t="str">
        <f>IF(Worksheet!P40="","",Worksheet!V40)</f>
        <v/>
      </c>
      <c r="P58" s="19" t="str">
        <f>TEXT(Worksheet!C40,"0.0")</f>
        <v>0.0</v>
      </c>
    </row>
    <row r="59" spans="1:16" ht="7.5" customHeight="1" x14ac:dyDescent="0.25">
      <c r="A59" s="19"/>
      <c r="B59" s="19"/>
      <c r="C59" s="19"/>
      <c r="D59" s="19"/>
      <c r="E59" s="19"/>
      <c r="F59" s="19"/>
      <c r="G59" s="19"/>
      <c r="H59" s="19"/>
      <c r="I59" s="76"/>
      <c r="J59" s="76"/>
      <c r="K59" s="19"/>
    </row>
    <row r="60" spans="1:16" ht="15.75" x14ac:dyDescent="0.25">
      <c r="A60" s="74" t="str">
        <f>IF(Worksheet!C42="", "", Worksheet!B42 &amp; $A$2 &amp; P60)</f>
        <v/>
      </c>
      <c r="B60" s="74" t="str">
        <f>IF(Worksheet!D42="","",Worksheet!D42)</f>
        <v/>
      </c>
      <c r="C60" s="44" t="str">
        <f>IF(Worksheet!J42="","",Worksheet!J42)</f>
        <v/>
      </c>
      <c r="D60" s="44" t="str">
        <f>IF(Worksheet!K42="","",Worksheet!K42)</f>
        <v/>
      </c>
      <c r="E60" s="44" t="str">
        <f>IF(Worksheet!L42="","",Worksheet!L42)</f>
        <v/>
      </c>
      <c r="F60" s="44" t="str">
        <f>IF(Worksheet!M42="","",Worksheet!M42)</f>
        <v/>
      </c>
      <c r="G60" s="44" t="str">
        <f>IF(Worksheet!N42="","",Worksheet!N42)</f>
        <v/>
      </c>
      <c r="H60" s="74" t="str">
        <f>IF(Worksheet!O42="","",Worksheet!O42)</f>
        <v/>
      </c>
      <c r="I60" s="44" t="str">
        <f>IF(Worksheet!P42="","",Worksheet!P42)</f>
        <v/>
      </c>
      <c r="J60" s="44" t="str">
        <f>IF(Worksheet!Q42="","",Worksheet!Q42)</f>
        <v/>
      </c>
      <c r="K60" s="74" t="str">
        <f>IF(Worksheet!J42="","",Worksheet!R42)</f>
        <v/>
      </c>
      <c r="L60" s="39" t="str">
        <f>IF(Worksheet!P42="","",Worksheet!V42)</f>
        <v/>
      </c>
      <c r="P60" s="19" t="str">
        <f>TEXT(Worksheet!C42,"0.0")</f>
        <v>0.0</v>
      </c>
    </row>
    <row r="61" spans="1:16" ht="15.75" x14ac:dyDescent="0.25">
      <c r="A61" s="26" t="str">
        <f>IF(Worksheet!C43="", "", Worksheet!B43 &amp; $A$2 &amp; P61)</f>
        <v/>
      </c>
      <c r="B61" s="26" t="str">
        <f>IF(Worksheet!D43="","",Worksheet!D43)</f>
        <v/>
      </c>
      <c r="C61" s="45" t="str">
        <f>IF(Worksheet!J43="","",Worksheet!J43)</f>
        <v/>
      </c>
      <c r="D61" s="45" t="str">
        <f>IF(Worksheet!K43="","",Worksheet!K43)</f>
        <v/>
      </c>
      <c r="E61" s="45" t="str">
        <f>IF(Worksheet!L43="","",Worksheet!L43)</f>
        <v/>
      </c>
      <c r="F61" s="45" t="str">
        <f>IF(Worksheet!M43="","",Worksheet!M43)</f>
        <v/>
      </c>
      <c r="G61" s="45" t="str">
        <f>IF(Worksheet!N43="","",Worksheet!N43)</f>
        <v/>
      </c>
      <c r="H61" s="26" t="str">
        <f>IF(Worksheet!O43="","",Worksheet!O43)</f>
        <v/>
      </c>
      <c r="I61" s="45" t="str">
        <f>IF(Worksheet!P43="","",Worksheet!P43)</f>
        <v/>
      </c>
      <c r="J61" s="45" t="str">
        <f>IF(Worksheet!Q43="","",Worksheet!Q43)</f>
        <v/>
      </c>
      <c r="K61" s="26" t="str">
        <f>IF(Worksheet!J43="","",Worksheet!R43)</f>
        <v/>
      </c>
      <c r="L61" s="40" t="str">
        <f>IF(Worksheet!P43="","",Worksheet!V43)</f>
        <v/>
      </c>
      <c r="P61" s="19" t="str">
        <f>TEXT(Worksheet!C43,"0.0")</f>
        <v>0.0</v>
      </c>
    </row>
    <row r="62" spans="1:16" ht="15.75" x14ac:dyDescent="0.25">
      <c r="A62" s="75" t="str">
        <f>IF(Worksheet!C44="", "", Worksheet!B44 &amp; $A$2 &amp; P62)</f>
        <v/>
      </c>
      <c r="B62" s="75" t="str">
        <f>IF(Worksheet!D44="","",Worksheet!D44)</f>
        <v/>
      </c>
      <c r="C62" s="46" t="str">
        <f>IF(Worksheet!J44="","",Worksheet!J44)</f>
        <v/>
      </c>
      <c r="D62" s="46" t="str">
        <f>IF(Worksheet!K44="","",Worksheet!K44)</f>
        <v/>
      </c>
      <c r="E62" s="46" t="str">
        <f>IF(Worksheet!L44="","",Worksheet!L44)</f>
        <v/>
      </c>
      <c r="F62" s="46" t="str">
        <f>IF(Worksheet!M44="","",Worksheet!M44)</f>
        <v/>
      </c>
      <c r="G62" s="46" t="str">
        <f>IF(Worksheet!N44="","",Worksheet!N44)</f>
        <v/>
      </c>
      <c r="H62" s="75" t="str">
        <f>IF(Worksheet!O44="","",Worksheet!O44)</f>
        <v/>
      </c>
      <c r="I62" s="46" t="str">
        <f>IF(Worksheet!P44="","",Worksheet!P44)</f>
        <v/>
      </c>
      <c r="J62" s="46" t="str">
        <f>IF(Worksheet!Q44="","",Worksheet!Q44)</f>
        <v/>
      </c>
      <c r="K62" s="75" t="str">
        <f>IF(Worksheet!J44="","",Worksheet!R44)</f>
        <v/>
      </c>
      <c r="L62" s="41" t="str">
        <f>IF(Worksheet!P44="","",Worksheet!V44)</f>
        <v/>
      </c>
      <c r="P62" s="19" t="str">
        <f>TEXT(Worksheet!C44,"0.0")</f>
        <v>0.0</v>
      </c>
    </row>
    <row r="63" spans="1:16" ht="8.1" customHeight="1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</row>
  </sheetData>
  <sheetProtection algorithmName="SHA-512" hashValue="FkVO46sivHriBLJ2Tjik892EcAbMF+Wn8EVGem4rGOitW7Kmjqwgo6vO0SM6657pZIQssZYu4vXXh1lgg9yS0w==" saltValue="wYv+M/S/wUicmc9NfjOxN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87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88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89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 t="s">
        <v>128</v>
      </c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90</v>
      </c>
      <c r="B6" s="20" t="str">
        <f>IF(Worksheet!D3="","",Worksheet!D3)</f>
        <v/>
      </c>
      <c r="C6" s="4"/>
      <c r="D6" s="1"/>
      <c r="F6" s="146" t="s">
        <v>129</v>
      </c>
      <c r="G6" s="146"/>
      <c r="J6" t="s">
        <v>92</v>
      </c>
      <c r="BB6" s="4"/>
    </row>
    <row r="7" spans="1:54" ht="15.75" x14ac:dyDescent="0.2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95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22" t="s">
        <v>100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101</v>
      </c>
      <c r="C17" s="19" t="str">
        <f>Worksheet!J11</f>
        <v>ASTM E18-24</v>
      </c>
    </row>
    <row r="18" spans="1:17" ht="15.75" x14ac:dyDescent="0.2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 x14ac:dyDescent="0.25">
      <c r="A19" s="122" t="s">
        <v>100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104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 x14ac:dyDescent="0.25">
      <c r="A21" s="101" t="str" cm="1">
        <f t="array" ref="A21">IF(_xlfn._xlws.FILTER('Filter Cert Data'!A6:L8,'Filter Cert Data'!A6:A8&lt;&gt;"","")="", "", _xlfn._xlws.FILTER('Filter Cert Data'!A6:L8,'Filter Cert Data'!A6:A8&lt;&gt;""))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Data'!A10:L12,'Filter Cert Data'!A10:A12&lt;&gt;"","")="", "", _xlfn._xlws.FILTER('Filter Cert Data'!A10:L12,'Filter Cert Data'!A10:A12&lt;&gt;""))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Data'!A14:L16,'Filter Cert Data'!A14:A16&lt;&gt;"","")="", "", _xlfn._xlws.FILTER('Filter Cert Data'!A14:L16,'Filter Cert Data'!A14:A16&lt;&gt;""))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Data'!A18:L20,'Filter Cert Data'!A18:A20&lt;&gt;"","")="", "", _xlfn._xlws.FILTER('Filter Cert Data'!A18:L20,'Filter Cert Data'!A18:A20&lt;&gt;""))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Data'!A22:L24,'Filter Cert Data'!A22:A24&lt;&gt;"","")="", "", _xlfn._xlws.FILTER('Filter Cert Data'!A22:L24,'Filter Cert Data'!A22:A24&lt;&gt;""))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Data'!A26:L28,'Filter Cert Data'!A26:A28&lt;&gt;"","")="", "", _xlfn._xlws.FILTER('Filter Cert Data'!A26:L28,'Filter Cert Data'!A26:A28&lt;&gt;""))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Data'!A30:L32,'Filter Cert Data'!A30:A32&lt;&gt;"","")="", "", _xlfn._xlws.FILTER('Filter Cert Data'!A30:L32,'Filter Cert Data'!A30:A32&lt;&gt;""))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100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100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109</v>
      </c>
      <c r="B56" s="156" t="s">
        <v>130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111</v>
      </c>
      <c r="B60" s="144" t="str">
        <f>Worksheet!O46</f>
        <v/>
      </c>
      <c r="C60" s="144"/>
    </row>
    <row r="61" spans="1:27" ht="12" customHeight="1" x14ac:dyDescent="0.25">
      <c r="A61" s="154" t="str">
        <f>'CERT AL'!A61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100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8" spans="1:15" x14ac:dyDescent="0.25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5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5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5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5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5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5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5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topLeftCell="A5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87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88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89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/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90</v>
      </c>
      <c r="B6" s="20" t="str">
        <f>IF(Worksheet!D3="","",Worksheet!D3)</f>
        <v/>
      </c>
      <c r="C6" s="4"/>
      <c r="D6" s="1"/>
      <c r="F6" s="146" t="s">
        <v>91</v>
      </c>
      <c r="G6" s="146"/>
      <c r="J6" t="s">
        <v>92</v>
      </c>
      <c r="BB6" s="4"/>
    </row>
    <row r="7" spans="1:54" ht="15.75" x14ac:dyDescent="0.2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95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96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97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22" t="s">
        <v>100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101</v>
      </c>
      <c r="C17" s="19" t="str">
        <f>Worksheet!J11</f>
        <v>ASTM E18-24</v>
      </c>
    </row>
    <row r="18" spans="1:17" ht="15.75" x14ac:dyDescent="0.2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 x14ac:dyDescent="0.25">
      <c r="A19" s="122" t="s">
        <v>100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104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 x14ac:dyDescent="0.25">
      <c r="A21" s="101" t="str" cm="1">
        <f t="array" ref="A21">_xlfn._xlws.FILTER('Filter Cert Data'!A36:L38,'Filter Cert Data'!A36:A38&lt;&gt;"","")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Data'!A40:L42,'Filter Cert Data'!A40:A42&lt;&gt;"","")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Data'!A44:L46,'Filter Cert Data'!A44:A46&lt;&gt;"","")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Data'!A48:L50,'Filter Cert Data'!A48:A50&lt;&gt;"","")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Data'!A52:L54,'Filter Cert Data'!A52:A54&lt;&gt;"","")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Data'!A56:L58,'Filter Cert Data'!A56:A58&lt;&gt;"","")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Data'!A60:L62,'Filter Cert Data'!A60:A62&lt;&gt;"","")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100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100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109</v>
      </c>
      <c r="B56" s="156" t="s">
        <v>110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111</v>
      </c>
      <c r="B60" s="144" t="str">
        <f>Worksheet!O47</f>
        <v/>
      </c>
      <c r="C60" s="144"/>
    </row>
    <row r="61" spans="1:27" ht="12" customHeight="1" x14ac:dyDescent="0.25">
      <c r="A61" s="154" t="str">
        <f>IF(Worksheet!D11="YES",'CERT AL'!A89,"")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100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7" spans="1:16" x14ac:dyDescent="0.25">
      <c r="A67" s="65" t="s">
        <v>112</v>
      </c>
    </row>
    <row r="68" spans="1:16" x14ac:dyDescent="0.25">
      <c r="A68" s="153" t="s">
        <v>113</v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6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6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6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6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6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6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6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6" x14ac:dyDescent="0.25">
      <c r="A78" s="65" t="s">
        <v>114</v>
      </c>
    </row>
    <row r="79" spans="1:16" ht="15" customHeight="1" x14ac:dyDescent="0.25">
      <c r="A79" s="153" t="s">
        <v>115</v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24"/>
    </row>
    <row r="80" spans="1:16" x14ac:dyDescent="0.25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24"/>
    </row>
    <row r="81" spans="1:16" x14ac:dyDescent="0.25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24"/>
    </row>
    <row r="82" spans="1:16" x14ac:dyDescent="0.25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24"/>
    </row>
    <row r="83" spans="1:16" x14ac:dyDescent="0.25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24"/>
    </row>
    <row r="84" spans="1:16" x14ac:dyDescent="0.25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24"/>
    </row>
    <row r="85" spans="1:16" x14ac:dyDescent="0.25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24"/>
    </row>
    <row r="86" spans="1:16" x14ac:dyDescent="0.2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24"/>
    </row>
    <row r="88" spans="1:16" x14ac:dyDescent="0.25">
      <c r="A88" s="65" t="s">
        <v>125</v>
      </c>
    </row>
    <row r="89" spans="1:16" x14ac:dyDescent="0.25">
      <c r="A89" s="153" t="s">
        <v>126</v>
      </c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</row>
    <row r="90" spans="1:16" x14ac:dyDescent="0.25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139</v>
      </c>
      <c r="D2" s="109" t="s">
        <v>140</v>
      </c>
      <c r="H2" s="109" t="s">
        <v>141</v>
      </c>
      <c r="I2" s="109" t="s">
        <v>142</v>
      </c>
      <c r="J2" s="157" t="s">
        <v>1119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143</v>
      </c>
      <c r="D3" t="s">
        <v>144</v>
      </c>
      <c r="H3" s="25" t="s">
        <v>116</v>
      </c>
      <c r="I3" t="s">
        <v>145</v>
      </c>
      <c r="J3" t="s">
        <v>110</v>
      </c>
    </row>
    <row r="4" spans="2:35" ht="15" customHeight="1" x14ac:dyDescent="0.25">
      <c r="B4" t="s">
        <v>146</v>
      </c>
      <c r="D4" t="s">
        <v>10</v>
      </c>
      <c r="H4" t="s">
        <v>117</v>
      </c>
      <c r="I4" t="s">
        <v>145</v>
      </c>
      <c r="J4" t="s">
        <v>118</v>
      </c>
    </row>
    <row r="5" spans="2:35" x14ac:dyDescent="0.25">
      <c r="B5" t="s">
        <v>147</v>
      </c>
      <c r="H5" t="s">
        <v>119</v>
      </c>
      <c r="I5" t="s">
        <v>145</v>
      </c>
      <c r="J5" t="s">
        <v>120</v>
      </c>
    </row>
    <row r="6" spans="2:35" x14ac:dyDescent="0.25">
      <c r="H6" t="s">
        <v>121</v>
      </c>
      <c r="I6" t="s">
        <v>145</v>
      </c>
      <c r="J6" t="s">
        <v>122</v>
      </c>
    </row>
    <row r="7" spans="2:35" x14ac:dyDescent="0.25">
      <c r="H7" t="s">
        <v>123</v>
      </c>
      <c r="I7" t="s">
        <v>148</v>
      </c>
      <c r="J7" t="s">
        <v>124</v>
      </c>
    </row>
    <row r="8" spans="2:35" x14ac:dyDescent="0.25">
      <c r="H8" t="s">
        <v>149</v>
      </c>
      <c r="I8" t="s">
        <v>145</v>
      </c>
      <c r="J8" t="s">
        <v>127</v>
      </c>
    </row>
    <row r="10" spans="2:35" x14ac:dyDescent="0.25">
      <c r="B10" s="109" t="s">
        <v>150</v>
      </c>
    </row>
    <row r="12" spans="2:35" x14ac:dyDescent="0.25">
      <c r="B12" t="str" cm="1">
        <f t="array" ref="B12:B24">Thresholds[Scale]</f>
        <v>HRA</v>
      </c>
      <c r="H12" s="109" t="s">
        <v>151</v>
      </c>
      <c r="I12" s="109" t="s">
        <v>152</v>
      </c>
      <c r="J12" s="157" t="s">
        <v>1118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131</v>
      </c>
      <c r="I13" t="s">
        <v>153</v>
      </c>
      <c r="J13" t="s">
        <v>130</v>
      </c>
    </row>
    <row r="14" spans="2:35" x14ac:dyDescent="0.25">
      <c r="B14" t="str">
        <v>HRC</v>
      </c>
      <c r="H14" t="s">
        <v>132</v>
      </c>
      <c r="I14" t="s">
        <v>148</v>
      </c>
      <c r="J14" t="s">
        <v>133</v>
      </c>
    </row>
    <row r="15" spans="2:35" x14ac:dyDescent="0.25">
      <c r="B15" t="str">
        <v>HREW</v>
      </c>
      <c r="H15" t="s">
        <v>134</v>
      </c>
      <c r="I15" t="s">
        <v>153</v>
      </c>
      <c r="J15" t="s">
        <v>135</v>
      </c>
    </row>
    <row r="16" spans="2:35" x14ac:dyDescent="0.25">
      <c r="B16" t="str">
        <v>HRFW</v>
      </c>
      <c r="I16" t="s">
        <v>154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155</v>
      </c>
      <c r="I18" t="s">
        <v>1120</v>
      </c>
    </row>
    <row r="19" spans="2:14" ht="15.75" thickBot="1" x14ac:dyDescent="0.3">
      <c r="B19" t="str">
        <v>HR30N</v>
      </c>
      <c r="D19" s="86" t="s">
        <v>156</v>
      </c>
      <c r="E19" s="87" t="s">
        <v>157</v>
      </c>
      <c r="F19" s="86" t="s">
        <v>158</v>
      </c>
      <c r="G19" s="87" t="s">
        <v>159</v>
      </c>
      <c r="I19" s="85" t="s">
        <v>160</v>
      </c>
      <c r="J19" s="85" t="s">
        <v>161</v>
      </c>
      <c r="K19" s="85" t="s">
        <v>162</v>
      </c>
      <c r="L19" s="85" t="s">
        <v>163</v>
      </c>
      <c r="N19" s="88" t="s">
        <v>164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21" workbookViewId="0">
      <selection activeCell="E41" sqref="E41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</row>
    <row r="2" spans="1:10" x14ac:dyDescent="0.25">
      <c r="A2" t="s">
        <v>175</v>
      </c>
      <c r="B2" s="31" t="s">
        <v>176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177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178</v>
      </c>
      <c r="B3" s="33" t="s">
        <v>176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177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179</v>
      </c>
      <c r="B4" s="33" t="s">
        <v>176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177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180</v>
      </c>
      <c r="B5" s="33" t="s">
        <v>176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181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182</v>
      </c>
      <c r="B6" s="33" t="s">
        <v>176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181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183</v>
      </c>
      <c r="B7" s="33" t="s">
        <v>176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181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184</v>
      </c>
      <c r="B8" s="33" t="s">
        <v>176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185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186</v>
      </c>
      <c r="B9" s="33" t="s">
        <v>176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185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187</v>
      </c>
      <c r="B10" s="33" t="s">
        <v>176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185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188</v>
      </c>
      <c r="B11" s="33" t="s">
        <v>176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189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190</v>
      </c>
      <c r="B12" s="33" t="s">
        <v>176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189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191</v>
      </c>
      <c r="B13" s="33" t="s">
        <v>176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189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192</v>
      </c>
      <c r="B14" s="33" t="s">
        <v>176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193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194</v>
      </c>
      <c r="B15" s="33" t="s">
        <v>176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193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195</v>
      </c>
      <c r="B16" s="33" t="s">
        <v>176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193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196</v>
      </c>
      <c r="B17" s="33" t="s">
        <v>176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197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198</v>
      </c>
      <c r="B18" s="33" t="s">
        <v>176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197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199</v>
      </c>
      <c r="B19" s="33" t="s">
        <v>176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200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201</v>
      </c>
      <c r="B20" s="33" t="s">
        <v>176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200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202</v>
      </c>
      <c r="B21" s="33" t="s">
        <v>176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200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203</v>
      </c>
      <c r="B22" s="33" t="s">
        <v>176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204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205</v>
      </c>
      <c r="B23" s="33" t="s">
        <v>176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204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206</v>
      </c>
      <c r="B24" s="33" t="s">
        <v>176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204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207</v>
      </c>
      <c r="B25" s="33" t="s">
        <v>176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208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209</v>
      </c>
      <c r="B26" s="33" t="s">
        <v>176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208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210</v>
      </c>
      <c r="B27" s="33" t="s">
        <v>176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208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211</v>
      </c>
      <c r="B28" s="33" t="s">
        <v>176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212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213</v>
      </c>
      <c r="B29" s="33" t="s">
        <v>176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212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214</v>
      </c>
      <c r="B30" s="33" t="s">
        <v>176</v>
      </c>
      <c r="C30">
        <v>0.1</v>
      </c>
      <c r="D30">
        <v>0.32</v>
      </c>
      <c r="E30">
        <v>0</v>
      </c>
      <c r="F30">
        <v>0.29579991959691171</v>
      </c>
      <c r="G30">
        <v>0</v>
      </c>
      <c r="H30">
        <v>1</v>
      </c>
      <c r="I30" t="s">
        <v>212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215</v>
      </c>
      <c r="B31" s="33" t="s">
        <v>176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216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217</v>
      </c>
      <c r="B32" s="33" t="s">
        <v>176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216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218</v>
      </c>
      <c r="B33" s="33" t="s">
        <v>176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216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219</v>
      </c>
      <c r="B34" s="33" t="s">
        <v>176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220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221</v>
      </c>
      <c r="B35" s="33" t="s">
        <v>176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220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222</v>
      </c>
      <c r="B36" s="33" t="s">
        <v>176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220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223</v>
      </c>
      <c r="B37" s="33" t="s">
        <v>176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224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225</v>
      </c>
      <c r="B38" s="34" t="s">
        <v>176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224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sheetProtection algorithmName="SHA-512" hashValue="csVYVRpOGiaMch10D3w53yFsvQGt1xeUke1ak1/6q4s40cLuxHhisKW2+xStOS/vGRtgiQCneKnHJMLD84qawg==" saltValue="iaCIOp4dMYJc7KprBVs3kg==" spinCount="100000" sheet="1" objects="1" scenarios="1"/>
  <phoneticPr fontId="31" type="noConversion"/>
  <conditionalFormatting sqref="D2:D38 F2:F38">
    <cfRule type="containsBlanks" dxfId="2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U16"/>
  <sheetViews>
    <sheetView workbookViewId="0">
      <selection activeCell="H28" sqref="H28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5703125" bestFit="1" customWidth="1"/>
    <col min="20" max="20" width="7" bestFit="1" customWidth="1"/>
    <col min="21" max="21" width="7.85546875" bestFit="1" customWidth="1"/>
  </cols>
  <sheetData>
    <row r="1" spans="1:21" x14ac:dyDescent="0.25">
      <c r="G1" s="17"/>
      <c r="I1" s="17"/>
      <c r="J1" s="17"/>
      <c r="K1" s="17"/>
      <c r="L1" s="17"/>
      <c r="N1" s="17"/>
      <c r="O1" s="17"/>
      <c r="P1" s="17"/>
      <c r="R1" s="17"/>
      <c r="S1" s="17"/>
      <c r="T1" s="17"/>
      <c r="U1" s="17"/>
    </row>
    <row r="2" spans="1:21" ht="15.75" thickBot="1" x14ac:dyDescent="0.3">
      <c r="A2" s="17" t="s">
        <v>226</v>
      </c>
      <c r="B2" s="86" t="s">
        <v>227</v>
      </c>
      <c r="C2" s="86" t="s">
        <v>228</v>
      </c>
      <c r="D2" s="88" t="s">
        <v>229</v>
      </c>
      <c r="H2" s="17" t="s">
        <v>63</v>
      </c>
      <c r="M2" s="17" t="s">
        <v>81</v>
      </c>
      <c r="R2" s="17" t="s">
        <v>105</v>
      </c>
      <c r="S2" s="17"/>
      <c r="T2" s="17"/>
      <c r="U2" s="17"/>
    </row>
    <row r="3" spans="1:21" ht="15.75" thickTop="1" x14ac:dyDescent="0.25">
      <c r="A3" t="s">
        <v>65</v>
      </c>
      <c r="B3" t="s">
        <v>230</v>
      </c>
      <c r="C3" t="s">
        <v>231</v>
      </c>
      <c r="D3" t="s">
        <v>232</v>
      </c>
      <c r="E3" t="s">
        <v>233</v>
      </c>
      <c r="F3" t="s">
        <v>234</v>
      </c>
      <c r="H3" t="s">
        <v>65</v>
      </c>
      <c r="I3" t="s">
        <v>227</v>
      </c>
      <c r="J3" t="s">
        <v>228</v>
      </c>
      <c r="K3" t="s">
        <v>229</v>
      </c>
      <c r="M3" t="s">
        <v>24</v>
      </c>
      <c r="N3" t="s">
        <v>227</v>
      </c>
      <c r="O3" t="s">
        <v>228</v>
      </c>
      <c r="P3" t="s">
        <v>229</v>
      </c>
      <c r="R3" t="s">
        <v>65</v>
      </c>
      <c r="S3" t="s">
        <v>227</v>
      </c>
      <c r="T3" t="s">
        <v>228</v>
      </c>
      <c r="U3" t="s">
        <v>229</v>
      </c>
    </row>
    <row r="4" spans="1:21" x14ac:dyDescent="0.25">
      <c r="A4" t="s">
        <v>177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177</v>
      </c>
      <c r="I4">
        <v>1</v>
      </c>
      <c r="J4">
        <v>1</v>
      </c>
      <c r="K4">
        <v>0.5</v>
      </c>
      <c r="M4" t="s">
        <v>177</v>
      </c>
      <c r="N4">
        <v>2</v>
      </c>
      <c r="O4">
        <v>1.5</v>
      </c>
      <c r="P4">
        <v>1</v>
      </c>
      <c r="R4" t="s">
        <v>200</v>
      </c>
      <c r="S4">
        <v>0.42</v>
      </c>
      <c r="T4">
        <v>0.42</v>
      </c>
      <c r="U4">
        <v>0.51</v>
      </c>
    </row>
    <row r="5" spans="1:21" x14ac:dyDescent="0.25">
      <c r="A5" t="s">
        <v>181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181</v>
      </c>
      <c r="I5">
        <v>2.5</v>
      </c>
      <c r="J5">
        <v>2.5</v>
      </c>
      <c r="K5">
        <v>1</v>
      </c>
      <c r="M5" t="s">
        <v>181</v>
      </c>
      <c r="N5">
        <v>2</v>
      </c>
      <c r="O5">
        <v>1.5</v>
      </c>
      <c r="P5">
        <v>1.5</v>
      </c>
      <c r="R5" t="s">
        <v>212</v>
      </c>
      <c r="S5">
        <v>0.45</v>
      </c>
      <c r="T5">
        <v>0.39</v>
      </c>
      <c r="U5">
        <v>0.32</v>
      </c>
    </row>
    <row r="6" spans="1:21" x14ac:dyDescent="0.25">
      <c r="A6" t="s">
        <v>185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185</v>
      </c>
      <c r="I6">
        <v>1</v>
      </c>
      <c r="J6">
        <v>1</v>
      </c>
      <c r="K6">
        <v>0.5</v>
      </c>
      <c r="M6" t="s">
        <v>185</v>
      </c>
      <c r="N6">
        <v>2</v>
      </c>
      <c r="O6">
        <v>1.5</v>
      </c>
      <c r="P6">
        <v>1</v>
      </c>
      <c r="R6" t="s">
        <v>204</v>
      </c>
      <c r="S6">
        <v>0.3</v>
      </c>
      <c r="T6">
        <v>0.47</v>
      </c>
      <c r="U6">
        <v>0.54</v>
      </c>
    </row>
    <row r="7" spans="1:21" x14ac:dyDescent="0.25">
      <c r="A7" t="s">
        <v>189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189</v>
      </c>
      <c r="I7">
        <v>1</v>
      </c>
      <c r="J7">
        <v>1</v>
      </c>
      <c r="K7">
        <v>1</v>
      </c>
      <c r="M7" t="s">
        <v>189</v>
      </c>
      <c r="N7">
        <v>1.5</v>
      </c>
      <c r="O7">
        <v>1.5</v>
      </c>
      <c r="P7">
        <v>1</v>
      </c>
      <c r="R7" t="s">
        <v>216</v>
      </c>
      <c r="S7">
        <v>0.57999999999999996</v>
      </c>
      <c r="T7">
        <v>0.64</v>
      </c>
      <c r="U7">
        <v>0.22</v>
      </c>
    </row>
    <row r="8" spans="1:21" x14ac:dyDescent="0.25">
      <c r="A8" t="s">
        <v>193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193</v>
      </c>
      <c r="I8">
        <v>1</v>
      </c>
      <c r="J8">
        <v>1</v>
      </c>
      <c r="K8">
        <v>1</v>
      </c>
      <c r="M8" t="s">
        <v>193</v>
      </c>
      <c r="N8">
        <v>1.5</v>
      </c>
      <c r="O8">
        <v>1.5</v>
      </c>
      <c r="P8">
        <v>1</v>
      </c>
      <c r="R8" t="s">
        <v>208</v>
      </c>
      <c r="S8">
        <v>0.5</v>
      </c>
      <c r="T8">
        <v>0.25</v>
      </c>
      <c r="U8">
        <v>0.2</v>
      </c>
    </row>
    <row r="9" spans="1:21" x14ac:dyDescent="0.25">
      <c r="A9" t="s">
        <v>197</v>
      </c>
      <c r="B9" t="str">
        <f>"&lt; "&amp;Thresholds[[#This Row],[Threshold1]]</f>
        <v>&lt; 96</v>
      </c>
      <c r="C9" t="s">
        <v>235</v>
      </c>
      <c r="D9" t="str">
        <f>"≥ "&amp;Thresholds[[#This Row],[Threshold2]]</f>
        <v>≥ 96</v>
      </c>
      <c r="E9">
        <v>96</v>
      </c>
      <c r="F9">
        <v>96</v>
      </c>
      <c r="H9" t="s">
        <v>197</v>
      </c>
      <c r="I9">
        <v>1</v>
      </c>
      <c r="J9" t="e">
        <v>#N/A</v>
      </c>
      <c r="K9">
        <v>1</v>
      </c>
      <c r="M9" t="s">
        <v>197</v>
      </c>
      <c r="N9">
        <v>2</v>
      </c>
      <c r="O9" t="e">
        <v>#N/A</v>
      </c>
      <c r="P9">
        <v>1.5</v>
      </c>
      <c r="R9" t="s">
        <v>220</v>
      </c>
      <c r="S9">
        <v>0.7</v>
      </c>
      <c r="T9">
        <v>0.41</v>
      </c>
      <c r="U9">
        <v>0.39</v>
      </c>
    </row>
    <row r="10" spans="1:21" x14ac:dyDescent="0.25">
      <c r="A10" t="s">
        <v>200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200</v>
      </c>
      <c r="I10">
        <v>1</v>
      </c>
      <c r="J10">
        <v>1</v>
      </c>
      <c r="K10">
        <v>0.7</v>
      </c>
      <c r="M10" t="s">
        <v>200</v>
      </c>
      <c r="N10">
        <v>2</v>
      </c>
      <c r="O10">
        <v>1.5</v>
      </c>
      <c r="P10">
        <v>1</v>
      </c>
      <c r="R10" t="s">
        <v>177</v>
      </c>
      <c r="S10">
        <v>0.31</v>
      </c>
      <c r="T10">
        <v>0.32</v>
      </c>
      <c r="U10">
        <v>0.2</v>
      </c>
    </row>
    <row r="11" spans="1:21" x14ac:dyDescent="0.25">
      <c r="A11" t="s">
        <v>204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204</v>
      </c>
      <c r="I11">
        <v>1</v>
      </c>
      <c r="J11">
        <v>1</v>
      </c>
      <c r="K11">
        <v>0.7</v>
      </c>
      <c r="M11" t="s">
        <v>204</v>
      </c>
      <c r="N11">
        <v>2</v>
      </c>
      <c r="O11">
        <v>1.5</v>
      </c>
      <c r="P11">
        <v>1</v>
      </c>
      <c r="R11" t="s">
        <v>181</v>
      </c>
      <c r="S11">
        <v>0.36</v>
      </c>
      <c r="T11">
        <v>0.26</v>
      </c>
      <c r="U11">
        <v>0.39</v>
      </c>
    </row>
    <row r="12" spans="1:21" x14ac:dyDescent="0.25">
      <c r="A12" t="s">
        <v>208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208</v>
      </c>
      <c r="I12">
        <v>1</v>
      </c>
      <c r="J12">
        <v>1</v>
      </c>
      <c r="K12">
        <v>0.7</v>
      </c>
      <c r="M12" t="s">
        <v>208</v>
      </c>
      <c r="N12">
        <v>2</v>
      </c>
      <c r="O12">
        <v>1.5</v>
      </c>
      <c r="P12">
        <v>1</v>
      </c>
      <c r="R12" t="s">
        <v>185</v>
      </c>
      <c r="S12">
        <v>0.39</v>
      </c>
      <c r="T12">
        <v>0.34</v>
      </c>
      <c r="U12">
        <v>0.32</v>
      </c>
    </row>
    <row r="13" spans="1:21" x14ac:dyDescent="0.25">
      <c r="A13" t="s">
        <v>212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212</v>
      </c>
      <c r="I13">
        <v>1.5</v>
      </c>
      <c r="J13">
        <v>1</v>
      </c>
      <c r="K13">
        <v>1</v>
      </c>
      <c r="M13" t="s">
        <v>212</v>
      </c>
      <c r="N13">
        <v>2</v>
      </c>
      <c r="O13">
        <v>1.5</v>
      </c>
      <c r="P13">
        <v>1.5</v>
      </c>
      <c r="R13" t="s">
        <v>189</v>
      </c>
      <c r="S13">
        <v>0.39</v>
      </c>
      <c r="T13">
        <v>0.49</v>
      </c>
      <c r="U13">
        <v>0.49</v>
      </c>
    </row>
    <row r="14" spans="1:21" x14ac:dyDescent="0.25">
      <c r="A14" t="s">
        <v>216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216</v>
      </c>
      <c r="I14">
        <v>1.5</v>
      </c>
      <c r="J14">
        <v>1</v>
      </c>
      <c r="K14">
        <v>1</v>
      </c>
      <c r="M14" t="s">
        <v>216</v>
      </c>
      <c r="N14">
        <v>2</v>
      </c>
      <c r="O14">
        <v>1.5</v>
      </c>
      <c r="P14">
        <v>1.5</v>
      </c>
      <c r="R14" t="s">
        <v>193</v>
      </c>
      <c r="S14">
        <v>0.28000000000000003</v>
      </c>
      <c r="T14">
        <v>0.47</v>
      </c>
      <c r="U14">
        <v>0.45</v>
      </c>
    </row>
    <row r="15" spans="1:21" x14ac:dyDescent="0.25">
      <c r="A15" t="s">
        <v>220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220</v>
      </c>
      <c r="I15">
        <v>1.5</v>
      </c>
      <c r="J15">
        <v>1</v>
      </c>
      <c r="K15">
        <v>1</v>
      </c>
      <c r="M15" t="s">
        <v>220</v>
      </c>
      <c r="N15">
        <v>2</v>
      </c>
      <c r="O15">
        <v>1.5</v>
      </c>
      <c r="P15">
        <v>1.5</v>
      </c>
      <c r="R15" t="s">
        <v>197</v>
      </c>
      <c r="S15">
        <v>0.45</v>
      </c>
      <c r="U15">
        <v>0.36</v>
      </c>
    </row>
    <row r="16" spans="1:21" x14ac:dyDescent="0.25">
      <c r="A16" t="s">
        <v>224</v>
      </c>
      <c r="B16" t="s">
        <v>235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224</v>
      </c>
      <c r="I16" t="e">
        <v>#N/A</v>
      </c>
      <c r="J16">
        <v>1</v>
      </c>
      <c r="K16">
        <v>1</v>
      </c>
      <c r="M16" t="s">
        <v>224</v>
      </c>
      <c r="N16" t="e">
        <f>NA()</f>
        <v>#N/A</v>
      </c>
      <c r="O16">
        <v>2</v>
      </c>
      <c r="P16">
        <v>2</v>
      </c>
      <c r="R16" t="s">
        <v>224</v>
      </c>
      <c r="T16">
        <v>0.44</v>
      </c>
      <c r="U16">
        <v>0.55000000000000004</v>
      </c>
    </row>
  </sheetData>
  <sheetProtection algorithmName="SHA-512" hashValue="CRMQ265n1XgHc0Ze3B/cSjYbB37iaP7kje9ZBeFraKeyKNFTx3lmRNUFWGKcgxW3V5TeyqnoqLKUjVFc62+TjQ==" saltValue="ZWQnEKggxJ9FT314dGg1eg==" spinCount="100000" sheet="1" objects="1" scenarios="1"/>
  <phoneticPr fontId="31" type="noConversion"/>
  <conditionalFormatting sqref="B4:D16">
    <cfRule type="cellIs" dxfId="26" priority="7" operator="equal">
      <formula>"no test"</formula>
    </cfRule>
  </conditionalFormatting>
  <conditionalFormatting sqref="I4:K16">
    <cfRule type="cellIs" dxfId="25" priority="6" operator="equal">
      <formula>""</formula>
    </cfRule>
  </conditionalFormatting>
  <conditionalFormatting sqref="N4:P16">
    <cfRule type="cellIs" dxfId="24" priority="5" operator="equal">
      <formula>""</formula>
    </cfRule>
  </conditionalFormatting>
  <conditionalFormatting sqref="I4:K16 N4:P16">
    <cfRule type="containsErrors" dxfId="23" priority="8">
      <formula>ISERROR(I4)</formula>
    </cfRule>
  </conditionalFormatting>
  <conditionalFormatting sqref="R4:R16">
    <cfRule type="containsBlanks" dxfId="22" priority="9">
      <formula>LEN(TRIM(R4))=0</formula>
    </cfRule>
  </conditionalFormatting>
  <conditionalFormatting sqref="O9">
    <cfRule type="cellIs" dxfId="21" priority="1" operator="equal">
      <formula>""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B29" sqref="B29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160</v>
      </c>
      <c r="B1" t="s">
        <v>236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</row>
    <row r="2" spans="1:7" x14ac:dyDescent="0.25">
      <c r="A2" t="s">
        <v>242</v>
      </c>
      <c r="B2" t="s">
        <v>243</v>
      </c>
      <c r="C2" t="s">
        <v>244</v>
      </c>
      <c r="D2" t="s">
        <v>245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246</v>
      </c>
      <c r="B3" t="s">
        <v>247</v>
      </c>
      <c r="C3" t="s">
        <v>248</v>
      </c>
      <c r="D3" t="s">
        <v>249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246</v>
      </c>
      <c r="B4" t="s">
        <v>250</v>
      </c>
      <c r="C4" t="s">
        <v>248</v>
      </c>
      <c r="D4" t="s">
        <v>249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251</v>
      </c>
      <c r="B5" t="s">
        <v>252</v>
      </c>
      <c r="C5" t="s">
        <v>253</v>
      </c>
      <c r="D5" t="s">
        <v>254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255</v>
      </c>
      <c r="B6" t="s">
        <v>256</v>
      </c>
      <c r="C6" t="s">
        <v>257</v>
      </c>
      <c r="D6" t="s">
        <v>258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259</v>
      </c>
      <c r="B7" t="s">
        <v>260</v>
      </c>
      <c r="C7" t="s">
        <v>261</v>
      </c>
      <c r="D7" t="s">
        <v>262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263</v>
      </c>
      <c r="B8" t="s">
        <v>264</v>
      </c>
      <c r="C8" t="s">
        <v>261</v>
      </c>
      <c r="D8" t="s">
        <v>265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263</v>
      </c>
      <c r="B9" t="s">
        <v>264</v>
      </c>
      <c r="C9" t="s">
        <v>261</v>
      </c>
      <c r="D9" t="s">
        <v>266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267</v>
      </c>
      <c r="B10" t="s">
        <v>268</v>
      </c>
      <c r="C10" t="s">
        <v>261</v>
      </c>
      <c r="D10" t="s">
        <v>265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267</v>
      </c>
      <c r="B11" t="s">
        <v>269</v>
      </c>
      <c r="C11" t="s">
        <v>270</v>
      </c>
      <c r="D11" t="s">
        <v>265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267</v>
      </c>
      <c r="B12" t="s">
        <v>269</v>
      </c>
      <c r="C12" t="s">
        <v>270</v>
      </c>
      <c r="D12" t="s">
        <v>271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272</v>
      </c>
      <c r="B13" t="s">
        <v>273</v>
      </c>
      <c r="C13" t="s">
        <v>274</v>
      </c>
      <c r="D13" t="s">
        <v>275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276</v>
      </c>
      <c r="B14" t="s">
        <v>277</v>
      </c>
      <c r="C14" t="s">
        <v>278</v>
      </c>
      <c r="D14" t="s">
        <v>279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280</v>
      </c>
      <c r="B15" t="s">
        <v>281</v>
      </c>
      <c r="C15" t="s">
        <v>282</v>
      </c>
      <c r="D15" t="s">
        <v>283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284</v>
      </c>
      <c r="C16" t="s">
        <v>285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286</v>
      </c>
      <c r="B17" t="s">
        <v>287</v>
      </c>
      <c r="C17" t="s">
        <v>288</v>
      </c>
      <c r="D17" t="s">
        <v>289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286</v>
      </c>
      <c r="B18" t="s">
        <v>290</v>
      </c>
      <c r="C18" t="s">
        <v>291</v>
      </c>
      <c r="D18" t="s">
        <v>289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292</v>
      </c>
      <c r="B19" t="s">
        <v>293</v>
      </c>
      <c r="C19" t="s">
        <v>294</v>
      </c>
      <c r="D19" t="s">
        <v>295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292</v>
      </c>
      <c r="B20" t="s">
        <v>296</v>
      </c>
      <c r="C20" t="s">
        <v>297</v>
      </c>
      <c r="D20" t="s">
        <v>295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298</v>
      </c>
      <c r="B21" t="s">
        <v>299</v>
      </c>
      <c r="C21" t="s">
        <v>300</v>
      </c>
      <c r="D21" t="s">
        <v>301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302</v>
      </c>
      <c r="B22" t="s">
        <v>303</v>
      </c>
      <c r="C22" t="s">
        <v>304</v>
      </c>
      <c r="D22" t="s">
        <v>305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302</v>
      </c>
      <c r="B23" t="s">
        <v>303</v>
      </c>
      <c r="C23" t="s">
        <v>304</v>
      </c>
      <c r="D23" t="s">
        <v>306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307</v>
      </c>
      <c r="B24" t="s">
        <v>308</v>
      </c>
      <c r="C24" t="s">
        <v>309</v>
      </c>
      <c r="D24" t="s">
        <v>310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307</v>
      </c>
      <c r="B25" t="s">
        <v>311</v>
      </c>
      <c r="C25" t="s">
        <v>309</v>
      </c>
      <c r="D25" t="s">
        <v>310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307</v>
      </c>
      <c r="B26" t="s">
        <v>311</v>
      </c>
      <c r="C26" t="s">
        <v>309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312</v>
      </c>
      <c r="B27" t="s">
        <v>313</v>
      </c>
      <c r="C27" t="s">
        <v>314</v>
      </c>
      <c r="D27" t="s">
        <v>315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312</v>
      </c>
      <c r="B28" t="s">
        <v>311</v>
      </c>
      <c r="C28" t="s">
        <v>309</v>
      </c>
      <c r="D28" t="s">
        <v>310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316</v>
      </c>
      <c r="B29" t="s">
        <v>317</v>
      </c>
      <c r="C29" t="s">
        <v>318</v>
      </c>
      <c r="D29" t="s">
        <v>319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320</v>
      </c>
      <c r="C30" t="s">
        <v>285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321</v>
      </c>
      <c r="B31" t="s">
        <v>322</v>
      </c>
      <c r="C31" t="s">
        <v>323</v>
      </c>
      <c r="D31" t="s">
        <v>324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325</v>
      </c>
      <c r="B32" t="s">
        <v>326</v>
      </c>
      <c r="C32" t="s">
        <v>327</v>
      </c>
      <c r="D32" t="s">
        <v>328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325</v>
      </c>
      <c r="B33" t="s">
        <v>329</v>
      </c>
      <c r="C33" t="s">
        <v>327</v>
      </c>
      <c r="D33" t="s">
        <v>328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330</v>
      </c>
      <c r="C34" t="s">
        <v>285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331</v>
      </c>
      <c r="B35" t="s">
        <v>332</v>
      </c>
      <c r="C35" t="s">
        <v>333</v>
      </c>
      <c r="D35" t="s">
        <v>334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335</v>
      </c>
      <c r="B36" t="s">
        <v>336</v>
      </c>
      <c r="C36" t="s">
        <v>337</v>
      </c>
      <c r="D36" t="s">
        <v>338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339</v>
      </c>
      <c r="B37" t="s">
        <v>340</v>
      </c>
      <c r="C37" t="s">
        <v>341</v>
      </c>
      <c r="D37" t="s">
        <v>342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339</v>
      </c>
      <c r="B38" t="s">
        <v>343</v>
      </c>
      <c r="C38" t="s">
        <v>341</v>
      </c>
      <c r="D38" t="s">
        <v>342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339</v>
      </c>
      <c r="B39" t="s">
        <v>343</v>
      </c>
      <c r="C39" t="s">
        <v>341</v>
      </c>
      <c r="D39" t="s">
        <v>344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345</v>
      </c>
      <c r="B40" t="s">
        <v>346</v>
      </c>
      <c r="C40" t="s">
        <v>347</v>
      </c>
      <c r="D40" t="s">
        <v>348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345</v>
      </c>
      <c r="B41" t="s">
        <v>349</v>
      </c>
      <c r="C41" t="s">
        <v>350</v>
      </c>
      <c r="D41" t="s">
        <v>348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351</v>
      </c>
      <c r="C42" t="s">
        <v>285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352</v>
      </c>
      <c r="B43" t="s">
        <v>353</v>
      </c>
      <c r="C43" t="s">
        <v>261</v>
      </c>
      <c r="D43" t="s">
        <v>354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352</v>
      </c>
      <c r="B44" t="s">
        <v>353</v>
      </c>
      <c r="C44" t="s">
        <v>261</v>
      </c>
      <c r="D44" t="s">
        <v>355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356</v>
      </c>
      <c r="B45" t="s">
        <v>357</v>
      </c>
      <c r="C45" t="s">
        <v>358</v>
      </c>
      <c r="D45" t="s">
        <v>359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356</v>
      </c>
      <c r="B46" t="s">
        <v>360</v>
      </c>
      <c r="C46" t="s">
        <v>358</v>
      </c>
      <c r="D46" t="s">
        <v>359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356</v>
      </c>
      <c r="C47" t="s">
        <v>285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361</v>
      </c>
      <c r="B48" t="s">
        <v>362</v>
      </c>
      <c r="C48" t="s">
        <v>363</v>
      </c>
      <c r="D48" t="s">
        <v>364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365</v>
      </c>
      <c r="B49" t="s">
        <v>366</v>
      </c>
      <c r="C49" t="s">
        <v>367</v>
      </c>
      <c r="D49" t="s">
        <v>368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365</v>
      </c>
      <c r="C50" t="s">
        <v>285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369</v>
      </c>
      <c r="B51" t="s">
        <v>370</v>
      </c>
      <c r="C51" t="s">
        <v>371</v>
      </c>
      <c r="D51" t="s">
        <v>372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369</v>
      </c>
      <c r="B52" t="s">
        <v>370</v>
      </c>
      <c r="C52" t="s">
        <v>371</v>
      </c>
      <c r="D52" t="s">
        <v>373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374</v>
      </c>
      <c r="B53" t="s">
        <v>375</v>
      </c>
      <c r="C53" t="s">
        <v>376</v>
      </c>
      <c r="D53" t="s">
        <v>377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378</v>
      </c>
      <c r="B54" t="s">
        <v>379</v>
      </c>
      <c r="C54" t="s">
        <v>380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378</v>
      </c>
      <c r="B55" t="s">
        <v>381</v>
      </c>
      <c r="C55" t="s">
        <v>382</v>
      </c>
      <c r="D55" t="s">
        <v>383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378</v>
      </c>
      <c r="C56" t="s">
        <v>285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384</v>
      </c>
      <c r="B57" t="s">
        <v>385</v>
      </c>
      <c r="C57" t="s">
        <v>386</v>
      </c>
      <c r="D57" t="s">
        <v>387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384</v>
      </c>
      <c r="B58" t="s">
        <v>388</v>
      </c>
      <c r="C58" t="s">
        <v>261</v>
      </c>
      <c r="D58" t="s">
        <v>387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389</v>
      </c>
      <c r="B59" t="s">
        <v>390</v>
      </c>
      <c r="C59" t="s">
        <v>386</v>
      </c>
      <c r="D59" t="s">
        <v>387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391</v>
      </c>
      <c r="B60" t="s">
        <v>392</v>
      </c>
      <c r="C60" t="s">
        <v>376</v>
      </c>
      <c r="D60" t="s">
        <v>393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394</v>
      </c>
      <c r="B61" t="s">
        <v>395</v>
      </c>
      <c r="C61" t="s">
        <v>396</v>
      </c>
      <c r="D61" t="s">
        <v>397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394</v>
      </c>
      <c r="B62" t="s">
        <v>398</v>
      </c>
      <c r="C62" t="s">
        <v>396</v>
      </c>
      <c r="D62" t="s">
        <v>397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399</v>
      </c>
      <c r="B63" t="s">
        <v>400</v>
      </c>
      <c r="C63" t="s">
        <v>244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401</v>
      </c>
      <c r="C64" t="s">
        <v>285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402</v>
      </c>
      <c r="B65" t="s">
        <v>403</v>
      </c>
      <c r="C65" t="s">
        <v>404</v>
      </c>
      <c r="D65" t="s">
        <v>405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402</v>
      </c>
      <c r="B66" t="s">
        <v>406</v>
      </c>
      <c r="C66" t="s">
        <v>341</v>
      </c>
      <c r="D66" t="s">
        <v>405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402</v>
      </c>
      <c r="B67" t="s">
        <v>407</v>
      </c>
      <c r="C67" t="s">
        <v>367</v>
      </c>
      <c r="D67" t="s">
        <v>405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408</v>
      </c>
      <c r="B68" t="s">
        <v>409</v>
      </c>
      <c r="C68" t="s">
        <v>261</v>
      </c>
      <c r="D68" t="s">
        <v>410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411</v>
      </c>
      <c r="B69" t="s">
        <v>412</v>
      </c>
      <c r="C69" t="s">
        <v>413</v>
      </c>
      <c r="D69" t="s">
        <v>414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411</v>
      </c>
      <c r="B70" t="s">
        <v>412</v>
      </c>
      <c r="C70" t="s">
        <v>413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415</v>
      </c>
      <c r="B71" t="s">
        <v>416</v>
      </c>
      <c r="C71" t="s">
        <v>386</v>
      </c>
      <c r="D71" t="s">
        <v>417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418</v>
      </c>
      <c r="B72" t="s">
        <v>419</v>
      </c>
      <c r="C72" t="s">
        <v>282</v>
      </c>
      <c r="D72" t="s">
        <v>420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421</v>
      </c>
      <c r="B73" t="s">
        <v>422</v>
      </c>
      <c r="C73" t="s">
        <v>423</v>
      </c>
      <c r="D73" t="s">
        <v>424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425</v>
      </c>
      <c r="B74" t="s">
        <v>426</v>
      </c>
      <c r="C74" t="s">
        <v>278</v>
      </c>
      <c r="D74" t="s">
        <v>427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428</v>
      </c>
      <c r="B75" t="s">
        <v>429</v>
      </c>
      <c r="C75" t="s">
        <v>367</v>
      </c>
      <c r="D75" t="s">
        <v>430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428</v>
      </c>
      <c r="B76" t="s">
        <v>431</v>
      </c>
      <c r="C76" t="s">
        <v>367</v>
      </c>
      <c r="D76" t="s">
        <v>430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428</v>
      </c>
      <c r="B77" t="s">
        <v>432</v>
      </c>
      <c r="C77" t="s">
        <v>278</v>
      </c>
      <c r="D77" t="s">
        <v>433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434</v>
      </c>
      <c r="B78" t="s">
        <v>435</v>
      </c>
      <c r="C78" t="s">
        <v>436</v>
      </c>
      <c r="D78" t="s">
        <v>437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438</v>
      </c>
      <c r="B79" t="s">
        <v>439</v>
      </c>
      <c r="C79" t="s">
        <v>261</v>
      </c>
      <c r="D79" t="s">
        <v>440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441</v>
      </c>
      <c r="C80" t="s">
        <v>285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442</v>
      </c>
      <c r="B81" t="s">
        <v>443</v>
      </c>
      <c r="C81" t="s">
        <v>444</v>
      </c>
      <c r="D81" t="s">
        <v>445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446</v>
      </c>
      <c r="B82" t="s">
        <v>447</v>
      </c>
      <c r="C82" t="s">
        <v>448</v>
      </c>
      <c r="D82" t="s">
        <v>449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446</v>
      </c>
      <c r="B83" t="s">
        <v>450</v>
      </c>
      <c r="C83" t="s">
        <v>304</v>
      </c>
      <c r="D83" t="s">
        <v>449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451</v>
      </c>
      <c r="B84" t="s">
        <v>452</v>
      </c>
      <c r="C84" t="s">
        <v>453</v>
      </c>
      <c r="D84" t="s">
        <v>454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451</v>
      </c>
      <c r="B85" t="s">
        <v>455</v>
      </c>
      <c r="C85" t="s">
        <v>456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451</v>
      </c>
      <c r="B86" t="s">
        <v>457</v>
      </c>
      <c r="C86" t="s">
        <v>458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451</v>
      </c>
      <c r="B87" t="s">
        <v>459</v>
      </c>
      <c r="C87" t="s">
        <v>453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451</v>
      </c>
      <c r="B88" t="s">
        <v>460</v>
      </c>
      <c r="C88" t="s">
        <v>461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451</v>
      </c>
      <c r="B89" t="s">
        <v>462</v>
      </c>
      <c r="C89" t="s">
        <v>278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463</v>
      </c>
      <c r="B90" t="s">
        <v>464</v>
      </c>
      <c r="C90" t="s">
        <v>465</v>
      </c>
      <c r="D90" t="s">
        <v>466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463</v>
      </c>
      <c r="B91" t="s">
        <v>464</v>
      </c>
      <c r="C91" t="s">
        <v>465</v>
      </c>
      <c r="D91" t="s">
        <v>467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468</v>
      </c>
      <c r="B92" t="s">
        <v>469</v>
      </c>
      <c r="C92" t="s">
        <v>470</v>
      </c>
      <c r="D92" t="s">
        <v>471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468</v>
      </c>
      <c r="B93" t="s">
        <v>472</v>
      </c>
      <c r="C93" t="s">
        <v>473</v>
      </c>
      <c r="D93" t="s">
        <v>471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474</v>
      </c>
      <c r="B94" t="s">
        <v>475</v>
      </c>
      <c r="C94" t="s">
        <v>476</v>
      </c>
      <c r="D94" t="s">
        <v>477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478</v>
      </c>
      <c r="B95" t="s">
        <v>479</v>
      </c>
      <c r="C95" t="s">
        <v>386</v>
      </c>
      <c r="D95" t="s">
        <v>480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481</v>
      </c>
      <c r="B96" t="s">
        <v>482</v>
      </c>
      <c r="C96" t="s">
        <v>483</v>
      </c>
      <c r="D96" t="s">
        <v>484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485</v>
      </c>
      <c r="B97" t="s">
        <v>486</v>
      </c>
      <c r="C97" t="s">
        <v>436</v>
      </c>
      <c r="D97" t="s">
        <v>487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488</v>
      </c>
      <c r="B98" t="s">
        <v>489</v>
      </c>
      <c r="C98" t="s">
        <v>282</v>
      </c>
      <c r="D98" t="s">
        <v>490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491</v>
      </c>
      <c r="B99" t="s">
        <v>492</v>
      </c>
      <c r="C99" t="s">
        <v>278</v>
      </c>
      <c r="D99" t="s">
        <v>493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491</v>
      </c>
      <c r="B100" t="s">
        <v>431</v>
      </c>
      <c r="C100" t="s">
        <v>494</v>
      </c>
      <c r="D100" t="s">
        <v>493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495</v>
      </c>
      <c r="B101" t="s">
        <v>496</v>
      </c>
      <c r="C101" t="s">
        <v>282</v>
      </c>
      <c r="D101" t="s">
        <v>497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498</v>
      </c>
      <c r="C102" t="s">
        <v>285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499</v>
      </c>
      <c r="B103" t="s">
        <v>500</v>
      </c>
      <c r="C103" t="s">
        <v>261</v>
      </c>
      <c r="D103" t="s">
        <v>501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502</v>
      </c>
      <c r="B104" t="s">
        <v>503</v>
      </c>
      <c r="C104" t="s">
        <v>304</v>
      </c>
      <c r="D104" t="s">
        <v>504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502</v>
      </c>
      <c r="B105" t="s">
        <v>505</v>
      </c>
      <c r="C105" t="s">
        <v>506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507</v>
      </c>
      <c r="B106" t="s">
        <v>508</v>
      </c>
      <c r="C106" t="s">
        <v>261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507</v>
      </c>
      <c r="B107" t="s">
        <v>509</v>
      </c>
      <c r="C107" t="s">
        <v>261</v>
      </c>
      <c r="D107" t="s">
        <v>510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511</v>
      </c>
      <c r="B108" t="s">
        <v>512</v>
      </c>
      <c r="C108" t="s">
        <v>513</v>
      </c>
      <c r="D108" t="s">
        <v>514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515</v>
      </c>
      <c r="B109" t="s">
        <v>516</v>
      </c>
      <c r="C109" t="s">
        <v>261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517</v>
      </c>
      <c r="B110" t="s">
        <v>518</v>
      </c>
      <c r="C110" t="s">
        <v>371</v>
      </c>
      <c r="D110" t="s">
        <v>519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520</v>
      </c>
      <c r="B111" t="s">
        <v>521</v>
      </c>
      <c r="C111" t="s">
        <v>261</v>
      </c>
      <c r="D111" t="s">
        <v>522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523</v>
      </c>
      <c r="B112" t="s">
        <v>524</v>
      </c>
      <c r="C112" t="s">
        <v>371</v>
      </c>
      <c r="D112" t="s">
        <v>525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523</v>
      </c>
      <c r="B113" t="s">
        <v>526</v>
      </c>
      <c r="C113" t="s">
        <v>527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528</v>
      </c>
      <c r="B114" t="s">
        <v>529</v>
      </c>
      <c r="C114" t="s">
        <v>530</v>
      </c>
      <c r="D114" t="s">
        <v>531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532</v>
      </c>
      <c r="B115" t="s">
        <v>533</v>
      </c>
      <c r="C115" t="s">
        <v>534</v>
      </c>
      <c r="D115" t="s">
        <v>535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536</v>
      </c>
      <c r="B116" t="s">
        <v>537</v>
      </c>
      <c r="C116" t="s">
        <v>538</v>
      </c>
      <c r="D116" t="s">
        <v>539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536</v>
      </c>
      <c r="B117" t="s">
        <v>537</v>
      </c>
      <c r="C117" t="s">
        <v>540</v>
      </c>
      <c r="D117" t="s">
        <v>539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541</v>
      </c>
      <c r="B118" t="s">
        <v>542</v>
      </c>
      <c r="C118" t="s">
        <v>278</v>
      </c>
      <c r="D118" t="s">
        <v>543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544</v>
      </c>
      <c r="B119" t="s">
        <v>252</v>
      </c>
      <c r="C119" t="s">
        <v>253</v>
      </c>
      <c r="D119" t="s">
        <v>254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544</v>
      </c>
      <c r="B120" t="s">
        <v>545</v>
      </c>
      <c r="C120" t="s">
        <v>546</v>
      </c>
      <c r="D120" t="s">
        <v>547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548</v>
      </c>
      <c r="B121" t="s">
        <v>549</v>
      </c>
      <c r="C121" t="s">
        <v>278</v>
      </c>
      <c r="D121" t="s">
        <v>550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551</v>
      </c>
      <c r="B122" t="s">
        <v>552</v>
      </c>
      <c r="C122" t="s">
        <v>553</v>
      </c>
      <c r="D122" t="s">
        <v>554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551</v>
      </c>
      <c r="B123" t="s">
        <v>552</v>
      </c>
      <c r="C123" t="s">
        <v>553</v>
      </c>
      <c r="D123" t="s">
        <v>555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556</v>
      </c>
      <c r="B124" t="s">
        <v>557</v>
      </c>
      <c r="C124" t="s">
        <v>558</v>
      </c>
      <c r="D124" t="s">
        <v>559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556</v>
      </c>
      <c r="B125" t="s">
        <v>557</v>
      </c>
      <c r="C125" t="s">
        <v>558</v>
      </c>
      <c r="D125" t="s">
        <v>554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560</v>
      </c>
      <c r="B126" t="s">
        <v>561</v>
      </c>
      <c r="C126" t="s">
        <v>244</v>
      </c>
      <c r="D126" t="s">
        <v>562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563</v>
      </c>
      <c r="B127" t="s">
        <v>564</v>
      </c>
      <c r="C127" t="s">
        <v>386</v>
      </c>
      <c r="D127" t="s">
        <v>565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566</v>
      </c>
      <c r="B128" t="s">
        <v>567</v>
      </c>
      <c r="C128" t="s">
        <v>568</v>
      </c>
      <c r="D128" t="s">
        <v>569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570</v>
      </c>
      <c r="B129" t="s">
        <v>571</v>
      </c>
      <c r="C129" t="s">
        <v>261</v>
      </c>
      <c r="D129" t="s">
        <v>572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573</v>
      </c>
      <c r="B130" t="s">
        <v>574</v>
      </c>
      <c r="C130" t="s">
        <v>367</v>
      </c>
      <c r="D130" t="s">
        <v>575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576</v>
      </c>
      <c r="B131" t="s">
        <v>577</v>
      </c>
      <c r="C131" t="s">
        <v>371</v>
      </c>
      <c r="D131" t="s">
        <v>578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579</v>
      </c>
      <c r="B132" t="s">
        <v>580</v>
      </c>
      <c r="C132" t="s">
        <v>458</v>
      </c>
      <c r="D132" t="s">
        <v>581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579</v>
      </c>
      <c r="B133" t="s">
        <v>582</v>
      </c>
      <c r="C133" t="s">
        <v>278</v>
      </c>
      <c r="D133" t="s">
        <v>581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583</v>
      </c>
      <c r="B134" t="s">
        <v>584</v>
      </c>
      <c r="C134" t="s">
        <v>585</v>
      </c>
      <c r="D134" t="s">
        <v>586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583</v>
      </c>
      <c r="B135" t="s">
        <v>587</v>
      </c>
      <c r="C135" t="s">
        <v>585</v>
      </c>
      <c r="D135" t="s">
        <v>586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588</v>
      </c>
      <c r="B136" t="s">
        <v>589</v>
      </c>
      <c r="C136" t="s">
        <v>590</v>
      </c>
      <c r="D136" t="s">
        <v>591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588</v>
      </c>
      <c r="B137" t="s">
        <v>592</v>
      </c>
      <c r="C137" t="s">
        <v>590</v>
      </c>
      <c r="D137" t="s">
        <v>591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593</v>
      </c>
      <c r="B138" t="s">
        <v>594</v>
      </c>
      <c r="C138" t="s">
        <v>595</v>
      </c>
      <c r="D138" t="s">
        <v>596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593</v>
      </c>
      <c r="B139" t="s">
        <v>597</v>
      </c>
      <c r="C139" t="s">
        <v>595</v>
      </c>
      <c r="D139" t="s">
        <v>596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598</v>
      </c>
      <c r="B140" t="s">
        <v>599</v>
      </c>
      <c r="C140" t="s">
        <v>282</v>
      </c>
      <c r="D140" t="s">
        <v>600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601</v>
      </c>
      <c r="B141" t="s">
        <v>602</v>
      </c>
      <c r="C141" t="s">
        <v>603</v>
      </c>
      <c r="D141" t="s">
        <v>604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605</v>
      </c>
      <c r="B142" t="s">
        <v>606</v>
      </c>
      <c r="C142" t="s">
        <v>453</v>
      </c>
      <c r="D142" t="s">
        <v>607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605</v>
      </c>
      <c r="B143" t="s">
        <v>608</v>
      </c>
      <c r="C143" t="s">
        <v>609</v>
      </c>
      <c r="D143" t="s">
        <v>607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605</v>
      </c>
      <c r="B144" t="s">
        <v>608</v>
      </c>
      <c r="C144" t="s">
        <v>609</v>
      </c>
      <c r="D144" t="s">
        <v>610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611</v>
      </c>
      <c r="B145" t="s">
        <v>612</v>
      </c>
      <c r="C145" t="s">
        <v>613</v>
      </c>
      <c r="D145" t="s">
        <v>614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615</v>
      </c>
      <c r="B146" t="s">
        <v>616</v>
      </c>
      <c r="C146" t="s">
        <v>261</v>
      </c>
      <c r="D146" t="s">
        <v>617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618</v>
      </c>
      <c r="B147" t="s">
        <v>290</v>
      </c>
      <c r="C147" t="s">
        <v>291</v>
      </c>
      <c r="D147" t="s">
        <v>289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618</v>
      </c>
      <c r="B148" t="s">
        <v>290</v>
      </c>
      <c r="C148" t="s">
        <v>291</v>
      </c>
      <c r="D148" t="s">
        <v>619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620</v>
      </c>
      <c r="B149" t="s">
        <v>621</v>
      </c>
      <c r="C149" t="s">
        <v>278</v>
      </c>
      <c r="D149" t="s">
        <v>622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623</v>
      </c>
      <c r="B150" t="s">
        <v>624</v>
      </c>
      <c r="C150" t="s">
        <v>261</v>
      </c>
      <c r="D150" t="s">
        <v>625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626</v>
      </c>
      <c r="B151" t="s">
        <v>311</v>
      </c>
      <c r="C151" t="s">
        <v>309</v>
      </c>
      <c r="D151" t="s">
        <v>310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626</v>
      </c>
      <c r="B152" t="s">
        <v>627</v>
      </c>
      <c r="C152" t="s">
        <v>628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629</v>
      </c>
      <c r="B153" t="s">
        <v>630</v>
      </c>
      <c r="C153" t="s">
        <v>278</v>
      </c>
      <c r="D153" t="s">
        <v>631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632</v>
      </c>
      <c r="B154" t="s">
        <v>633</v>
      </c>
      <c r="C154" t="s">
        <v>634</v>
      </c>
      <c r="D154" t="s">
        <v>635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636</v>
      </c>
      <c r="B155" t="s">
        <v>637</v>
      </c>
      <c r="C155" t="s">
        <v>638</v>
      </c>
      <c r="D155" t="s">
        <v>639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636</v>
      </c>
      <c r="B156" t="s">
        <v>640</v>
      </c>
      <c r="C156" t="s">
        <v>291</v>
      </c>
      <c r="D156" t="s">
        <v>639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636</v>
      </c>
      <c r="B157" t="s">
        <v>637</v>
      </c>
      <c r="C157" t="s">
        <v>638</v>
      </c>
      <c r="D157" t="s">
        <v>641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642</v>
      </c>
      <c r="B158" t="s">
        <v>643</v>
      </c>
      <c r="C158" t="s">
        <v>644</v>
      </c>
      <c r="D158" t="s">
        <v>645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646</v>
      </c>
      <c r="B159" t="s">
        <v>647</v>
      </c>
      <c r="C159" t="s">
        <v>648</v>
      </c>
      <c r="D159" t="s">
        <v>649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646</v>
      </c>
      <c r="B160" t="s">
        <v>647</v>
      </c>
      <c r="C160" t="s">
        <v>648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650</v>
      </c>
      <c r="B161" t="s">
        <v>651</v>
      </c>
      <c r="C161" t="s">
        <v>652</v>
      </c>
      <c r="D161" t="s">
        <v>653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654</v>
      </c>
      <c r="B162" t="s">
        <v>655</v>
      </c>
      <c r="C162" t="s">
        <v>656</v>
      </c>
      <c r="D162" t="s">
        <v>657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658</v>
      </c>
      <c r="B163" t="s">
        <v>659</v>
      </c>
      <c r="C163" t="s">
        <v>278</v>
      </c>
      <c r="D163" t="s">
        <v>660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661</v>
      </c>
      <c r="B164" t="s">
        <v>662</v>
      </c>
      <c r="C164" t="s">
        <v>386</v>
      </c>
      <c r="D164" t="s">
        <v>663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664</v>
      </c>
      <c r="B165" t="s">
        <v>665</v>
      </c>
      <c r="C165" t="s">
        <v>666</v>
      </c>
      <c r="D165" t="s">
        <v>667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668</v>
      </c>
      <c r="B166" t="s">
        <v>669</v>
      </c>
      <c r="C166" t="s">
        <v>670</v>
      </c>
      <c r="D166" t="s">
        <v>671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672</v>
      </c>
      <c r="B167" t="s">
        <v>673</v>
      </c>
      <c r="C167" t="s">
        <v>674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672</v>
      </c>
      <c r="B168" t="s">
        <v>675</v>
      </c>
      <c r="C168" t="s">
        <v>674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676</v>
      </c>
      <c r="B169" t="s">
        <v>677</v>
      </c>
      <c r="C169" t="s">
        <v>282</v>
      </c>
      <c r="D169" t="s">
        <v>678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679</v>
      </c>
      <c r="B170" t="s">
        <v>680</v>
      </c>
      <c r="C170" t="s">
        <v>367</v>
      </c>
      <c r="D170" t="s">
        <v>681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679</v>
      </c>
      <c r="B171" t="s">
        <v>682</v>
      </c>
      <c r="C171" t="s">
        <v>683</v>
      </c>
      <c r="D171" t="s">
        <v>681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679</v>
      </c>
      <c r="B172" t="s">
        <v>682</v>
      </c>
      <c r="C172" t="s">
        <v>683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684</v>
      </c>
      <c r="B173" t="s">
        <v>685</v>
      </c>
      <c r="C173" t="s">
        <v>278</v>
      </c>
      <c r="D173" t="s">
        <v>686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687</v>
      </c>
      <c r="B174" t="s">
        <v>688</v>
      </c>
      <c r="C174" t="s">
        <v>386</v>
      </c>
      <c r="D174" t="s">
        <v>689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690</v>
      </c>
      <c r="B175" t="s">
        <v>370</v>
      </c>
      <c r="C175" t="s">
        <v>371</v>
      </c>
      <c r="D175" t="s">
        <v>373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690</v>
      </c>
      <c r="B176" t="s">
        <v>691</v>
      </c>
      <c r="C176" t="s">
        <v>261</v>
      </c>
      <c r="D176" t="s">
        <v>373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692</v>
      </c>
      <c r="B177" t="s">
        <v>693</v>
      </c>
      <c r="C177" t="s">
        <v>694</v>
      </c>
      <c r="D177" t="s">
        <v>695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692</v>
      </c>
      <c r="B178" t="s">
        <v>696</v>
      </c>
      <c r="C178" t="s">
        <v>694</v>
      </c>
      <c r="D178" t="s">
        <v>695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697</v>
      </c>
      <c r="B179" t="s">
        <v>698</v>
      </c>
      <c r="C179" t="s">
        <v>699</v>
      </c>
      <c r="D179" t="s">
        <v>700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701</v>
      </c>
      <c r="B180" t="s">
        <v>702</v>
      </c>
      <c r="C180" t="s">
        <v>703</v>
      </c>
      <c r="D180" t="s">
        <v>704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705</v>
      </c>
      <c r="B181" t="s">
        <v>706</v>
      </c>
      <c r="C181" t="s">
        <v>278</v>
      </c>
      <c r="D181" t="s">
        <v>707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708</v>
      </c>
      <c r="B182" t="s">
        <v>709</v>
      </c>
      <c r="C182" t="s">
        <v>710</v>
      </c>
      <c r="D182" t="s">
        <v>711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708</v>
      </c>
      <c r="B183" t="s">
        <v>712</v>
      </c>
      <c r="C183" t="s">
        <v>710</v>
      </c>
      <c r="D183" t="s">
        <v>711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713</v>
      </c>
      <c r="B184" t="s">
        <v>714</v>
      </c>
      <c r="C184" t="s">
        <v>715</v>
      </c>
      <c r="D184" t="s">
        <v>716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713</v>
      </c>
      <c r="B185" t="s">
        <v>714</v>
      </c>
      <c r="C185" t="s">
        <v>715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717</v>
      </c>
      <c r="B186" t="s">
        <v>718</v>
      </c>
      <c r="C186" t="s">
        <v>719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717</v>
      </c>
      <c r="B187" t="s">
        <v>720</v>
      </c>
      <c r="C187" t="s">
        <v>721</v>
      </c>
      <c r="D187" t="s">
        <v>722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723</v>
      </c>
      <c r="B188" t="s">
        <v>724</v>
      </c>
      <c r="C188" t="s">
        <v>367</v>
      </c>
      <c r="D188" t="s">
        <v>725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726</v>
      </c>
      <c r="B189" t="s">
        <v>727</v>
      </c>
      <c r="C189" t="s">
        <v>261</v>
      </c>
      <c r="D189" t="s">
        <v>728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726</v>
      </c>
      <c r="B190" t="s">
        <v>727</v>
      </c>
      <c r="C190" t="s">
        <v>729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726</v>
      </c>
      <c r="B191" t="s">
        <v>385</v>
      </c>
      <c r="C191" t="s">
        <v>729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730</v>
      </c>
      <c r="B192" t="s">
        <v>385</v>
      </c>
      <c r="C192" t="s">
        <v>386</v>
      </c>
      <c r="D192" t="s">
        <v>387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731</v>
      </c>
      <c r="B193" t="s">
        <v>732</v>
      </c>
      <c r="C193" t="s">
        <v>733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731</v>
      </c>
      <c r="B194" t="s">
        <v>734</v>
      </c>
      <c r="C194" t="s">
        <v>733</v>
      </c>
      <c r="D194" t="s">
        <v>735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736</v>
      </c>
      <c r="B195" t="s">
        <v>737</v>
      </c>
      <c r="C195" t="s">
        <v>278</v>
      </c>
      <c r="D195" t="s">
        <v>738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739</v>
      </c>
      <c r="B196" t="s">
        <v>740</v>
      </c>
      <c r="C196" t="s">
        <v>741</v>
      </c>
      <c r="D196" t="s">
        <v>742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743</v>
      </c>
      <c r="B197" t="s">
        <v>744</v>
      </c>
      <c r="C197" t="s">
        <v>745</v>
      </c>
      <c r="D197" t="s">
        <v>746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747</v>
      </c>
      <c r="B198" t="s">
        <v>748</v>
      </c>
      <c r="C198" t="s">
        <v>261</v>
      </c>
      <c r="D198" t="s">
        <v>749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750</v>
      </c>
      <c r="B199" t="s">
        <v>751</v>
      </c>
      <c r="C199" t="s">
        <v>752</v>
      </c>
      <c r="D199" t="s">
        <v>753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754</v>
      </c>
      <c r="B200" t="s">
        <v>755</v>
      </c>
      <c r="C200" t="s">
        <v>756</v>
      </c>
      <c r="D200" t="s">
        <v>757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754</v>
      </c>
      <c r="B201" t="s">
        <v>758</v>
      </c>
      <c r="C201" t="s">
        <v>494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754</v>
      </c>
      <c r="B202" t="s">
        <v>759</v>
      </c>
      <c r="C202" t="s">
        <v>494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760</v>
      </c>
      <c r="B203" t="s">
        <v>761</v>
      </c>
      <c r="C203" t="s">
        <v>304</v>
      </c>
      <c r="D203" t="s">
        <v>762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760</v>
      </c>
      <c r="B204" t="s">
        <v>763</v>
      </c>
      <c r="C204" t="s">
        <v>304</v>
      </c>
      <c r="D204" t="s">
        <v>762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764</v>
      </c>
      <c r="B205" t="s">
        <v>765</v>
      </c>
      <c r="C205" t="s">
        <v>766</v>
      </c>
      <c r="D205" t="s">
        <v>767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768</v>
      </c>
      <c r="B206" t="s">
        <v>769</v>
      </c>
      <c r="C206" t="s">
        <v>770</v>
      </c>
      <c r="D206" t="s">
        <v>771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768</v>
      </c>
      <c r="B207" t="s">
        <v>772</v>
      </c>
      <c r="C207" t="s">
        <v>770</v>
      </c>
      <c r="D207" t="s">
        <v>771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773</v>
      </c>
      <c r="B208" t="s">
        <v>774</v>
      </c>
      <c r="C208" t="s">
        <v>261</v>
      </c>
      <c r="D208" t="s">
        <v>775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776</v>
      </c>
      <c r="B209" t="s">
        <v>777</v>
      </c>
      <c r="C209" t="s">
        <v>778</v>
      </c>
      <c r="D209" t="s">
        <v>779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776</v>
      </c>
      <c r="B210" t="s">
        <v>780</v>
      </c>
      <c r="C210" t="s">
        <v>282</v>
      </c>
      <c r="D210" t="s">
        <v>779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776</v>
      </c>
      <c r="B211" t="s">
        <v>780</v>
      </c>
      <c r="C211" t="s">
        <v>778</v>
      </c>
      <c r="D211" t="s">
        <v>779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781</v>
      </c>
      <c r="B212" t="s">
        <v>782</v>
      </c>
      <c r="C212" t="s">
        <v>278</v>
      </c>
      <c r="D212" t="s">
        <v>783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784</v>
      </c>
      <c r="B213" t="s">
        <v>785</v>
      </c>
      <c r="C213" t="s">
        <v>386</v>
      </c>
      <c r="D213" t="s">
        <v>786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787</v>
      </c>
      <c r="B214" t="s">
        <v>788</v>
      </c>
      <c r="C214" t="s">
        <v>595</v>
      </c>
      <c r="D214" t="s">
        <v>789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787</v>
      </c>
      <c r="B215" t="s">
        <v>790</v>
      </c>
      <c r="C215" t="s">
        <v>595</v>
      </c>
      <c r="D215" t="s">
        <v>789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791</v>
      </c>
      <c r="B216" t="s">
        <v>792</v>
      </c>
      <c r="C216" t="s">
        <v>793</v>
      </c>
      <c r="D216" t="s">
        <v>794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795</v>
      </c>
      <c r="B217" t="s">
        <v>796</v>
      </c>
      <c r="C217" t="s">
        <v>248</v>
      </c>
      <c r="D217" t="s">
        <v>797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798</v>
      </c>
      <c r="B218" t="s">
        <v>799</v>
      </c>
      <c r="C218" t="s">
        <v>453</v>
      </c>
      <c r="D218" t="s">
        <v>800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798</v>
      </c>
      <c r="B219" t="s">
        <v>799</v>
      </c>
      <c r="C219" t="s">
        <v>453</v>
      </c>
      <c r="D219" t="s">
        <v>801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802</v>
      </c>
      <c r="B220" t="s">
        <v>803</v>
      </c>
      <c r="C220" t="s">
        <v>804</v>
      </c>
      <c r="D220" t="s">
        <v>805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806</v>
      </c>
      <c r="B221" t="s">
        <v>807</v>
      </c>
      <c r="C221" t="s">
        <v>444</v>
      </c>
      <c r="D221" t="s">
        <v>808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809</v>
      </c>
      <c r="B222" t="s">
        <v>810</v>
      </c>
      <c r="C222" t="s">
        <v>453</v>
      </c>
      <c r="D222" t="s">
        <v>811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809</v>
      </c>
      <c r="B223" t="s">
        <v>812</v>
      </c>
      <c r="C223" t="s">
        <v>453</v>
      </c>
      <c r="D223" t="s">
        <v>811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813</v>
      </c>
      <c r="B224" t="s">
        <v>814</v>
      </c>
      <c r="C224" t="s">
        <v>815</v>
      </c>
      <c r="D224" t="s">
        <v>816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813</v>
      </c>
      <c r="B225" t="s">
        <v>817</v>
      </c>
      <c r="C225" t="s">
        <v>818</v>
      </c>
      <c r="D225" t="s">
        <v>819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820</v>
      </c>
      <c r="B226" t="s">
        <v>403</v>
      </c>
      <c r="C226" t="s">
        <v>404</v>
      </c>
      <c r="D226" t="s">
        <v>449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820</v>
      </c>
      <c r="B227" t="s">
        <v>821</v>
      </c>
      <c r="C227" t="s">
        <v>494</v>
      </c>
      <c r="D227" t="s">
        <v>449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822</v>
      </c>
      <c r="B228" t="s">
        <v>823</v>
      </c>
      <c r="C228" t="s">
        <v>824</v>
      </c>
      <c r="D228" t="s">
        <v>825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826</v>
      </c>
      <c r="B229" t="s">
        <v>827</v>
      </c>
      <c r="C229" t="s">
        <v>261</v>
      </c>
      <c r="D229" t="s">
        <v>828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829</v>
      </c>
      <c r="B230" t="s">
        <v>830</v>
      </c>
      <c r="C230" t="s">
        <v>367</v>
      </c>
      <c r="D230" t="s">
        <v>831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829</v>
      </c>
      <c r="B231" t="s">
        <v>830</v>
      </c>
      <c r="C231" t="s">
        <v>367</v>
      </c>
      <c r="D231" t="s">
        <v>832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833</v>
      </c>
      <c r="B232" t="s">
        <v>834</v>
      </c>
      <c r="C232" t="s">
        <v>835</v>
      </c>
      <c r="D232" t="s">
        <v>836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249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241</v>
      </c>
      <c r="B1" s="97" t="s">
        <v>156</v>
      </c>
      <c r="C1" s="89" t="s">
        <v>157</v>
      </c>
      <c r="D1" s="93" t="s">
        <v>158</v>
      </c>
      <c r="E1" s="93" t="s">
        <v>159</v>
      </c>
      <c r="F1" s="1" t="s">
        <v>837</v>
      </c>
      <c r="G1" s="97" t="s">
        <v>838</v>
      </c>
      <c r="H1" s="89" t="s">
        <v>839</v>
      </c>
      <c r="I1" s="89" t="s">
        <v>840</v>
      </c>
      <c r="J1" s="89" t="s">
        <v>841</v>
      </c>
      <c r="K1" s="1" t="s">
        <v>842</v>
      </c>
      <c r="L1" s="1" t="s">
        <v>843</v>
      </c>
      <c r="M1" s="1" t="s">
        <v>844</v>
      </c>
      <c r="N1" s="1" t="s">
        <v>845</v>
      </c>
      <c r="O1" s="1" t="s">
        <v>846</v>
      </c>
    </row>
    <row r="2" spans="1:47" ht="15.75" thickTop="1" x14ac:dyDescent="0.25">
      <c r="A2">
        <v>57072</v>
      </c>
      <c r="B2" t="s">
        <v>886</v>
      </c>
      <c r="C2" t="s">
        <v>947</v>
      </c>
      <c r="D2" s="38">
        <v>2002</v>
      </c>
      <c r="E2" s="95" t="s">
        <v>948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886</v>
      </c>
      <c r="C3" t="s">
        <v>880</v>
      </c>
      <c r="D3" s="38" t="s">
        <v>881</v>
      </c>
      <c r="E3" s="95" t="s">
        <v>1092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886</v>
      </c>
      <c r="C4" t="s">
        <v>880</v>
      </c>
      <c r="D4" s="38" t="s">
        <v>1071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886</v>
      </c>
      <c r="C5" t="s">
        <v>880</v>
      </c>
      <c r="D5" s="38" t="s">
        <v>1071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886</v>
      </c>
      <c r="C6" t="s">
        <v>855</v>
      </c>
      <c r="D6" s="38" t="s">
        <v>926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847</v>
      </c>
      <c r="C7" t="s">
        <v>852</v>
      </c>
      <c r="D7" s="38" t="s">
        <v>853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847</v>
      </c>
      <c r="C8" t="s">
        <v>852</v>
      </c>
      <c r="D8" s="38" t="s">
        <v>853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847</v>
      </c>
      <c r="C9" t="s">
        <v>852</v>
      </c>
      <c r="D9" s="38" t="s">
        <v>853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886</v>
      </c>
      <c r="C10" t="s">
        <v>855</v>
      </c>
      <c r="D10" s="38" t="s">
        <v>913</v>
      </c>
      <c r="E10" s="94" t="s">
        <v>917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886</v>
      </c>
      <c r="C11" t="s">
        <v>1008</v>
      </c>
      <c r="D11" s="38" t="s">
        <v>1010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847</v>
      </c>
      <c r="C12" t="s">
        <v>852</v>
      </c>
      <c r="D12" s="38" t="s">
        <v>853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886</v>
      </c>
      <c r="C13" t="s">
        <v>897</v>
      </c>
      <c r="D13" s="38" t="s">
        <v>853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886</v>
      </c>
      <c r="C14" t="s">
        <v>855</v>
      </c>
      <c r="D14" s="38" t="s">
        <v>919</v>
      </c>
      <c r="E14" s="95" t="s">
        <v>920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847</v>
      </c>
      <c r="C15" t="s">
        <v>855</v>
      </c>
      <c r="D15" s="38" t="s">
        <v>856</v>
      </c>
      <c r="E15" s="95" t="s">
        <v>857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847</v>
      </c>
      <c r="C16" t="s">
        <v>855</v>
      </c>
      <c r="D16" s="38" t="s">
        <v>856</v>
      </c>
      <c r="E16" s="95" t="s">
        <v>869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886</v>
      </c>
      <c r="C17" t="s">
        <v>880</v>
      </c>
      <c r="D17" s="38" t="s">
        <v>1037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886</v>
      </c>
      <c r="C18" t="s">
        <v>938</v>
      </c>
      <c r="D18" s="38" t="s">
        <v>940</v>
      </c>
      <c r="E18" s="95" t="s">
        <v>941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886</v>
      </c>
      <c r="C19" t="s">
        <v>1006</v>
      </c>
      <c r="D19" s="38" t="s">
        <v>881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886</v>
      </c>
      <c r="C20" t="s">
        <v>880</v>
      </c>
      <c r="D20" s="38" t="s">
        <v>1035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886</v>
      </c>
      <c r="C21" t="s">
        <v>880</v>
      </c>
      <c r="D21" s="38" t="s">
        <v>881</v>
      </c>
      <c r="E21" s="95" t="s">
        <v>1094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886</v>
      </c>
      <c r="C22" t="s">
        <v>1021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847</v>
      </c>
      <c r="C23" t="s">
        <v>855</v>
      </c>
      <c r="D23" s="38" t="s">
        <v>856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886</v>
      </c>
      <c r="C24" t="s">
        <v>955</v>
      </c>
      <c r="D24" s="38" t="s">
        <v>961</v>
      </c>
      <c r="E24" s="95" t="s">
        <v>962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886</v>
      </c>
      <c r="C25" t="s">
        <v>1013</v>
      </c>
      <c r="D25" s="38" t="s">
        <v>1014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886</v>
      </c>
      <c r="C26" t="s">
        <v>880</v>
      </c>
      <c r="D26" s="38" t="s">
        <v>903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886</v>
      </c>
      <c r="C27" t="s">
        <v>880</v>
      </c>
      <c r="D27" s="38" t="s">
        <v>881</v>
      </c>
      <c r="E27" s="95" t="s">
        <v>1091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886</v>
      </c>
      <c r="C28" t="s">
        <v>880</v>
      </c>
      <c r="D28" s="38" t="s">
        <v>1060</v>
      </c>
      <c r="E28" s="95" t="s">
        <v>1063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886</v>
      </c>
      <c r="C29" t="s">
        <v>1026</v>
      </c>
      <c r="D29" s="38" t="s">
        <v>1027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847</v>
      </c>
      <c r="C30" t="s">
        <v>855</v>
      </c>
      <c r="D30" s="38" t="s">
        <v>856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847</v>
      </c>
      <c r="C31" t="s">
        <v>855</v>
      </c>
      <c r="D31" s="38" t="s">
        <v>856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847</v>
      </c>
      <c r="C32" t="s">
        <v>855</v>
      </c>
      <c r="D32" s="38" t="s">
        <v>856</v>
      </c>
      <c r="E32" s="95" t="s">
        <v>863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886</v>
      </c>
      <c r="C33" t="s">
        <v>855</v>
      </c>
      <c r="D33" s="38" t="s">
        <v>921</v>
      </c>
      <c r="E33" s="95" t="s">
        <v>925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886</v>
      </c>
      <c r="C34" t="s">
        <v>964</v>
      </c>
      <c r="D34" s="38" t="s">
        <v>968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886</v>
      </c>
      <c r="C35" t="s">
        <v>964</v>
      </c>
      <c r="D35" s="38" t="s">
        <v>969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886</v>
      </c>
      <c r="C36" t="s">
        <v>964</v>
      </c>
      <c r="D36" s="38" t="s">
        <v>973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886</v>
      </c>
      <c r="C37" t="s">
        <v>964</v>
      </c>
      <c r="D37" s="38" t="s">
        <v>973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886</v>
      </c>
      <c r="C38" t="s">
        <v>880</v>
      </c>
      <c r="D38" s="38">
        <v>574</v>
      </c>
      <c r="E38" s="95" t="s">
        <v>1033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847</v>
      </c>
      <c r="C39" t="s">
        <v>855</v>
      </c>
      <c r="D39" s="38" t="s">
        <v>856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886</v>
      </c>
      <c r="C40" t="s">
        <v>1015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847</v>
      </c>
      <c r="C41" t="s">
        <v>852</v>
      </c>
      <c r="D41" s="38" t="s">
        <v>854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847</v>
      </c>
      <c r="C42" t="s">
        <v>855</v>
      </c>
      <c r="D42" s="38" t="s">
        <v>856</v>
      </c>
      <c r="E42" s="95" t="s">
        <v>863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847</v>
      </c>
      <c r="C43" t="s">
        <v>880</v>
      </c>
      <c r="D43" s="38" t="s">
        <v>885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886</v>
      </c>
      <c r="C44" t="s">
        <v>848</v>
      </c>
      <c r="D44" s="38" t="s">
        <v>894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886</v>
      </c>
      <c r="C45" t="s">
        <v>964</v>
      </c>
      <c r="D45" s="38" t="s">
        <v>968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886</v>
      </c>
      <c r="C46" t="s">
        <v>964</v>
      </c>
      <c r="D46" s="38" t="s">
        <v>968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886</v>
      </c>
      <c r="C47" t="s">
        <v>964</v>
      </c>
      <c r="D47" s="38" t="s">
        <v>968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886</v>
      </c>
      <c r="C48" t="s">
        <v>1026</v>
      </c>
      <c r="D48" s="38" t="s">
        <v>1027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886</v>
      </c>
      <c r="C49" t="s">
        <v>1026</v>
      </c>
      <c r="D49" s="38" t="s">
        <v>1027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886</v>
      </c>
      <c r="C50" t="s">
        <v>1026</v>
      </c>
      <c r="D50" s="38" t="s">
        <v>1027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886</v>
      </c>
      <c r="C51" t="s">
        <v>1026</v>
      </c>
      <c r="D51" s="38" t="s">
        <v>1027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886</v>
      </c>
      <c r="C52" t="s">
        <v>880</v>
      </c>
      <c r="D52" s="38" t="s">
        <v>1040</v>
      </c>
      <c r="E52" s="95" t="s">
        <v>1041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886</v>
      </c>
      <c r="C53" t="s">
        <v>880</v>
      </c>
      <c r="D53" s="38" t="s">
        <v>1040</v>
      </c>
      <c r="E53" s="95" t="s">
        <v>1042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886</v>
      </c>
      <c r="C54" t="s">
        <v>880</v>
      </c>
      <c r="D54" s="38" t="s">
        <v>1047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886</v>
      </c>
      <c r="C55" t="s">
        <v>880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886</v>
      </c>
      <c r="C56" t="s">
        <v>991</v>
      </c>
      <c r="D56" s="38" t="s">
        <v>881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886</v>
      </c>
      <c r="C57" t="s">
        <v>880</v>
      </c>
      <c r="D57" s="38" t="s">
        <v>1103</v>
      </c>
      <c r="E57" s="95" t="s">
        <v>1104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886</v>
      </c>
      <c r="C58" t="s">
        <v>855</v>
      </c>
      <c r="D58" s="38" t="s">
        <v>921</v>
      </c>
      <c r="E58" s="95" t="s">
        <v>923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886</v>
      </c>
      <c r="C59" t="s">
        <v>855</v>
      </c>
      <c r="D59" s="38" t="s">
        <v>921</v>
      </c>
      <c r="E59" s="95" t="s">
        <v>924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886</v>
      </c>
      <c r="C60" t="s">
        <v>855</v>
      </c>
      <c r="D60" s="38" t="s">
        <v>933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886</v>
      </c>
      <c r="C61" t="s">
        <v>964</v>
      </c>
      <c r="D61" s="38" t="s">
        <v>989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886</v>
      </c>
      <c r="C62" t="s">
        <v>880</v>
      </c>
      <c r="D62" s="38" t="s">
        <v>903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886</v>
      </c>
      <c r="C63" t="s">
        <v>964</v>
      </c>
      <c r="D63" s="38" t="s">
        <v>985</v>
      </c>
      <c r="E63" s="95" t="s">
        <v>986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886</v>
      </c>
      <c r="C64" t="s">
        <v>964</v>
      </c>
      <c r="D64" s="38" t="s">
        <v>988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886</v>
      </c>
      <c r="C65" t="s">
        <v>848</v>
      </c>
      <c r="D65" s="38" t="s">
        <v>893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886</v>
      </c>
      <c r="C66" t="s">
        <v>880</v>
      </c>
      <c r="D66" s="38" t="s">
        <v>1117</v>
      </c>
      <c r="E66" s="95" t="s">
        <v>1116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886</v>
      </c>
      <c r="C67" t="s">
        <v>880</v>
      </c>
      <c r="D67" s="38" t="s">
        <v>1100</v>
      </c>
      <c r="E67" s="95" t="s">
        <v>1101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847</v>
      </c>
      <c r="C68" t="s">
        <v>855</v>
      </c>
      <c r="D68" s="38" t="s">
        <v>856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886</v>
      </c>
      <c r="C69" t="s">
        <v>954</v>
      </c>
      <c r="D69" s="38" t="s">
        <v>954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886</v>
      </c>
      <c r="C70" t="s">
        <v>880</v>
      </c>
      <c r="D70" s="38" t="s">
        <v>1072</v>
      </c>
      <c r="E70" s="95" t="s">
        <v>1073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886</v>
      </c>
      <c r="C71" t="s">
        <v>887</v>
      </c>
      <c r="D71" s="38" t="s">
        <v>881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886</v>
      </c>
      <c r="C72" t="s">
        <v>1015</v>
      </c>
      <c r="D72" s="38">
        <v>6814</v>
      </c>
      <c r="E72" s="95" t="s">
        <v>1019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886</v>
      </c>
      <c r="C73" t="s">
        <v>1015</v>
      </c>
      <c r="D73" s="38">
        <v>6814</v>
      </c>
      <c r="E73" s="95" t="s">
        <v>1020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886</v>
      </c>
      <c r="C74" t="s">
        <v>880</v>
      </c>
      <c r="D74" s="38" t="s">
        <v>1060</v>
      </c>
      <c r="E74" s="95" t="s">
        <v>1068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886</v>
      </c>
      <c r="C75" t="s">
        <v>880</v>
      </c>
      <c r="D75" s="38" t="s">
        <v>1082</v>
      </c>
      <c r="E75" s="95" t="s">
        <v>1083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886</v>
      </c>
      <c r="C76" t="s">
        <v>880</v>
      </c>
      <c r="D76" s="38">
        <v>500</v>
      </c>
      <c r="E76" s="95" t="s">
        <v>1031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886</v>
      </c>
      <c r="C77" t="s">
        <v>880</v>
      </c>
      <c r="D77" s="38">
        <v>4</v>
      </c>
      <c r="E77" s="95" t="s">
        <v>1030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886</v>
      </c>
      <c r="C78" t="s">
        <v>880</v>
      </c>
      <c r="D78" s="38" t="s">
        <v>1047</v>
      </c>
      <c r="E78" s="95" t="s">
        <v>1049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886</v>
      </c>
      <c r="C79" t="s">
        <v>955</v>
      </c>
      <c r="D79" s="38" t="s">
        <v>956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886</v>
      </c>
      <c r="C80" t="s">
        <v>880</v>
      </c>
      <c r="D80" s="38" t="s">
        <v>1060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886</v>
      </c>
      <c r="C81" t="s">
        <v>880</v>
      </c>
      <c r="D81" s="38" t="s">
        <v>1060</v>
      </c>
      <c r="E81" s="95" t="s">
        <v>1066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886</v>
      </c>
      <c r="C82" t="s">
        <v>855</v>
      </c>
      <c r="D82" s="38" t="s">
        <v>929</v>
      </c>
      <c r="E82" s="95" t="s">
        <v>930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886</v>
      </c>
      <c r="C83" t="s">
        <v>855</v>
      </c>
      <c r="D83" s="38" t="s">
        <v>903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886</v>
      </c>
      <c r="C84" t="s">
        <v>880</v>
      </c>
      <c r="D84" s="38" t="s">
        <v>1096</v>
      </c>
      <c r="E84" s="95" t="s">
        <v>1097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886</v>
      </c>
      <c r="C85" t="s">
        <v>855</v>
      </c>
      <c r="D85" s="38" t="s">
        <v>919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886</v>
      </c>
      <c r="C86" t="s">
        <v>993</v>
      </c>
      <c r="D86" s="38" t="s">
        <v>994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886</v>
      </c>
      <c r="C87" t="s">
        <v>880</v>
      </c>
      <c r="D87" s="38" t="s">
        <v>1100</v>
      </c>
      <c r="E87" s="95" t="s">
        <v>1102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886</v>
      </c>
      <c r="C88" t="s">
        <v>886</v>
      </c>
      <c r="D88" s="38" t="s">
        <v>881</v>
      </c>
      <c r="E88" s="95" t="s">
        <v>1007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886</v>
      </c>
      <c r="C89" t="s">
        <v>1011</v>
      </c>
      <c r="D89" s="38" t="s">
        <v>953</v>
      </c>
      <c r="E89" s="95" t="s">
        <v>1012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847</v>
      </c>
      <c r="C90" t="s">
        <v>855</v>
      </c>
      <c r="D90" s="38" t="s">
        <v>856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847</v>
      </c>
      <c r="C91" t="s">
        <v>855</v>
      </c>
      <c r="D91" s="38" t="s">
        <v>856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886</v>
      </c>
      <c r="C92" t="s">
        <v>900</v>
      </c>
      <c r="D92" s="38" t="s">
        <v>881</v>
      </c>
      <c r="E92" s="95" t="s">
        <v>901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886</v>
      </c>
      <c r="C93" t="s">
        <v>880</v>
      </c>
      <c r="D93" s="38" t="s">
        <v>1056</v>
      </c>
      <c r="E93" s="95" t="s">
        <v>1057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886</v>
      </c>
      <c r="C94" t="s">
        <v>880</v>
      </c>
      <c r="D94" s="38" t="s">
        <v>881</v>
      </c>
      <c r="E94" s="95" t="s">
        <v>1093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886</v>
      </c>
      <c r="C95" t="s">
        <v>880</v>
      </c>
      <c r="D95" s="38" t="s">
        <v>1088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886</v>
      </c>
      <c r="C96" t="s">
        <v>880</v>
      </c>
      <c r="D96" s="38" t="s">
        <v>903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886</v>
      </c>
      <c r="C97" t="s">
        <v>880</v>
      </c>
      <c r="D97" s="38" t="s">
        <v>1060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886</v>
      </c>
      <c r="C98" t="s">
        <v>880</v>
      </c>
      <c r="D98" s="38" t="s">
        <v>1060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847</v>
      </c>
      <c r="C99" t="s">
        <v>878</v>
      </c>
      <c r="D99" s="38" t="s">
        <v>879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886</v>
      </c>
      <c r="C100" t="s">
        <v>880</v>
      </c>
      <c r="D100" s="38" t="s">
        <v>1060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886</v>
      </c>
      <c r="C101" t="s">
        <v>880</v>
      </c>
      <c r="D101" s="38" t="s">
        <v>1098</v>
      </c>
      <c r="E101" s="95" t="s">
        <v>1099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847</v>
      </c>
      <c r="C102" t="s">
        <v>855</v>
      </c>
      <c r="D102" s="38" t="s">
        <v>856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847</v>
      </c>
      <c r="C103" t="s">
        <v>855</v>
      </c>
      <c r="D103" s="38" t="s">
        <v>856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847</v>
      </c>
      <c r="C104" t="s">
        <v>855</v>
      </c>
      <c r="D104" s="38" t="s">
        <v>856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847</v>
      </c>
      <c r="C105" t="s">
        <v>855</v>
      </c>
      <c r="D105" s="38" t="s">
        <v>871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847</v>
      </c>
      <c r="C106" t="s">
        <v>878</v>
      </c>
      <c r="D106" s="38" t="s">
        <v>879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886</v>
      </c>
      <c r="C107" t="s">
        <v>855</v>
      </c>
      <c r="D107" s="38" t="s">
        <v>871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886</v>
      </c>
      <c r="C108" t="s">
        <v>1113</v>
      </c>
      <c r="D108" s="38" t="s">
        <v>1114</v>
      </c>
      <c r="E108" s="95" t="s">
        <v>1115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886</v>
      </c>
      <c r="C109" t="s">
        <v>964</v>
      </c>
      <c r="D109" s="38" t="s">
        <v>965</v>
      </c>
      <c r="E109" s="95" t="s">
        <v>967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847</v>
      </c>
      <c r="C110" t="s">
        <v>852</v>
      </c>
      <c r="D110" s="38" t="s">
        <v>853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847</v>
      </c>
      <c r="C111" t="s">
        <v>855</v>
      </c>
      <c r="D111" s="38" t="s">
        <v>856</v>
      </c>
      <c r="E111" s="95" t="s">
        <v>858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886</v>
      </c>
      <c r="C112" t="s">
        <v>880</v>
      </c>
      <c r="D112" s="38" t="s">
        <v>1060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886</v>
      </c>
      <c r="C113" t="s">
        <v>887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847</v>
      </c>
      <c r="C114" t="s">
        <v>850</v>
      </c>
      <c r="D114" s="38" t="s">
        <v>851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847</v>
      </c>
      <c r="C115" t="s">
        <v>852</v>
      </c>
      <c r="D115" s="38" t="s">
        <v>854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886</v>
      </c>
      <c r="C116" t="s">
        <v>964</v>
      </c>
      <c r="D116" s="38" t="s">
        <v>965</v>
      </c>
      <c r="E116" s="95" t="s">
        <v>966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886</v>
      </c>
      <c r="C117" t="s">
        <v>964</v>
      </c>
      <c r="D117" s="38" t="s">
        <v>974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886</v>
      </c>
      <c r="C118" t="s">
        <v>964</v>
      </c>
      <c r="D118" s="38" t="s">
        <v>989</v>
      </c>
      <c r="E118" s="95" t="s">
        <v>990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847</v>
      </c>
      <c r="C119" t="s">
        <v>852</v>
      </c>
      <c r="D119" s="38" t="s">
        <v>854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847</v>
      </c>
      <c r="C120" t="s">
        <v>855</v>
      </c>
      <c r="D120" s="38" t="s">
        <v>856</v>
      </c>
      <c r="E120" s="95" t="s">
        <v>860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886</v>
      </c>
      <c r="C121" t="s">
        <v>855</v>
      </c>
      <c r="D121" s="38" t="s">
        <v>906</v>
      </c>
      <c r="E121" s="95" t="s">
        <v>909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847</v>
      </c>
      <c r="C122" t="s">
        <v>855</v>
      </c>
      <c r="D122" s="38" t="s">
        <v>856</v>
      </c>
      <c r="E122" s="95" t="s">
        <v>862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847</v>
      </c>
      <c r="C123" t="s">
        <v>855</v>
      </c>
      <c r="D123" s="38" t="s">
        <v>856</v>
      </c>
      <c r="E123" s="95" t="s">
        <v>867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886</v>
      </c>
      <c r="C124" t="s">
        <v>850</v>
      </c>
      <c r="D124" s="38" t="s">
        <v>895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886</v>
      </c>
      <c r="C125" t="s">
        <v>855</v>
      </c>
      <c r="D125" s="38" t="s">
        <v>919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886</v>
      </c>
      <c r="C126" t="s">
        <v>880</v>
      </c>
      <c r="D126" s="38" t="s">
        <v>903</v>
      </c>
      <c r="E126" s="95" t="s">
        <v>1044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886</v>
      </c>
      <c r="C127" t="s">
        <v>880</v>
      </c>
      <c r="D127" s="38" t="s">
        <v>1060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886</v>
      </c>
      <c r="C128" t="s">
        <v>880</v>
      </c>
      <c r="D128" s="38" t="s">
        <v>881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886</v>
      </c>
      <c r="C129" t="s">
        <v>880</v>
      </c>
      <c r="D129" s="38" t="s">
        <v>1050</v>
      </c>
      <c r="E129" s="95" t="s">
        <v>1051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886</v>
      </c>
      <c r="C130" t="s">
        <v>855</v>
      </c>
      <c r="D130" s="38" t="s">
        <v>904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886</v>
      </c>
      <c r="C131" t="s">
        <v>880</v>
      </c>
      <c r="D131" s="38" t="s">
        <v>1070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847</v>
      </c>
      <c r="C132" t="s">
        <v>855</v>
      </c>
      <c r="D132" s="38" t="s">
        <v>856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847</v>
      </c>
      <c r="C133" t="s">
        <v>855</v>
      </c>
      <c r="D133" s="38" t="s">
        <v>871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886</v>
      </c>
      <c r="C134" t="s">
        <v>855</v>
      </c>
      <c r="D134" s="38" t="s">
        <v>913</v>
      </c>
      <c r="E134" s="94" t="s">
        <v>914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886</v>
      </c>
      <c r="C135" t="s">
        <v>955</v>
      </c>
      <c r="D135" s="38" t="s">
        <v>957</v>
      </c>
      <c r="E135" s="95" t="s">
        <v>958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847</v>
      </c>
      <c r="C136" t="s">
        <v>855</v>
      </c>
      <c r="D136" s="38" t="s">
        <v>856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886</v>
      </c>
      <c r="C137" t="s">
        <v>855</v>
      </c>
      <c r="D137" s="38" t="s">
        <v>871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886</v>
      </c>
      <c r="C138" t="s">
        <v>942</v>
      </c>
      <c r="D138" s="38" t="s">
        <v>943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886</v>
      </c>
      <c r="C139" t="s">
        <v>993</v>
      </c>
      <c r="D139" s="38" t="s">
        <v>998</v>
      </c>
      <c r="E139" s="95" t="s">
        <v>999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886</v>
      </c>
      <c r="C140" t="s">
        <v>993</v>
      </c>
      <c r="D140" s="38" t="s">
        <v>998</v>
      </c>
      <c r="E140" s="95" t="s">
        <v>1000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886</v>
      </c>
      <c r="C141" t="s">
        <v>880</v>
      </c>
      <c r="D141" s="38" t="s">
        <v>1070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886</v>
      </c>
      <c r="C142" t="s">
        <v>855</v>
      </c>
      <c r="D142" s="38" t="s">
        <v>931</v>
      </c>
      <c r="E142" s="95" t="s">
        <v>932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886</v>
      </c>
      <c r="C143" t="s">
        <v>1105</v>
      </c>
      <c r="D143" s="38" t="s">
        <v>1108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886</v>
      </c>
      <c r="C144" t="s">
        <v>944</v>
      </c>
      <c r="D144" s="38" t="s">
        <v>946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886</v>
      </c>
      <c r="C145" t="s">
        <v>955</v>
      </c>
      <c r="D145" s="38" t="s">
        <v>963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886</v>
      </c>
      <c r="C146" t="s">
        <v>880</v>
      </c>
      <c r="D146" s="38" t="s">
        <v>1054</v>
      </c>
      <c r="E146" s="95" t="s">
        <v>1055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886</v>
      </c>
      <c r="C147" t="s">
        <v>880</v>
      </c>
      <c r="D147" s="38">
        <v>2000</v>
      </c>
      <c r="E147" s="95" t="s">
        <v>1034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886</v>
      </c>
      <c r="C148" t="s">
        <v>934</v>
      </c>
      <c r="D148" s="38" t="s">
        <v>935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886</v>
      </c>
      <c r="C149" t="s">
        <v>855</v>
      </c>
      <c r="D149" s="38" t="s">
        <v>902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886</v>
      </c>
      <c r="C150" t="s">
        <v>964</v>
      </c>
      <c r="D150" s="38" t="s">
        <v>980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886</v>
      </c>
      <c r="C151" t="s">
        <v>880</v>
      </c>
      <c r="D151" s="38" t="s">
        <v>1060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886</v>
      </c>
      <c r="C152" t="s">
        <v>855</v>
      </c>
      <c r="D152" s="38" t="s">
        <v>902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886</v>
      </c>
      <c r="C153" t="s">
        <v>955</v>
      </c>
      <c r="D153" s="38" t="s">
        <v>959</v>
      </c>
      <c r="E153" s="95" t="s">
        <v>960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886</v>
      </c>
      <c r="C154" t="s">
        <v>964</v>
      </c>
      <c r="D154" s="38" t="s">
        <v>980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886</v>
      </c>
      <c r="C155" t="s">
        <v>855</v>
      </c>
      <c r="D155" s="38" t="s">
        <v>905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886</v>
      </c>
      <c r="C156" t="s">
        <v>880</v>
      </c>
      <c r="D156" s="38" t="s">
        <v>1069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886</v>
      </c>
      <c r="D157" s="38" t="s">
        <v>953</v>
      </c>
      <c r="E157" s="95" t="s">
        <v>1112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886</v>
      </c>
      <c r="C158" t="s">
        <v>880</v>
      </c>
      <c r="D158" s="38" t="s">
        <v>1074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886</v>
      </c>
      <c r="C159" t="s">
        <v>880</v>
      </c>
      <c r="D159" s="38" t="s">
        <v>1060</v>
      </c>
      <c r="E159" s="95" t="s">
        <v>1067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886</v>
      </c>
      <c r="C160" t="s">
        <v>993</v>
      </c>
      <c r="D160" s="38" t="s">
        <v>881</v>
      </c>
      <c r="E160" s="95" t="s">
        <v>995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886</v>
      </c>
      <c r="C161" t="s">
        <v>993</v>
      </c>
      <c r="D161" s="38" t="s">
        <v>881</v>
      </c>
      <c r="E161" s="95" t="s">
        <v>996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886</v>
      </c>
      <c r="C162" t="s">
        <v>1022</v>
      </c>
      <c r="D162" s="38" t="s">
        <v>1023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886</v>
      </c>
      <c r="C163" t="s">
        <v>1003</v>
      </c>
      <c r="D163" s="38" t="s">
        <v>1005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847</v>
      </c>
      <c r="C164" t="s">
        <v>848</v>
      </c>
      <c r="D164" s="38" t="s">
        <v>849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886</v>
      </c>
      <c r="C165" t="s">
        <v>848</v>
      </c>
      <c r="D165" s="38" t="s">
        <v>894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886</v>
      </c>
      <c r="C166" t="s">
        <v>855</v>
      </c>
      <c r="D166" s="38" t="s">
        <v>921</v>
      </c>
      <c r="E166" s="95" t="s">
        <v>922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886</v>
      </c>
      <c r="C167" t="s">
        <v>964</v>
      </c>
      <c r="D167" s="38" t="s">
        <v>968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886</v>
      </c>
      <c r="C168" t="s">
        <v>964</v>
      </c>
      <c r="D168" s="38" t="s">
        <v>968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886</v>
      </c>
      <c r="C169" t="s">
        <v>964</v>
      </c>
      <c r="D169" s="38" t="s">
        <v>974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886</v>
      </c>
      <c r="C170" t="s">
        <v>964</v>
      </c>
      <c r="D170" s="38" t="s">
        <v>989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886</v>
      </c>
      <c r="C171" t="s">
        <v>964</v>
      </c>
      <c r="D171" s="38" t="s">
        <v>989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886</v>
      </c>
      <c r="C172" t="s">
        <v>964</v>
      </c>
      <c r="D172" s="38" t="s">
        <v>989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847</v>
      </c>
      <c r="C173" t="s">
        <v>855</v>
      </c>
      <c r="D173" s="38" t="s">
        <v>856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886</v>
      </c>
      <c r="C174" t="s">
        <v>855</v>
      </c>
      <c r="D174" s="38" t="s">
        <v>856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886</v>
      </c>
      <c r="C175" t="s">
        <v>964</v>
      </c>
      <c r="D175" s="38" t="s">
        <v>989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886</v>
      </c>
      <c r="C176" t="s">
        <v>964</v>
      </c>
      <c r="D176" s="38" t="s">
        <v>989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886</v>
      </c>
      <c r="C177" t="s">
        <v>964</v>
      </c>
      <c r="D177" s="38" t="s">
        <v>989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886</v>
      </c>
      <c r="C178" t="s">
        <v>964</v>
      </c>
      <c r="D178" s="38" t="s">
        <v>989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886</v>
      </c>
      <c r="C179" t="s">
        <v>952</v>
      </c>
      <c r="D179" s="38" t="s">
        <v>953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886</v>
      </c>
      <c r="C180" t="s">
        <v>1015</v>
      </c>
      <c r="D180" s="38">
        <v>3817</v>
      </c>
      <c r="E180" s="95" t="s">
        <v>1017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886</v>
      </c>
      <c r="C181" t="s">
        <v>1003</v>
      </c>
      <c r="D181" s="38" t="s">
        <v>1004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886</v>
      </c>
      <c r="C182" t="s">
        <v>880</v>
      </c>
      <c r="D182" s="38" t="s">
        <v>903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886</v>
      </c>
      <c r="C183" t="s">
        <v>1105</v>
      </c>
      <c r="D183" s="38" t="s">
        <v>1056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886</v>
      </c>
      <c r="C184" t="s">
        <v>880</v>
      </c>
      <c r="D184" s="38" t="s">
        <v>1075</v>
      </c>
      <c r="E184" s="95" t="s">
        <v>1076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886</v>
      </c>
      <c r="C185" t="s">
        <v>855</v>
      </c>
      <c r="D185" s="38" t="s">
        <v>904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886</v>
      </c>
      <c r="C186" t="s">
        <v>880</v>
      </c>
      <c r="D186" s="38" t="s">
        <v>1060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886</v>
      </c>
      <c r="C187" t="s">
        <v>964</v>
      </c>
      <c r="D187" s="38" t="s">
        <v>989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886</v>
      </c>
      <c r="C188" t="s">
        <v>964</v>
      </c>
      <c r="D188" s="38" t="s">
        <v>968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886</v>
      </c>
      <c r="C189" t="s">
        <v>880</v>
      </c>
      <c r="D189" s="38" t="s">
        <v>1047</v>
      </c>
      <c r="E189" s="95" t="s">
        <v>1048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886</v>
      </c>
      <c r="C190" t="s">
        <v>855</v>
      </c>
      <c r="D190" s="38" t="s">
        <v>919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886</v>
      </c>
      <c r="C191" t="s">
        <v>855</v>
      </c>
      <c r="D191" s="38" t="s">
        <v>906</v>
      </c>
      <c r="E191" s="95" t="s">
        <v>907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886</v>
      </c>
      <c r="C192" t="s">
        <v>855</v>
      </c>
      <c r="D192" s="38" t="s">
        <v>906</v>
      </c>
      <c r="E192" s="95" t="s">
        <v>908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886</v>
      </c>
      <c r="C193" t="s">
        <v>880</v>
      </c>
      <c r="D193" s="38" t="s">
        <v>1060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847</v>
      </c>
      <c r="C194" t="s">
        <v>855</v>
      </c>
      <c r="D194" s="38" t="s">
        <v>856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847</v>
      </c>
      <c r="C195" t="s">
        <v>855</v>
      </c>
      <c r="D195" s="38" t="s">
        <v>856</v>
      </c>
      <c r="E195" s="95" t="s">
        <v>870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886</v>
      </c>
      <c r="C196" t="s">
        <v>880</v>
      </c>
      <c r="D196" s="38" t="s">
        <v>1079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886</v>
      </c>
      <c r="C197" t="s">
        <v>880</v>
      </c>
      <c r="D197" s="38" t="s">
        <v>881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847</v>
      </c>
      <c r="C198" t="s">
        <v>855</v>
      </c>
      <c r="D198" s="38" t="s">
        <v>856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847</v>
      </c>
      <c r="C199" t="s">
        <v>855</v>
      </c>
      <c r="D199" s="38" t="s">
        <v>856</v>
      </c>
      <c r="E199" s="95" t="s">
        <v>864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847</v>
      </c>
      <c r="C200" t="s">
        <v>855</v>
      </c>
      <c r="D200" s="38" t="s">
        <v>856</v>
      </c>
      <c r="E200" s="95" t="s">
        <v>865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847</v>
      </c>
      <c r="C201" t="s">
        <v>855</v>
      </c>
      <c r="D201" s="38" t="s">
        <v>856</v>
      </c>
      <c r="E201" s="95" t="s">
        <v>868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886</v>
      </c>
      <c r="C202" t="s">
        <v>855</v>
      </c>
      <c r="D202" s="38" t="s">
        <v>910</v>
      </c>
      <c r="E202" s="95" t="s">
        <v>911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886</v>
      </c>
      <c r="C203" t="s">
        <v>855</v>
      </c>
      <c r="D203" s="38" t="s">
        <v>913</v>
      </c>
      <c r="E203" s="95" t="s">
        <v>915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886</v>
      </c>
      <c r="C204" t="s">
        <v>880</v>
      </c>
      <c r="D204" s="38" t="s">
        <v>1052</v>
      </c>
      <c r="E204" s="95" t="s">
        <v>1053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847</v>
      </c>
      <c r="C205" t="s">
        <v>855</v>
      </c>
      <c r="D205" s="38" t="s">
        <v>856</v>
      </c>
      <c r="E205" s="95" t="s">
        <v>869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847</v>
      </c>
      <c r="C206" t="s">
        <v>880</v>
      </c>
      <c r="D206" s="38" t="s">
        <v>881</v>
      </c>
      <c r="E206" s="95" t="s">
        <v>882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886</v>
      </c>
      <c r="C207" t="s">
        <v>880</v>
      </c>
      <c r="D207" s="38" t="s">
        <v>903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886</v>
      </c>
      <c r="C208" t="s">
        <v>964</v>
      </c>
      <c r="D208" s="38" t="s">
        <v>881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886</v>
      </c>
      <c r="C209" t="s">
        <v>993</v>
      </c>
      <c r="D209" s="38" t="s">
        <v>997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886</v>
      </c>
      <c r="C210" t="s">
        <v>880</v>
      </c>
      <c r="D210" s="38" t="s">
        <v>1060</v>
      </c>
      <c r="E210" s="95" t="s">
        <v>1062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886</v>
      </c>
      <c r="C211" t="s">
        <v>1105</v>
      </c>
      <c r="D211" s="38" t="s">
        <v>1106</v>
      </c>
      <c r="E211" s="95" t="s">
        <v>1107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847</v>
      </c>
      <c r="C212" t="s">
        <v>855</v>
      </c>
      <c r="D212" s="38" t="s">
        <v>856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847</v>
      </c>
      <c r="C213" t="s">
        <v>855</v>
      </c>
      <c r="D213" s="38" t="s">
        <v>856</v>
      </c>
      <c r="E213" s="95" t="s">
        <v>866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886</v>
      </c>
      <c r="C214" t="s">
        <v>880</v>
      </c>
      <c r="D214" s="38" t="s">
        <v>1036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847</v>
      </c>
      <c r="C215" t="s">
        <v>852</v>
      </c>
      <c r="D215" s="38" t="s">
        <v>853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886</v>
      </c>
      <c r="C216" t="s">
        <v>880</v>
      </c>
      <c r="D216" s="38" t="s">
        <v>1060</v>
      </c>
      <c r="E216" s="95" t="s">
        <v>1064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886</v>
      </c>
      <c r="C217" t="s">
        <v>880</v>
      </c>
      <c r="D217" s="38" t="s">
        <v>1075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886</v>
      </c>
      <c r="C218" t="s">
        <v>880</v>
      </c>
      <c r="D218" s="38" t="s">
        <v>1095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847</v>
      </c>
      <c r="C219" t="s">
        <v>855</v>
      </c>
      <c r="D219" s="38" t="s">
        <v>856</v>
      </c>
      <c r="E219" s="95" t="s">
        <v>861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886</v>
      </c>
      <c r="C220" t="s">
        <v>1015</v>
      </c>
      <c r="D220" s="38">
        <v>3814</v>
      </c>
      <c r="E220" s="95" t="s">
        <v>1016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886</v>
      </c>
      <c r="C221" t="s">
        <v>890</v>
      </c>
      <c r="D221" s="38" t="s">
        <v>891</v>
      </c>
      <c r="E221" s="95" t="s">
        <v>892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886</v>
      </c>
      <c r="C222" t="s">
        <v>1024</v>
      </c>
      <c r="D222" s="38" t="s">
        <v>953</v>
      </c>
      <c r="E222" s="95" t="s">
        <v>1025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886</v>
      </c>
      <c r="C223" t="s">
        <v>852</v>
      </c>
      <c r="D223" s="38" t="s">
        <v>896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886</v>
      </c>
      <c r="C224" t="s">
        <v>880</v>
      </c>
      <c r="D224" s="38" t="s">
        <v>1052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886</v>
      </c>
      <c r="C225" t="s">
        <v>880</v>
      </c>
      <c r="D225" s="38" t="s">
        <v>1060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886</v>
      </c>
      <c r="C226" t="s">
        <v>1028</v>
      </c>
      <c r="D226" s="38" t="s">
        <v>1029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886</v>
      </c>
      <c r="C227" t="s">
        <v>936</v>
      </c>
      <c r="D227" s="38" t="s">
        <v>937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886</v>
      </c>
      <c r="C228" t="s">
        <v>880</v>
      </c>
      <c r="D228" s="38" t="s">
        <v>1060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886</v>
      </c>
      <c r="C229" t="s">
        <v>1001</v>
      </c>
      <c r="D229" s="38" t="s">
        <v>1002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886</v>
      </c>
      <c r="C230" t="s">
        <v>880</v>
      </c>
      <c r="D230" s="38" t="s">
        <v>1060</v>
      </c>
      <c r="E230" s="95" t="s">
        <v>1065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847</v>
      </c>
      <c r="C231" t="s">
        <v>855</v>
      </c>
      <c r="D231" s="38" t="s">
        <v>856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847</v>
      </c>
      <c r="C232" t="s">
        <v>855</v>
      </c>
      <c r="D232" s="38" t="s">
        <v>856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886</v>
      </c>
      <c r="C233" t="s">
        <v>1015</v>
      </c>
      <c r="D233" s="38" t="s">
        <v>881</v>
      </c>
      <c r="E233" s="95" t="s">
        <v>1017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886</v>
      </c>
      <c r="C234" t="s">
        <v>1105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886</v>
      </c>
      <c r="C235" t="s">
        <v>855</v>
      </c>
      <c r="D235" s="38" t="s">
        <v>856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886</v>
      </c>
      <c r="C236" t="s">
        <v>880</v>
      </c>
      <c r="D236" s="38" t="s">
        <v>1088</v>
      </c>
      <c r="E236" s="95" t="s">
        <v>1089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886</v>
      </c>
      <c r="C237" t="s">
        <v>880</v>
      </c>
      <c r="D237" s="38" t="s">
        <v>903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886</v>
      </c>
      <c r="C238" t="s">
        <v>880</v>
      </c>
      <c r="D238" s="38" t="s">
        <v>903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847</v>
      </c>
      <c r="C239" t="s">
        <v>872</v>
      </c>
      <c r="D239" s="38" t="s">
        <v>873</v>
      </c>
      <c r="E239" s="95" t="s">
        <v>874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847</v>
      </c>
      <c r="C240" t="s">
        <v>872</v>
      </c>
      <c r="D240" s="38" t="s">
        <v>873</v>
      </c>
      <c r="E240" s="95" t="s">
        <v>875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847</v>
      </c>
      <c r="C241" t="s">
        <v>876</v>
      </c>
      <c r="D241" s="38" t="s">
        <v>873</v>
      </c>
      <c r="E241" s="95" t="s">
        <v>877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847</v>
      </c>
      <c r="C242" t="s">
        <v>880</v>
      </c>
      <c r="D242" s="38" t="s">
        <v>883</v>
      </c>
      <c r="E242" s="95" t="s">
        <v>884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886</v>
      </c>
      <c r="C243" t="s">
        <v>947</v>
      </c>
      <c r="D243" s="38" t="s">
        <v>949</v>
      </c>
      <c r="E243" s="95" t="s">
        <v>951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886</v>
      </c>
      <c r="C244" t="s">
        <v>964</v>
      </c>
      <c r="D244" s="38" t="s">
        <v>965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886</v>
      </c>
      <c r="C245" t="s">
        <v>964</v>
      </c>
      <c r="D245" s="38" t="s">
        <v>965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886</v>
      </c>
      <c r="C246" t="s">
        <v>964</v>
      </c>
      <c r="D246" s="38" t="s">
        <v>968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886</v>
      </c>
      <c r="C247" t="s">
        <v>964</v>
      </c>
      <c r="D247" s="38" t="s">
        <v>968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886</v>
      </c>
      <c r="C248" t="s">
        <v>964</v>
      </c>
      <c r="D248" s="38" t="s">
        <v>968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886</v>
      </c>
      <c r="C249" t="s">
        <v>964</v>
      </c>
      <c r="D249" s="38" t="s">
        <v>968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886</v>
      </c>
      <c r="C250" t="s">
        <v>964</v>
      </c>
      <c r="D250" s="38" t="s">
        <v>968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886</v>
      </c>
      <c r="C251" t="s">
        <v>964</v>
      </c>
      <c r="D251" s="38" t="s">
        <v>968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886</v>
      </c>
      <c r="C252" t="s">
        <v>964</v>
      </c>
      <c r="D252" s="38" t="s">
        <v>968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886</v>
      </c>
      <c r="C253" t="s">
        <v>964</v>
      </c>
      <c r="D253" s="38" t="s">
        <v>969</v>
      </c>
      <c r="E253" s="95" t="s">
        <v>970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886</v>
      </c>
      <c r="C254" t="s">
        <v>964</v>
      </c>
      <c r="D254" s="38" t="s">
        <v>971</v>
      </c>
      <c r="E254" s="95" t="s">
        <v>972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886</v>
      </c>
      <c r="C255" t="s">
        <v>964</v>
      </c>
      <c r="D255" s="38" t="s">
        <v>881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886</v>
      </c>
      <c r="C256" t="s">
        <v>964</v>
      </c>
      <c r="D256" s="38" t="s">
        <v>881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886</v>
      </c>
      <c r="C257" t="s">
        <v>964</v>
      </c>
      <c r="D257" s="38" t="s">
        <v>974</v>
      </c>
      <c r="E257" s="95" t="s">
        <v>975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886</v>
      </c>
      <c r="C258" t="s">
        <v>964</v>
      </c>
      <c r="D258" s="38" t="s">
        <v>974</v>
      </c>
      <c r="E258" s="95" t="s">
        <v>976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886</v>
      </c>
      <c r="C259" t="s">
        <v>964</v>
      </c>
      <c r="D259" s="38" t="s">
        <v>974</v>
      </c>
      <c r="E259" s="95" t="s">
        <v>977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886</v>
      </c>
      <c r="C260" t="s">
        <v>964</v>
      </c>
      <c r="D260" s="38" t="s">
        <v>978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886</v>
      </c>
      <c r="C261" t="s">
        <v>964</v>
      </c>
      <c r="D261" s="38" t="s">
        <v>978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886</v>
      </c>
      <c r="C262" t="s">
        <v>964</v>
      </c>
      <c r="D262" s="38" t="s">
        <v>978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886</v>
      </c>
      <c r="C263" t="s">
        <v>964</v>
      </c>
      <c r="D263" s="38" t="s">
        <v>978</v>
      </c>
      <c r="E263" s="95" t="s">
        <v>979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886</v>
      </c>
      <c r="C264" t="s">
        <v>964</v>
      </c>
      <c r="D264" s="38" t="s">
        <v>981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886</v>
      </c>
      <c r="C265" t="s">
        <v>964</v>
      </c>
      <c r="D265" s="38" t="s">
        <v>981</v>
      </c>
      <c r="E265" s="95" t="s">
        <v>982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886</v>
      </c>
      <c r="C266" t="s">
        <v>964</v>
      </c>
      <c r="D266" s="38" t="s">
        <v>981</v>
      </c>
      <c r="E266" s="95" t="s">
        <v>983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886</v>
      </c>
      <c r="C267" t="s">
        <v>964</v>
      </c>
      <c r="D267" s="38" t="s">
        <v>981</v>
      </c>
      <c r="E267" s="95" t="s">
        <v>984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886</v>
      </c>
      <c r="C268" t="s">
        <v>964</v>
      </c>
      <c r="D268" s="38" t="s">
        <v>987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886</v>
      </c>
      <c r="C269" t="s">
        <v>964</v>
      </c>
      <c r="D269" s="38" t="s">
        <v>987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886</v>
      </c>
      <c r="C270" t="s">
        <v>964</v>
      </c>
      <c r="D270" s="38" t="s">
        <v>987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886</v>
      </c>
      <c r="C271" t="s">
        <v>964</v>
      </c>
      <c r="D271" s="38" t="s">
        <v>987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886</v>
      </c>
      <c r="C272" t="s">
        <v>964</v>
      </c>
      <c r="D272" s="38" t="s">
        <v>987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886</v>
      </c>
      <c r="C273" t="s">
        <v>964</v>
      </c>
      <c r="D273" s="38" t="s">
        <v>987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886</v>
      </c>
      <c r="C274" t="s">
        <v>964</v>
      </c>
      <c r="D274" s="38" t="s">
        <v>987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886</v>
      </c>
      <c r="C275" t="s">
        <v>964</v>
      </c>
      <c r="D275" s="38" t="s">
        <v>987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886</v>
      </c>
      <c r="C276" t="s">
        <v>1015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886</v>
      </c>
      <c r="C277" t="s">
        <v>880</v>
      </c>
      <c r="D277" s="38">
        <v>574</v>
      </c>
      <c r="E277" s="95" t="s">
        <v>1032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886</v>
      </c>
      <c r="C278" t="s">
        <v>880</v>
      </c>
      <c r="D278" s="38" t="s">
        <v>1038</v>
      </c>
      <c r="E278" s="95" t="s">
        <v>1039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886</v>
      </c>
      <c r="C279" t="s">
        <v>880</v>
      </c>
      <c r="D279" s="38" t="s">
        <v>1040</v>
      </c>
      <c r="E279" s="95" t="s">
        <v>1043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886</v>
      </c>
      <c r="C280" t="s">
        <v>880</v>
      </c>
      <c r="D280" s="38" t="s">
        <v>1077</v>
      </c>
      <c r="E280" s="95" t="s">
        <v>1078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886</v>
      </c>
      <c r="C281" t="s">
        <v>880</v>
      </c>
      <c r="D281" s="38" t="s">
        <v>1080</v>
      </c>
      <c r="E281" s="95" t="s">
        <v>1081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886</v>
      </c>
      <c r="C282" t="s">
        <v>880</v>
      </c>
      <c r="D282" s="38" t="s">
        <v>1084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886</v>
      </c>
      <c r="C283" t="s">
        <v>880</v>
      </c>
      <c r="D283" s="38" t="s">
        <v>1085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886</v>
      </c>
      <c r="C284" t="s">
        <v>1109</v>
      </c>
      <c r="D284" s="38" t="s">
        <v>1110</v>
      </c>
      <c r="E284" s="95" t="s">
        <v>1111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886</v>
      </c>
      <c r="C285" t="s">
        <v>855</v>
      </c>
      <c r="D285" s="38" t="s">
        <v>913</v>
      </c>
      <c r="E285" s="95" t="s">
        <v>918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886</v>
      </c>
      <c r="C286" t="s">
        <v>880</v>
      </c>
      <c r="D286" s="38" t="s">
        <v>1087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886</v>
      </c>
      <c r="C287" t="s">
        <v>1008</v>
      </c>
      <c r="D287" s="38" t="s">
        <v>1009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886</v>
      </c>
      <c r="C288" t="s">
        <v>898</v>
      </c>
      <c r="D288" s="38">
        <v>574</v>
      </c>
      <c r="E288" s="95" t="s">
        <v>899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886</v>
      </c>
      <c r="C289" t="s">
        <v>938</v>
      </c>
      <c r="D289" s="38" t="s">
        <v>939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886</v>
      </c>
      <c r="C290" t="s">
        <v>880</v>
      </c>
      <c r="D290" s="38" t="s">
        <v>1060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886</v>
      </c>
      <c r="C291" t="s">
        <v>880</v>
      </c>
      <c r="D291" s="38" t="s">
        <v>1074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847</v>
      </c>
      <c r="C292" t="s">
        <v>855</v>
      </c>
      <c r="D292" s="38" t="s">
        <v>856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886</v>
      </c>
      <c r="C293" t="s">
        <v>880</v>
      </c>
      <c r="D293" s="38" t="s">
        <v>903</v>
      </c>
      <c r="E293" s="95" t="s">
        <v>1046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847</v>
      </c>
      <c r="C294" t="s">
        <v>855</v>
      </c>
      <c r="D294" s="38" t="s">
        <v>856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886</v>
      </c>
      <c r="C295" t="s">
        <v>855</v>
      </c>
      <c r="D295" s="38" t="s">
        <v>913</v>
      </c>
      <c r="E295" s="94" t="s">
        <v>916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886</v>
      </c>
      <c r="C296" t="s">
        <v>880</v>
      </c>
      <c r="D296" s="38" t="s">
        <v>1075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886</v>
      </c>
      <c r="C297" t="s">
        <v>880</v>
      </c>
      <c r="D297" s="38" t="s">
        <v>1090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847</v>
      </c>
      <c r="C298" t="s">
        <v>850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847</v>
      </c>
      <c r="C299" t="s">
        <v>855</v>
      </c>
      <c r="D299" s="38" t="s">
        <v>856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886</v>
      </c>
      <c r="C300" t="s">
        <v>887</v>
      </c>
      <c r="D300" s="38" t="s">
        <v>888</v>
      </c>
      <c r="E300" s="95" t="s">
        <v>889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886</v>
      </c>
      <c r="C301" t="s">
        <v>880</v>
      </c>
      <c r="D301" s="38" t="s">
        <v>1058</v>
      </c>
      <c r="E301" s="95" t="s">
        <v>1059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886</v>
      </c>
      <c r="C302" t="s">
        <v>991</v>
      </c>
      <c r="D302" s="38" t="s">
        <v>992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886</v>
      </c>
      <c r="C303" t="s">
        <v>991</v>
      </c>
      <c r="D303" s="38" t="s">
        <v>968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886</v>
      </c>
      <c r="C304" t="s">
        <v>880</v>
      </c>
      <c r="D304" s="38" t="s">
        <v>1060</v>
      </c>
      <c r="E304" s="95" t="s">
        <v>1061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886</v>
      </c>
      <c r="C305" t="s">
        <v>855</v>
      </c>
      <c r="D305" s="38" t="s">
        <v>927</v>
      </c>
      <c r="E305" s="95" t="s">
        <v>928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847</v>
      </c>
      <c r="C306" t="s">
        <v>855</v>
      </c>
      <c r="D306" s="38" t="s">
        <v>871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886</v>
      </c>
      <c r="C307" t="s">
        <v>880</v>
      </c>
      <c r="D307" s="38" t="s">
        <v>1086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886</v>
      </c>
      <c r="C308" t="s">
        <v>880</v>
      </c>
      <c r="D308" s="38" t="s">
        <v>1086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886</v>
      </c>
      <c r="C309" t="s">
        <v>1105</v>
      </c>
      <c r="D309" s="38" t="s">
        <v>903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886</v>
      </c>
      <c r="C310" t="s">
        <v>880</v>
      </c>
      <c r="D310" s="38" t="s">
        <v>903</v>
      </c>
      <c r="E310" s="95" t="s">
        <v>1045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886</v>
      </c>
      <c r="C311" t="s">
        <v>855</v>
      </c>
      <c r="D311" s="38" t="s">
        <v>910</v>
      </c>
      <c r="E311" s="95" t="s">
        <v>912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847</v>
      </c>
      <c r="C312" t="s">
        <v>855</v>
      </c>
      <c r="D312" s="38" t="s">
        <v>856</v>
      </c>
      <c r="E312" s="95" t="s">
        <v>859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886</v>
      </c>
      <c r="C313" t="s">
        <v>1015</v>
      </c>
      <c r="D313" s="38">
        <v>3831</v>
      </c>
      <c r="E313" s="95" t="s">
        <v>1018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886</v>
      </c>
      <c r="C314" t="s">
        <v>947</v>
      </c>
      <c r="D314" s="38" t="s">
        <v>949</v>
      </c>
      <c r="E314" s="95" t="s">
        <v>950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886</v>
      </c>
      <c r="C315" t="s">
        <v>1026</v>
      </c>
      <c r="D315" s="38" t="s">
        <v>1027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886</v>
      </c>
      <c r="C316" t="s">
        <v>944</v>
      </c>
      <c r="D316" s="38" t="s">
        <v>881</v>
      </c>
      <c r="E316" s="95" t="s">
        <v>945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2025-04-08T21:09:52Z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