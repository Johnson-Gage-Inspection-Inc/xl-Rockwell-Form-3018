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git\xl-Rockwell-Form-3018\"/>
    </mc:Choice>
  </mc:AlternateContent>
  <xr:revisionPtr revIDLastSave="0" documentId="13_ncr:1_{6C4C8543-94CC-4FBE-B94A-D500D598A2A4}"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hidden" r:id="rId8"/>
    <sheet name="Addresses" sheetId="15" r:id="rId9"/>
    <sheet name="UUTs" sheetId="14" r:id="rId10"/>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AF'!$A$1:$M$64</definedName>
    <definedName name="_xlnm.Print_Area" localSheetId="4">'CERT AL'!$A$1:$M$64</definedName>
    <definedName name="_xlnm.Print_Area" localSheetId="0">Worksheet!$A$1:$V$47</definedName>
    <definedName name="ResultsAF">DropDowns!$I$13:$I$15</definedName>
    <definedName name="ResultsAL">DropDowns!$I$3:$I$8</definedName>
    <definedName name="Scales">DropDowns!$B$11:$B$24</definedName>
    <definedName name="yesno">DropDowns!$B$3:$B$5</definedName>
    <definedName name="yesno2">DropDowns!$B$3:$B$5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6" i="2"/>
  <c r="O56" i="7" l="1"/>
  <c r="O46" i="1"/>
  <c r="O47" i="1"/>
  <c r="G66" i="14"/>
  <c r="H66" i="14"/>
  <c r="I66" i="14"/>
  <c r="J66" i="14"/>
  <c r="K66" i="14" l="1"/>
  <c r="G108" i="14"/>
  <c r="H108" i="14"/>
  <c r="I108" i="14"/>
  <c r="J108" i="14"/>
  <c r="B60" i="2"/>
  <c r="B60"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9"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61" i="2"/>
  <c r="A61" i="7" s="1"/>
  <c r="B59"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2"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<sst xmlns="http://schemas.openxmlformats.org/spreadsheetml/2006/main" count="2461" uniqueCount="1148">
  <si>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</si>
  <si>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</si>
  <si>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</si>
  <si>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</si>
  <si>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</si>
  <si>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</si>
  <si>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</si>
  <si>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</si>
  <si>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</si>
  <si>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</si>
  <si>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</si>
  <si>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</si>
  <si>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</si>
  <si>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</si>
  <si>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</si>
  <si>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</si>
  <si>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</si>
  <si>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</si>
  <si>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</si>
  <si>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</si>
  <si>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</si>
  <si>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</si>
  <si>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</si>
  <si>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</si>
  <si>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</si>
  <si>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</si>
  <si>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</si>
  <si>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</si>
  <si>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</si>
  <si>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</si>
  <si>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</si>
  <si>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</si>
  <si>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</si>
  <si>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</si>
  <si>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</si>
  <si>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</si>
  <si>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</si>
  <si>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</si>
  <si>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</si>
  <si>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</si>
  <si>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</si>
  <si>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</si>
  <si>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</si>
  <si>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</si>
  <si>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</si>
  <si>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</si>
  <si>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</si>
  <si>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</si>
  <si>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</si>
  <si>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</si>
  <si>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</si>
  <si>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</si>
  <si>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</si>
  <si>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</si>
  <si>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</si>
  <si>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</si>
  <si>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</si>
  <si>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</si>
  <si>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</si>
  <si>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</si>
  <si>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</si>
  <si>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</si>
  <si>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</si>
  <si>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</si>
  <si>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</si>
  <si>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</si>
  <si>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</si>
  <si>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</si>
  <si>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</si>
  <si>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</si>
  <si>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</si>
  <si>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</si>
  <si>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</si>
  <si>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</si>
  <si>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</si>
  <si>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</si>
  <si>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</si>
  <si>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</si>
  <si>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</si>
  <si>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</si>
  <si>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</si>
  <si>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</si>
  <si>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</si>
  <si>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</si>
  <si>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</si>
  <si>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</si>
  <si>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</si>
  <si>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</si>
  <si>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</si>
  <si>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</si>
  <si>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</si>
  <si>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</si>
  <si>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</si>
  <si>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</si>
  <si>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</si>
  <si>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</si>
  <si>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</si>
  <si>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</si>
  <si>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</si>
  <si>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</si>
  <si>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</si>
  <si>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</si>
  <si>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</si>
  <si>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</si>
  <si>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</si>
  <si>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</si>
  <si>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</si>
  <si>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</si>
  <si>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</si>
  <si>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</si>
  <si>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</si>
  <si>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</si>
  <si>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</si>
  <si>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</si>
  <si>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and test of mechanical function were performed per manufacturer's instructions  and/or JGI Written Procedure WP301889. The test blocks used were certified per all requirements of  ASTM E18, Annex A4, using a verified standard laboratory tester with load and depth measuring devices traceable to NIST.. This document shall not be reproduced except in full, without the written permission of Johnson Gage &amp; Inspection. The reported expanded uncertainty of measurement is stated as the standard uncertainty of measurement multiplied by the coverage factor k such that the coverage probability corresponds to approximately 95%. The uncertainty listed above was performed in accordance with guidelines set forth in ANSI/NCSL Z540-2. The Decision Rule used is Simple Acceptance as defined in ILAC G8 with a TUR of 1:1 or better. This Rule may be superseded by technological constraints or by cited specifications.</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</si>
  <si>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</si>
  <si>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</si>
  <si>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</si>
  <si>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</si>
  <si>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</si>
  <si>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</si>
  <si>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</si>
  <si>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</si>
  <si>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</si>
  <si>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</si>
  <si>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</si>
  <si>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</si>
  <si>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</si>
  <si>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</si>
  <si>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</si>
  <si>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</si>
  <si>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</si>
  <si>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</si>
  <si>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</si>
  <si>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</si>
  <si>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</si>
  <si>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</si>
  <si>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</si>
  <si>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</si>
  <si>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</si>
  <si>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</si>
  <si>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</si>
  <si>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</si>
  <si>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</si>
  <si>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</si>
  <si>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</si>
  <si>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</si>
  <si>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</si>
  <si>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</si>
  <si>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</si>
  <si>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</si>
  <si>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</si>
  <si>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</si>
  <si>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</si>
  <si>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</si>
  <si>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</si>
  <si>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</si>
  <si>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</si>
  <si>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</si>
  <si>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</si>
  <si>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</si>
  <si>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</si>
  <si>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</si>
  <si>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</si>
  <si>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</si>
  <si>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</si>
  <si>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</si>
  <si>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</si>
  <si>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</si>
  <si>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</si>
  <si>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</si>
  <si>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</si>
  <si>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</si>
  <si>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</si>
  <si>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</si>
  <si>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</si>
  <si>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</si>
  <si>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</si>
  <si>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</si>
  <si>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</si>
  <si>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</si>
  <si>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</si>
  <si>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</si>
  <si>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</si>
  <si>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</si>
  <si>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</si>
  <si>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</si>
  <si>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</si>
  <si>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</si>
  <si>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</si>
  <si>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</si>
  <si>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</si>
  <si>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</si>
  <si>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</si>
  <si>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</si>
  <si>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</si>
  <si>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</si>
  <si>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</si>
  <si>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</si>
  <si>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</si>
  <si>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</si>
  <si>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</si>
  <si>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</si>
  <si>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</si>
  <si>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</si>
  <si>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</si>
  <si>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</si>
  <si>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</si>
  <si>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</si>
  <si>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</si>
  <si>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</si>
  <si>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</si>
  <si>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</si>
  <si>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</si>
  <si>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</si>
  <si>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</si>
  <si>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</si>
  <si>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</si>
  <si>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</si>
  <si>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</si>
  <si>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</si>
  <si>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</si>
  <si>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</si>
  <si>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</si>
  <si>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</si>
  <si>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</si>
  <si>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</si>
  <si>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</si>
  <si>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</si>
  <si>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</si>
  <si>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</si>
  <si>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</si>
  <si>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</si>
  <si>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</si>
  <si>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</si>
  <si>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</si>
  <si>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</si>
  <si>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</si>
  <si>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</si>
  <si>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</si>
  <si>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</si>
  <si>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</si>
  <si>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</si>
  <si>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</si>
  <si>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</si>
  <si>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</si>
  <si>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</si>
  <si>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</si>
  <si>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</si>
  <si>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</si>
  <si>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</si>
  <si>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</si>
  <si>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</si>
  <si>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</si>
  <si>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</si>
  <si>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</si>
  <si>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</si>
  <si>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</si>
  <si>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</si>
  <si>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</si>
  <si>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</si>
  <si>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</si>
  <si>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</si>
  <si>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</si>
  <si>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</si>
  <si>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</si>
  <si>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</si>
  <si>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</si>
  <si>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</si>
  <si>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</si>
  <si>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</si>
  <si>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</si>
  <si>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</si>
  <si>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</si>
  <si>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</si>
  <si>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</si>
  <si>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</si>
  <si>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</si>
  <si>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</si>
  <si>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</si>
  <si>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</si>
  <si>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</si>
  <si>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</si>
  <si>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</si>
  <si>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</si>
  <si>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</si>
  <si>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</si>
  <si>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</si>
  <si>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</si>
  <si>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</si>
  <si>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</si>
  <si>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</si>
  <si>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</si>
  <si>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</si>
  <si>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</si>
  <si>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</si>
  <si>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</si>
  <si>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</si>
  <si>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</si>
  <si>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</si>
  <si>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</si>
  <si>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</si>
  <si>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</si>
  <si>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</si>
  <si>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</si>
  <si>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</si>
  <si>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</si>
  <si>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</si>
  <si>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</si>
  <si>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</si>
  <si>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</si>
  <si>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</si>
  <si>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</si>
  <si>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</si>
  <si>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</si>
  <si>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</si>
  <si>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</si>
  <si>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</si>
  <si>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</si>
  <si>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</si>
  <si>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</si>
  <si>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</si>
  <si>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</si>
  <si>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</si>
  <si>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</si>
  <si>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</si>
  <si>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</si>
  <si>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</si>
  <si>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</si>
  <si>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</si>
  <si>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</si>
  <si>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</si>
  <si>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</si>
  <si>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</si>
  <si>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</si>
  <si>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</si>
  <si>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</si>
  <si>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</si>
  <si>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</si>
  <si>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</si>
  <si>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</si>
  <si>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</si>
  <si>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</si>
  <si>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</si>
  <si>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</si>
  <si>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</si>
  <si>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</si>
  <si>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</si>
  <si>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</si>
  <si>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</si>
  <si>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</si>
  <si>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</si>
  <si>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</si>
  <si>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</si>
  <si>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</si>
  <si>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</si>
  <si>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</si>
  <si>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</si>
  <si>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</si>
  <si>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</si>
  <si>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</si>
  <si>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</si>
  <si>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</si>
  <si>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</si>
  <si>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</si>
  <si>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</si>
  <si>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</si>
  <si>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</si>
  <si>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</si>
  <si>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</si>
  <si>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</si>
  <si>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</si>
  <si>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</si>
  <si>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</si>
  <si>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</si>
  <si>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</si>
  <si>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</si>
  <si>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</si>
  <si>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</si>
  <si>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</si>
  <si>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</si>
  <si>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</si>
  <si>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</si>
  <si>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</si>
  <si>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</si>
  <si>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</si>
  <si>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</si>
  <si>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</si>
  <si>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</si>
  <si>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</si>
  <si>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</si>
  <si>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</si>
  <si>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</si>
  <si>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</si>
  <si>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</si>
  <si>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</si>
  <si>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</si>
  <si>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</si>
  <si>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</si>
  <si>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</si>
  <si>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</si>
  <si>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</si>
  <si>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</si>
  <si>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</si>
  <si>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</si>
  <si>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</si>
  <si>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</si>
  <si>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</si>
  <si>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</si>
  <si>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</si>
  <si>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</si>
  <si>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</si>
  <si>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</si>
  <si>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</si>
  <si>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</si>
  <si>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</si>
  <si>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</si>
  <si>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</si>
  <si>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</si>
  <si>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</si>
  <si>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</si>
  <si>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</si>
  <si>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</si>
  <si>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</si>
  <si>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</si>
  <si>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</si>
  <si>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</si>
  <si>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</si>
  <si>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</si>
  <si>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</si>
  <si>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</si>
  <si>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</si>
  <si>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</si>
  <si>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</si>
  <si>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</si>
  <si>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</si>
  <si>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</si>
  <si>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</si>
  <si>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</si>
  <si>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</si>
  <si>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</si>
  <si>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</si>
  <si>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</si>
  <si>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</si>
  <si>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</si>
  <si>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</si>
  <si>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</si>
  <si>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</si>
  <si>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</si>
  <si>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</si>
  <si>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</si>
  <si>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</si>
  <si>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</si>
  <si>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</si>
  <si>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</si>
  <si>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</si>
  <si>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</si>
  <si>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</si>
  <si>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</si>
  <si>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</si>
  <si>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</si>
  <si>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</si>
  <si>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</si>
  <si>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</si>
  <si>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</si>
  <si>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</si>
  <si>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</si>
  <si>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</si>
  <si>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</si>
  <si>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</si>
  <si>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</si>
  <si>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</si>
  <si>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</si>
  <si>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</si>
  <si>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</si>
  <si>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</si>
  <si>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</si>
  <si>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</si>
  <si>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</si>
  <si>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</si>
  <si>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</si>
  <si>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</si>
  <si>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</si>
  <si>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</si>
  <si>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</si>
  <si>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</si>
  <si>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</si>
  <si>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</si>
  <si>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</si>
  <si>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</si>
  <si>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</si>
  <si>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</si>
  <si>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</si>
  <si>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</si>
  <si>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</si>
  <si>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</si>
  <si>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</si>
  <si>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</si>
  <si>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</si>
  <si>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</si>
  <si>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</si>
  <si>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</si>
  <si>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</si>
  <si>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</si>
  <si>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</si>
  <si>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</si>
  <si>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</si>
  <si>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</si>
  <si>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</si>
  <si>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</si>
  <si>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</si>
  <si>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</si>
  <si>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</si>
  <si>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</si>
  <si>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</si>
  <si>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</si>
  <si>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</si>
  <si>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</si>
  <si>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</si>
  <si>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</si>
  <si>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</si>
  <si>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</si>
  <si>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</si>
  <si>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</si>
  <si>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</si>
  <si>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</si>
  <si>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</si>
  <si>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</si>
  <si>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</si>
  <si>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</si>
  <si>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</si>
  <si>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</si>
  <si>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</si>
  <si>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</si>
  <si>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</si>
  <si>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</si>
  <si>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</si>
  <si>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</si>
  <si>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</si>
  <si>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</si>
  <si>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</si>
  <si>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</si>
  <si>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</si>
  <si>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</si>
  <si>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</si>
  <si>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</si>
  <si>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</si>
  <si>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</si>
  <si>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</si>
  <si>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</si>
  <si>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</si>
  <si>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</si>
  <si>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</si>
  <si>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</si>
  <si>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</si>
  <si>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</si>
  <si>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</si>
  <si>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</si>
  <si>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</si>
  <si>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</si>
  <si>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</si>
  <si>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</si>
  <si>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</si>
  <si>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</si>
  <si>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</si>
  <si>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</si>
  <si>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</si>
  <si>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</si>
  <si>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</si>
  <si>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</si>
  <si>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</si>
  <si>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</si>
  <si>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</si>
  <si>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</si>
  <si>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</si>
  <si>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</si>
  <si>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</si>
  <si>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</si>
  <si>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</si>
  <si>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</si>
  <si>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</si>
  <si>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</si>
  <si>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</si>
  <si>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</si>
  <si>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</si>
  <si>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</si>
  <si>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</si>
  <si>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</si>
  <si>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</si>
  <si>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</si>
  <si>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</si>
  <si>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</si>
  <si>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</si>
  <si>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</si>
  <si>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</si>
  <si>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</si>
  <si>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</si>
  <si>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</si>
  <si>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</si>
  <si>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</si>
  <si>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</si>
  <si>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</si>
  <si>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</si>
  <si>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</si>
  <si>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</si>
  <si>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</si>
  <si>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</si>
  <si>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</si>
  <si>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</si>
  <si>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</si>
  <si>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</si>
  <si>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</si>
  <si>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</si>
  <si>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</si>
  <si>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</si>
  <si>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</si>
  <si>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</si>
  <si>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</si>
  <si>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</si>
  <si>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</si>
  <si>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</si>
  <si>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</si>
  <si>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</si>
  <si>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</si>
  <si>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</si>
  <si>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</si>
  <si>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</si>
  <si>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</si>
  <si>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</si>
  <si>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</si>
  <si>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</si>
  <si>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</si>
  <si>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</si>
  <si>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</si>
  <si>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</si>
  <si>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</si>
  <si>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</si>
  <si>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</si>
  <si>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</si>
  <si>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</si>
  <si>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</si>
  <si>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</si>
  <si>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</si>
  <si>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</si>
  <si>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</si>
  <si>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</si>
  <si>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</si>
  <si>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</si>
  <si>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</si>
  <si>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</si>
  <si>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</si>
  <si>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</si>
  <si>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</si>
  <si>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</si>
  <si>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</si>
  <si>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</si>
  <si>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</si>
  <si>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</si>
  <si>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</si>
  <si>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</si>
  <si>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</si>
  <si>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</si>
  <si>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</si>
  <si>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</si>
  <si>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</si>
  <si>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</si>
  <si>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</si>
  <si>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</si>
  <si>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</si>
  <si>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</si>
  <si>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</si>
  <si>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</si>
  <si>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</si>
  <si>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</si>
  <si>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</si>
  <si>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</si>
  <si>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</si>
  <si>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</si>
  <si>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</si>
  <si>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</si>
  <si>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</si>
  <si>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</si>
  <si>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</si>
  <si>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</si>
  <si>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</si>
  <si>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</si>
  <si>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</si>
  <si>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</si>
  <si>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</si>
  <si>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</si>
  <si>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</si>
  <si>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</si>
  <si>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</si>
  <si>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</si>
  <si>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</si>
  <si>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</si>
  <si>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</si>
  <si>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</si>
  <si>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</si>
  <si>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</si>
  <si>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</si>
  <si>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</si>
  <si>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</si>
  <si>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</si>
  <si>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</si>
  <si>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</si>
  <si>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</si>
  <si>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</si>
  <si>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</si>
  <si>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</si>
  <si>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</si>
  <si>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</si>
  <si>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</si>
  <si>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</si>
  <si>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</si>
  <si>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</si>
  <si>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</si>
  <si>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</si>
  <si>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</si>
  <si>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</si>
  <si>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</si>
  <si>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</si>
  <si>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</si>
  <si>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</si>
  <si>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</si>
  <si>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</si>
  <si>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</si>
  <si>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</si>
  <si>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</si>
  <si>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</si>
  <si>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</si>
  <si>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</si>
  <si>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</si>
  <si>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</si>
  <si>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</si>
  <si>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</si>
  <si>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</si>
  <si>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</si>
  <si>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</si>
  <si>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</si>
  <si>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</si>
  <si>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</si>
  <si>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</si>
  <si>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</si>
  <si>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</si>
  <si>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</si>
  <si>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</si>
  <si>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</si>
  <si>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</si>
  <si>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</si>
  <si>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</si>
  <si>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</si>
  <si>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</si>
  <si>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</si>
  <si>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</si>
  <si>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</si>
  <si>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</si>
  <si>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</si>
  <si>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</si>
  <si>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</si>
  <si>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</si>
  <si>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</si>
  <si>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</si>
  <si>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</si>
  <si>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</si>
  <si>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</si>
  <si>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</si>
  <si>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</si>
  <si>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</si>
  <si>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</si>
  <si>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</si>
  <si>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</si>
  <si>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</si>
  <si>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</si>
  <si>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</si>
  <si>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</si>
  <si>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</si>
  <si>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</si>
  <si>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</si>
  <si>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</si>
  <si>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</si>
  <si>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</si>
  <si>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</si>
  <si>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</si>
  <si>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</si>
  <si>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</si>
  <si>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</si>
  <si>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</si>
  <si>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</si>
  <si>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</si>
  <si>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</si>
  <si>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</si>
  <si>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</si>
  <si>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</si>
  <si>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</si>
  <si>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</si>
  <si>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</si>
  <si>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</si>
  <si>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</si>
  <si>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</si>
  <si>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</si>
  <si>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</si>
  <si>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</si>
  <si>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</si>
  <si>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</si>
  <si>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</si>
  <si>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</si>
  <si>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</si>
  <si>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</si>
  <si>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</si>
  <si>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</si>
  <si>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</si>
  <si>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</si>
  <si>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</si>
  <si>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</si>
  <si>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</si>
  <si>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</si>
  <si>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</si>
  <si>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</si>
  <si>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</si>
  <si>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</si>
  <si>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</si>
  <si>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</si>
  <si>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</si>
  <si>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</si>
  <si>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</si>
  <si>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</si>
  <si>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</si>
  <si>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</si>
  <si>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</si>
  <si>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</si>
  <si>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</si>
  <si>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</si>
  <si>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</si>
  <si>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</si>
  <si>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</si>
  <si>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</si>
  <si>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</si>
  <si>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</si>
  <si>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</si>
  <si>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</si>
  <si>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</si>
  <si>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</si>
  <si>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</si>
  <si>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</si>
  <si>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</si>
  <si>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</si>
  <si>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</si>
  <si>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</si>
  <si>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</si>
  <si>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</si>
  <si>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</si>
  <si>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</si>
  <si>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</si>
  <si>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</si>
  <si>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</si>
  <si>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</si>
  <si>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</si>
  <si>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</si>
  <si>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</si>
  <si>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</si>
  <si>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</si>
  <si>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</si>
  <si>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</si>
  <si>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</si>
  <si>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</si>
  <si>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</si>
  <si>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</si>
  <si>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</si>
  <si>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</si>
  <si>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</si>
  <si>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</si>
  <si>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</si>
  <si>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</si>
  <si>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</si>
  <si>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</si>
  <si>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</si>
  <si>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</si>
  <si>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</si>
  <si>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</si>
  <si>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</si>
  <si>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</si>
  <si>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</si>
  <si>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</si>
  <si>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</si>
  <si>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</si>
  <si>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</si>
  <si>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</si>
  <si>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</si>
  <si>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</si>
  <si>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</si>
  <si>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</si>
  <si>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</si>
  <si>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</si>
  <si>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</si>
  <si>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</si>
  <si>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</si>
  <si>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</si>
  <si>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</si>
  <si>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</si>
  <si>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</si>
  <si>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</si>
  <si>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</si>
  <si>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</si>
  <si>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</si>
  <si>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</si>
  <si>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</si>
  <si>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</si>
  <si>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</si>
  <si>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</si>
  <si>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</si>
  <si>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</si>
  <si>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</si>
  <si>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</si>
  <si>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</si>
  <si>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</si>
  <si>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</si>
  <si>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</si>
  <si>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</si>
  <si>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</si>
  <si>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</si>
  <si>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</si>
  <si>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</si>
  <si>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</si>
  <si>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</si>
  <si>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</si>
  <si>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</si>
  <si>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</si>
  <si>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</si>
  <si>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</si>
  <si>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</si>
  <si>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</si>
  <si>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</si>
  <si>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</si>
  <si>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</si>
  <si>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</si>
  <si>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</si>
  <si>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</si>
  <si>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</si>
  <si>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</si>
  <si>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</si>
  <si>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</si>
  <si>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</si>
  <si>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</si>
  <si>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</si>
  <si>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</si>
  <si>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</si>
  <si>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</si>
  <si>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</si>
  <si>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</si>
  <si>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</si>
  <si>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</si>
  <si>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</si>
  <si>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</si>
  <si>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</si>
  <si>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</si>
  <si>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</si>
  <si>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</si>
  <si>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</si>
  <si>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</si>
  <si>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</si>
  <si>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</si>
  <si>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</si>
  <si>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</si>
  <si>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</si>
  <si>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</si>
  <si>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</si>
  <si>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</si>
  <si>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</si>
  <si>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</si>
  <si>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</si>
  <si>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</si>
  <si>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</si>
  <si>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</si>
  <si>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</si>
  <si>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</si>
  <si>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</si>
  <si>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</si>
  <si>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</si>
  <si>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</si>
  <si>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</si>
  <si>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</si>
  <si>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</si>
  <si>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</si>
  <si>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</si>
  <si>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</si>
  <si>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</si>
  <si>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</si>
  <si>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</si>
  <si>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</si>
  <si>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</si>
  <si>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</si>
  <si>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</si>
  <si>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</si>
  <si>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</si>
  <si>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</si>
  <si>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</si>
  <si>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</si>
  <si>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</si>
  <si>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</si>
  <si>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</si>
  <si>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</si>
  <si>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</si>
  <si>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</si>
  <si>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</si>
  <si>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</si>
  <si>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</si>
  <si>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</si>
  <si>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</si>
  <si>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</si>
  <si>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</si>
  <si>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</si>
  <si>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</si>
  <si>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</si>
  <si>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</si>
  <si>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</si>
  <si>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</si>
  <si>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</si>
  <si>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</si>
  <si>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</si>
  <si>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</si>
  <si>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</si>
  <si>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</si>
  <si>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</si>
  <si>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</si>
  <si>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</si>
  <si>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</si>
  <si>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</si>
  <si>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</si>
  <si>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</si>
  <si>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</si>
  <si>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</si>
  <si>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</si>
  <si>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</si>
  <si>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</si>
  <si>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</si>
  <si>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</si>
  <si>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</si>
  <si>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</si>
  <si>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</si>
  <si>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</si>
  <si>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</si>
  <si>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</si>
  <si>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</si>
  <si>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</si>
  <si>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</si>
  <si>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</si>
  <si>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</si>
  <si>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</si>
  <si>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</si>
  <si>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</si>
  <si>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</si>
  <si>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</si>
  <si>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</si>
  <si>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</si>
  <si>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</si>
  <si>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</si>
  <si>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</si>
  <si>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</si>
  <si>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</si>
  <si>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</si>
  <si>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</si>
  <si>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</si>
  <si>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</si>
  <si>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</si>
  <si>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</si>
  <si>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</si>
  <si>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</si>
  <si>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</si>
  <si>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</si>
  <si>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</si>
  <si>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</si>
  <si>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</si>
  <si>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</si>
  <si>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</si>
  <si>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</si>
  <si>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</si>
  <si>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</si>
  <si>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</si>
  <si>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</si>
  <si>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</si>
  <si>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</si>
  <si>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</si>
  <si>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</si>
  <si>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</si>
  <si>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</si>
  <si>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</si>
  <si>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</si>
  <si>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</si>
  <si>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</si>
  <si>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</si>
  <si>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</si>
  <si>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</si>
  <si>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</si>
  <si>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</si>
  <si>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</si>
  <si>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</si>
  <si>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</si>
  <si>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</si>
  <si>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</si>
  <si>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</si>
  <si>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</si>
  <si>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</si>
  <si>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</si>
  <si>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</si>
  <si>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</si>
  <si>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</si>
  <si>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</si>
  <si>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</si>
  <si>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</si>
  <si>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</si>
  <si>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</si>
  <si>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</si>
  <si>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</si>
  <si>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</si>
  <si>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</si>
  <si>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</si>
  <si>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</si>
  <si>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</si>
  <si>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</si>
  <si>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</si>
  <si>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</si>
  <si>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</si>
  <si>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</si>
  <si>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</si>
  <si>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</si>
  <si>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</si>
  <si>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</si>
  <si>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</si>
  <si>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</si>
  <si>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</si>
  <si>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</si>
  <si>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</si>
  <si>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</si>
  <si>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</si>
  <si>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</si>
  <si>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</si>
  <si>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</si>
  <si>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</si>
  <si>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</si>
  <si>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</si>
  <si>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</si>
  <si>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</si>
  <si>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</si>
  <si>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</si>
  <si>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</si>
  <si>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</si>
  <si>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Ver. 04.08.25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</si>
</sst>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9">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0" fillId="0" borderId="0" xfId="0" applyNumberFormat="1"/>
    <xf numFmtId="0" fontId="36" fillId="0" borderId="0" xfId="0" applyFont="1" applyAlignment="1" applyProtection="1">
      <alignment horizontal="right"/>
      <protection hidden="1"/>
    </xf>
  </cellXfs>
  <cellStyles count="4">
    <cellStyle name="Accent1" xfId="3" builtinId="29"/>
    <cellStyle name="Normal" xfId="0" builtinId="0"/>
    <cellStyle name="Normal 2" xfId="2" xr:uid="{00000000-0005-0000-0000-000001000000}"/>
    <cellStyle name="Normal 3" xfId="1" xr:uid="{00000000-0005-0000-0000-00000200000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font>
        <color rgb="FF006100"/>
      </font>
      <fill>
        <patternFill>
          <bgColor rgb="FFC6EFCE"/>
        </patternFill>
      </fill>
    </dxf>
    <dxf>
      <font>
        <color rgb="FF9C5700"/>
      </font>
      <fill>
        <patternFill>
          <bgColor rgb="FFFFEB9C"/>
        </patternFill>
      </fil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0" formatCode="General"/>
    </dxf>
    <dxf>
      <font>
        <color rgb="FF9C0006"/>
      </font>
      <fill>
        <patternFill>
          <bgColor rgb="FFFFC7CE"/>
        </patternFill>
      </fill>
    </dxf>
    <dxf>
      <font>
        <color rgb="FF9C5700"/>
      </font>
      <fill>
        <patternFill patternType="lightUp">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52"/>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4080"/>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0">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23">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22"/>
    <tableColumn id="3" xr3:uid="{3C2AA4EE-2EA3-4E39-96BE-88D7CD62515A}" name="MID" dataDxfId="21"/>
    <tableColumn id="4" xr3:uid="{040AEA25-6926-41E6-8F6C-D2ACD028C50A}" name="HIGH" dataDxfId="2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19"/>
    <tableColumn id="2" xr3:uid="{8DDC443A-F464-4586-BFBC-A283955AD65B}" uniqueName="2" name="LOW" queryTableFieldId="5" dataDxfId="2"/>
    <tableColumn id="3" xr3:uid="{12C80642-7065-4132-9FAE-8DCBB91FB621}" uniqueName="3" name="MID" queryTableFieldId="6" dataDxfId="1"/>
    <tableColumn id="4" xr3:uid="{7A720683-61F0-475F-B332-B3C7D41A03C7}" uniqueName="4" name="HIGH" queryTableFieldId="7"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18">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15">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14"/>
    <tableColumn id="5" xr3:uid="{51C18AEB-AFA1-40C6-99F7-31918CDAD643}" name="Serial No." dataDxfId="13"/>
    <tableColumn id="16" xr3:uid="{FFB7175C-ED75-4B9F-BEC5-83968A309C8A}" name="companyid2" dataDxfId="12">
      <calculatedColumnFormula>IFERROR(Table6[[#This Row],[companyid]]=DropDowns!$N$20,TRUE)</calculatedColumnFormula>
    </tableColumn>
    <tableColumn id="13" xr3:uid="{CC10DF6B-814B-4265-B224-9576F82CE6C8}" name="categoryname2" dataDxfId="11">
      <calculatedColumnFormula>OR(Worksheet!$D$5="",Worksheet!$D$5=Table6[[#This Row],[categoryname]])</calculatedColumnFormula>
    </tableColumn>
    <tableColumn id="12" xr3:uid="{98E27DFC-7E03-45B7-94AF-FB45BF292C56}" name="Manufacturer2" dataDxfId="10">
      <calculatedColumnFormula>OR(Worksheet!$D$7="",Worksheet!$D$7=Table6[[#This Row],[Manufacturer]])</calculatedColumnFormula>
    </tableColumn>
    <tableColumn id="14" xr3:uid="{CA054403-3098-4B4E-8A8D-C8CAFEC2B7C3}" name="Model2" dataDxfId="9">
      <calculatedColumnFormula>OR(Worksheet!$G$7="",Worksheet!$G$7=Table6[[#This Row],[Model No.]])</calculatedColumnFormula>
    </tableColumn>
    <tableColumn id="15" xr3:uid="{518BC2A9-019F-42EB-A45C-C4CF4B038E5F}" name="SN2" dataDxfId="8">
      <calculatedColumnFormula>OR(Worksheet!$D$8="",Worksheet!$D$8=Table6[[#This Row],[Serial No.]])</calculatedColumnFormula>
    </tableColumn>
    <tableColumn id="6" xr3:uid="{5C77DBEA-26A2-4AC0-8265-0418C3F4F4C5}" name="companyid FILTER" dataDxfId="7">
      <calculatedColumnFormula>AND(Table6[[#This Row],[categoryname2]:[SN2]])</calculatedColumnFormula>
    </tableColumn>
    <tableColumn id="7" xr3:uid="{03409555-2DFD-41BD-AA31-CEEE3C506752}" name="categoryname FILTER" dataDxfId="6">
      <calculatedColumnFormula>AND(Table6[[#This Row],[companyid2]],Table6[[#This Row],[Manufacturer2]:[SN2]])</calculatedColumnFormula>
    </tableColumn>
    <tableColumn id="8" xr3:uid="{D61C1540-467D-4DAB-A0EE-6046A4ABA245}" name="Manufacturer FILTER" dataDxfId="5">
      <calculatedColumnFormula>AND(Table6[[#This Row],[companyid2]:[categoryname2]],Table6[[#This Row],[Model2]:[SN2]])</calculatedColumnFormula>
    </tableColumn>
    <tableColumn id="9" xr3:uid="{22D13A03-D734-4738-ADD3-2DDC6F38CEBF}" name="Model FILTER" dataDxfId="4">
      <calculatedColumnFormula>AND(Table6[[#This Row],[companyid2]:[Manufacturer2]],Table6[[#This Row],[SN2]])</calculatedColumnFormula>
    </tableColumn>
    <tableColumn id="10" xr3:uid="{22EA9B94-FD09-42B7-BBB1-F8CAC3A70E43}" name="SN FILTER" dataDxfId="3">
      <calculatedColumnFormula>AND(Table6[[#This Row],[companyid2]:[Model2]])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58" t="s">
        <v>1147</v>
      </c>
      <c r="B1" s="129" t="s">
        <v>0</v>
      </c>
      <c r="C1" s="129"/>
      <c r="D1" s="129"/>
      <c r="E1" s="129"/>
      <c r="F1" s="129"/>
      <c r="G1" s="129"/>
      <c r="H1" s="129"/>
      <c r="I1" s="129"/>
      <c r="J1" s="129"/>
      <c r="K1" s="129"/>
      <c r="L1" s="129"/>
      <c r="M1" s="129"/>
      <c r="N1" s="129"/>
      <c r="O1" s="129"/>
      <c r="P1" s="125" t="s">
        <v>1</v>
      </c>
      <c r="Q1" s="125"/>
      <c r="R1" s="125"/>
      <c r="S1" s="125"/>
      <c r="W1" t="s">
        <v>2</v>
      </c>
    </row>
    <row r="2" spans="1:28" ht="26.25" x14ac:dyDescent="0.4">
      <c r="A2" s="79"/>
      <c r="B2" s="130" t="s">
        <v>3</v>
      </c>
      <c r="C2" s="130"/>
      <c r="D2" s="130"/>
      <c r="E2" s="130"/>
      <c r="F2" s="130"/>
      <c r="G2" s="130"/>
      <c r="H2" s="130"/>
      <c r="I2" s="130"/>
      <c r="J2" s="130"/>
      <c r="K2" s="130"/>
      <c r="L2" s="130"/>
      <c r="M2" s="130"/>
      <c r="N2" s="130"/>
      <c r="O2" s="130"/>
      <c r="P2" s="78" t="s">
        <v>4</v>
      </c>
      <c r="Q2" s="37"/>
      <c r="R2" s="37"/>
      <c r="U2" s="16" t="s">
        <v>5</v>
      </c>
      <c r="V2" s="17" t="s">
        <v>6</v>
      </c>
      <c r="W2" s="17"/>
      <c r="X2" s="17"/>
      <c r="Y2" s="17"/>
      <c r="Z2" s="17"/>
    </row>
    <row r="3" spans="1:28" ht="15.75" x14ac:dyDescent="0.25">
      <c r="C3" s="4" t="s">
        <v>7</v>
      </c>
      <c r="D3" s="139"/>
      <c r="E3" s="139"/>
      <c r="F3" s="91" t="s">
        <v>8</v>
      </c>
      <c r="G3" s="142"/>
      <c r="H3" s="142"/>
      <c r="K3" s="4" t="s">
        <v>9</v>
      </c>
      <c r="L3" s="114" t="s">
        <v>10</v>
      </c>
      <c r="N3" s="131"/>
      <c r="O3" s="131"/>
      <c r="P3" s="63" t="s">
        <v>11</v>
      </c>
      <c r="U3" s="4" t="s">
        <v>12</v>
      </c>
      <c r="V3" s="57"/>
      <c r="W3" s="48"/>
      <c r="X3" s="48"/>
      <c r="Y3" s="48"/>
      <c r="Z3" s="48"/>
    </row>
    <row r="4" spans="1:28" ht="15.75" x14ac:dyDescent="0.25">
      <c r="C4" s="4" t="s">
        <v>13</v>
      </c>
      <c r="D4" s="140"/>
      <c r="E4" s="140"/>
      <c r="F4" s="90" t="s">
        <v>14</v>
      </c>
      <c r="G4" s="142"/>
      <c r="H4" s="142"/>
      <c r="K4" s="92" t="str">
        <f>IFERROR(VLOOKUP($D$4,Table1[],2,FALSE),"")</f>
        <v/>
      </c>
      <c r="L4" s="19"/>
      <c r="N4" s="132"/>
      <c r="O4" s="132"/>
      <c r="P4" s="64" t="s">
        <v>15</v>
      </c>
      <c r="U4" s="4" t="s">
        <v>16</v>
      </c>
      <c r="V4" s="57"/>
      <c r="W4" s="48" t="b">
        <v>1</v>
      </c>
      <c r="X4" s="48"/>
      <c r="Y4" s="48"/>
      <c r="Z4" s="48"/>
      <c r="AA4" s="112"/>
    </row>
    <row r="5" spans="1:28" ht="15.75" x14ac:dyDescent="0.25">
      <c r="C5" s="4" t="s">
        <v>17</v>
      </c>
      <c r="D5" s="137"/>
      <c r="E5" s="137"/>
      <c r="F5" s="90" t="s">
        <v>18</v>
      </c>
      <c r="G5" s="142"/>
      <c r="H5" s="142"/>
      <c r="K5" s="92" t="str">
        <f>IFERROR(VLOOKUP($D$4,Table1[],3,FALSE),"")</f>
        <v/>
      </c>
      <c r="M5" s="4" t="s">
        <v>19</v>
      </c>
      <c r="N5" s="56"/>
      <c r="P5" s="64" t="s">
        <v>20</v>
      </c>
      <c r="U5" s="4" t="s">
        <v>21</v>
      </c>
      <c r="V5" s="57"/>
      <c r="W5" s="48"/>
      <c r="X5" s="48"/>
      <c r="Y5" s="48"/>
      <c r="Z5" s="48"/>
    </row>
    <row r="6" spans="1:28" ht="15.75" x14ac:dyDescent="0.25">
      <c r="C6" s="4" t="s">
        <v>22</v>
      </c>
      <c r="D6" s="141"/>
      <c r="E6" s="141"/>
      <c r="F6" s="90" t="s">
        <v>23</v>
      </c>
      <c r="G6" s="142"/>
      <c r="H6" s="142"/>
      <c r="I6" t="s">
        <v>24</v>
      </c>
      <c r="K6" s="92" t="str">
        <f>IFERROR(VLOOKUP($D$4,Table1[],4,FALSE),"")</f>
        <v/>
      </c>
      <c r="M6" s="4" t="s">
        <v>25</v>
      </c>
      <c r="N6" s="58"/>
      <c r="P6" s="64" t="s">
        <v>26</v>
      </c>
      <c r="U6" s="4" t="s">
        <v>27</v>
      </c>
      <c r="V6" s="57"/>
      <c r="W6" s="48"/>
      <c r="X6" s="48"/>
      <c r="Y6" s="48"/>
      <c r="Z6" s="48"/>
    </row>
    <row r="7" spans="1:28" ht="15.75" x14ac:dyDescent="0.25">
      <c r="C7" s="4" t="s">
        <v>28</v>
      </c>
      <c r="D7" s="141"/>
      <c r="E7" s="141"/>
      <c r="F7" s="4" t="s">
        <v>29</v>
      </c>
      <c r="G7" s="142"/>
      <c r="H7" s="142"/>
      <c r="I7" s="83" t="str">
        <f>D7 &amp; " " &amp; G7</f>
        <v xml:space="preserve"> </v>
      </c>
      <c r="M7" s="4" t="s">
        <v>30</v>
      </c>
      <c r="N7" s="58"/>
      <c r="P7" s="64" t="s">
        <v>31</v>
      </c>
      <c r="U7" s="4" t="s">
        <v>32</v>
      </c>
      <c r="V7" s="57"/>
      <c r="W7" s="48"/>
      <c r="X7" s="48"/>
      <c r="Y7" s="48"/>
      <c r="Z7" s="48"/>
    </row>
    <row r="8" spans="1:28" ht="15.75" x14ac:dyDescent="0.25">
      <c r="C8" s="4" t="s">
        <v>33</v>
      </c>
      <c r="D8" s="136"/>
      <c r="E8" s="136"/>
      <c r="M8" s="4" t="s">
        <v>34</v>
      </c>
      <c r="N8" s="59"/>
      <c r="P8" s="64" t="s">
        <v>35</v>
      </c>
      <c r="U8" s="4" t="s">
        <v>36</v>
      </c>
      <c r="V8" s="57"/>
      <c r="W8" s="48"/>
      <c r="X8" s="48"/>
      <c r="Y8" s="48"/>
      <c r="Z8" s="48"/>
    </row>
    <row r="9" spans="1:28" ht="15.75" x14ac:dyDescent="0.25">
      <c r="C9" s="4" t="s">
        <v>37</v>
      </c>
      <c r="D9" s="137"/>
      <c r="E9" s="137"/>
      <c r="H9" t="s">
        <v>38</v>
      </c>
      <c r="J9" s="114" t="s">
        <v>146</v>
      </c>
      <c r="M9" s="4" t="s">
        <v>39</v>
      </c>
      <c r="N9" s="60"/>
      <c r="P9" s="64" t="s">
        <v>40</v>
      </c>
      <c r="U9" s="4"/>
    </row>
    <row r="10" spans="1:28" x14ac:dyDescent="0.25">
      <c r="B10" s="121" t="s">
        <v>41</v>
      </c>
      <c r="C10" s="121"/>
      <c r="D10" s="121"/>
      <c r="E10" s="121"/>
      <c r="F10" s="121"/>
      <c r="G10" s="121"/>
      <c r="H10" s="121"/>
      <c r="I10" s="121"/>
      <c r="J10" s="121"/>
      <c r="K10" s="121"/>
      <c r="L10" s="121"/>
      <c r="M10" s="121"/>
      <c r="N10" s="121"/>
      <c r="O10" s="121"/>
      <c r="P10" s="18"/>
      <c r="Q10" s="18"/>
      <c r="R10" s="18"/>
      <c r="U10" s="69" t="s">
        <v>42</v>
      </c>
      <c r="V10" s="17" t="s">
        <v>6</v>
      </c>
      <c r="W10" s="17"/>
      <c r="X10" s="17"/>
      <c r="Y10" s="17"/>
      <c r="Z10" s="17"/>
    </row>
    <row r="11" spans="1:28" x14ac:dyDescent="0.25">
      <c r="C11" s="4" t="s">
        <v>43</v>
      </c>
      <c r="D11" s="115" t="s">
        <v>146</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1" t="s">
        <v>41</v>
      </c>
      <c r="C13" s="121"/>
      <c r="D13" s="121"/>
      <c r="E13" s="121"/>
      <c r="F13" s="121"/>
      <c r="G13" s="121"/>
      <c r="H13" s="121"/>
      <c r="I13" s="121"/>
      <c r="J13" s="121"/>
      <c r="K13" s="121"/>
      <c r="L13" s="121"/>
      <c r="M13" s="121"/>
      <c r="N13" s="121"/>
      <c r="O13" s="121"/>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2" t="s">
        <v>52</v>
      </c>
      <c r="C16" s="122"/>
      <c r="D16" s="122" t="s">
        <v>53</v>
      </c>
      <c r="E16" s="122"/>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19"/>
      <c r="T17" s="119"/>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3"/>
      <c r="E18" s="124"/>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3"/>
      <c r="E19" s="124"/>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3"/>
      <c r="E20" s="124"/>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0"/>
      <c r="E21" s="120"/>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8"/>
      <c r="E22" s="118"/>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8"/>
      <c r="E23" s="118"/>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8"/>
      <c r="E24" s="118"/>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0"/>
      <c r="E25" s="120"/>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8"/>
      <c r="E26" s="118"/>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8"/>
      <c r="E27" s="118"/>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8"/>
      <c r="E28" s="118"/>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0"/>
      <c r="E29" s="120"/>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8"/>
      <c r="E30" s="118"/>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8"/>
      <c r="E31" s="118"/>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8"/>
      <c r="E32" s="118"/>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0"/>
      <c r="E33" s="120"/>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8"/>
      <c r="E34" s="118"/>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8"/>
      <c r="E35" s="118"/>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8"/>
      <c r="E36" s="118"/>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0"/>
      <c r="E37" s="120"/>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8"/>
      <c r="E38" s="118"/>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8"/>
      <c r="E39" s="118"/>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8"/>
      <c r="E40" s="118"/>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0"/>
      <c r="E41" s="120"/>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8"/>
      <c r="E42" s="118"/>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8"/>
      <c r="E43" s="118"/>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8"/>
      <c r="E44" s="118"/>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3"/>
      <c r="C46" s="134"/>
      <c r="D46" s="134"/>
      <c r="E46" s="134"/>
      <c r="F46" s="134"/>
      <c r="G46" s="134"/>
      <c r="H46" s="134"/>
      <c r="I46" s="134"/>
      <c r="J46" s="134"/>
      <c r="K46" s="134"/>
      <c r="L46" s="135"/>
      <c r="M46" s="9"/>
      <c r="N46" t="s">
        <v>84</v>
      </c>
      <c r="O46" s="138" t="str">
        <f>IFERROR(VLOOKUP(B46,DropDowns!H13:I15,2,FALSE),"")</f>
        <v/>
      </c>
      <c r="P46" s="138"/>
      <c r="Q46" s="12"/>
      <c r="R46" s="12"/>
      <c r="U46" s="27"/>
      <c r="V46" s="27"/>
      <c r="W46" s="27"/>
      <c r="X46" s="27"/>
      <c r="Y46" s="27"/>
      <c r="Z46" s="27"/>
    </row>
    <row r="47" spans="1:35" x14ac:dyDescent="0.25">
      <c r="A47" s="4" t="s">
        <v>85</v>
      </c>
      <c r="B47" s="126"/>
      <c r="C47" s="127"/>
      <c r="D47" s="127"/>
      <c r="E47" s="127"/>
      <c r="F47" s="127"/>
      <c r="G47" s="127"/>
      <c r="H47" s="127"/>
      <c r="I47" s="127"/>
      <c r="J47" s="127"/>
      <c r="K47" s="127"/>
      <c r="L47" s="128"/>
      <c r="N47" t="s">
        <v>86</v>
      </c>
      <c r="O47" s="138" t="str">
        <f>IFERROR(VLOOKUP(B47,DropDowns!H3:I8,2,FALSE),"")</f>
        <v/>
      </c>
      <c r="P47" s="138"/>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wM+sacikylb0ZKRWWeRJ5mxq+UTrfjyH1/QFuoquboD0ZFoZ9PmbcuF5y+QSSj2Y//NfjAAvghTBbVlqbSa//g==" saltValue="yjomcnCaN3eQkIBgz5w7fQ=="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32"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72liLBenj5LK2YVRsOdGLA/hJpAu3mik7uA8ASGd53ocKP443OS5INZXBDgtfe2d2DhNVp899bBtbX1sl/dZLA==" saltValue="ODDp3NKsBUIHDa+netRazQ=="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1121</v>
      </c>
      <c r="B1" s="117" t="s">
        <v>1120</v>
      </c>
    </row>
    <row r="2" spans="1:16" x14ac:dyDescent="0.25">
      <c r="A2" t="str">
        <f>IF($B$2, "/P ", " ")</f>
        <v xml:space="preserve"> </v>
      </c>
      <c r="B2" t="b">
        <f>Worksheet!D$11="YES"</f>
        <v>0</v>
      </c>
    </row>
    <row r="3" spans="1:16" s="116" customFormat="1" x14ac:dyDescent="0.25"/>
    <row r="4" spans="1:16" x14ac:dyDescent="0.25">
      <c r="A4" s="108" t="s">
        <v>135</v>
      </c>
    </row>
    <row r="5" spans="1:16" x14ac:dyDescent="0.25">
      <c r="A5" s="103" t="s">
        <v>104</v>
      </c>
      <c r="B5" s="103" t="s">
        <v>53</v>
      </c>
      <c r="C5" s="15" t="s">
        <v>56</v>
      </c>
      <c r="D5" s="15" t="s">
        <v>57</v>
      </c>
      <c r="E5" s="15"/>
      <c r="F5" s="15"/>
      <c r="G5" s="15"/>
      <c r="H5" s="15" t="s">
        <v>61</v>
      </c>
      <c r="I5" s="15" t="s">
        <v>62</v>
      </c>
      <c r="J5" s="15" t="s">
        <v>63</v>
      </c>
      <c r="K5" s="36" t="s">
        <v>64</v>
      </c>
      <c r="L5" s="15" t="s">
        <v>105</v>
      </c>
      <c r="P5" s="15" t="s">
        <v>136</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137</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2"/>
  <sheetViews>
    <sheetView showGridLines="0" view="pageBreakPreview" zoomScaleNormal="100" zoomScaleSheetLayoutView="100" workbookViewId="0">
      <selection activeCell="A52" sqref="A52:M54"/>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0" t="s">
        <v>87</v>
      </c>
      <c r="C1" s="130"/>
      <c r="D1" s="130"/>
      <c r="E1" s="130"/>
      <c r="F1" s="130"/>
      <c r="G1" s="130"/>
      <c r="H1" s="130"/>
      <c r="I1" s="130"/>
      <c r="J1" s="130"/>
      <c r="K1" s="130"/>
    </row>
    <row r="2" spans="1:54" ht="18.75" x14ac:dyDescent="0.3">
      <c r="B2" s="144" t="s">
        <v>88</v>
      </c>
      <c r="C2" s="144"/>
      <c r="D2" s="144"/>
      <c r="E2" s="144"/>
      <c r="F2" s="144"/>
      <c r="G2" s="144"/>
      <c r="H2" s="144"/>
      <c r="I2" s="144"/>
      <c r="J2" s="144"/>
      <c r="K2" s="144"/>
      <c r="AG2" s="121"/>
      <c r="AH2" s="121"/>
      <c r="AJ2" s="121"/>
      <c r="AK2" s="121"/>
      <c r="AM2" s="121"/>
      <c r="AN2" s="121"/>
      <c r="AP2" s="121"/>
      <c r="AQ2" s="121"/>
      <c r="AR2" s="18"/>
      <c r="AS2" s="121"/>
      <c r="AT2" s="121"/>
    </row>
    <row r="3" spans="1:54" ht="18.75" x14ac:dyDescent="0.3">
      <c r="B3" s="144" t="s">
        <v>89</v>
      </c>
      <c r="C3" s="144"/>
      <c r="D3" s="144"/>
      <c r="E3" s="144"/>
      <c r="F3" s="144"/>
      <c r="G3" s="144"/>
      <c r="H3" s="144"/>
      <c r="I3" s="144"/>
      <c r="J3" s="144"/>
      <c r="K3" s="144"/>
    </row>
    <row r="4" spans="1:54" ht="23.25" x14ac:dyDescent="0.35">
      <c r="B4" s="71"/>
      <c r="C4" s="72"/>
      <c r="D4" s="146" t="s">
        <v>127</v>
      </c>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128</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t="str">
        <f>IF(Worksheet!D8="","",Worksheet!D8)</f>
        <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ht="15" customHeight="1" x14ac:dyDescent="0.25">
      <c r="A16" s="121" t="s">
        <v>100</v>
      </c>
      <c r="B16" s="121"/>
      <c r="C16" s="121"/>
      <c r="D16" s="121"/>
      <c r="E16" s="121"/>
      <c r="F16" s="121"/>
      <c r="G16" s="121"/>
      <c r="H16" s="121"/>
      <c r="I16" s="121"/>
      <c r="J16" s="121"/>
      <c r="K16" s="121"/>
      <c r="L16" s="121"/>
      <c r="M16" s="121"/>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1" t="s">
        <v>100</v>
      </c>
      <c r="B19" s="121"/>
      <c r="C19" s="121"/>
      <c r="D19" s="121"/>
      <c r="E19" s="121"/>
      <c r="F19" s="121"/>
      <c r="G19" s="121"/>
      <c r="H19" s="121"/>
      <c r="I19" s="121"/>
      <c r="J19" s="121"/>
      <c r="K19" s="121"/>
      <c r="L19" s="121"/>
      <c r="M19" s="121"/>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1" t="s">
        <v>100</v>
      </c>
      <c r="B49" s="121"/>
      <c r="C49" s="121"/>
      <c r="D49" s="121"/>
      <c r="E49" s="121"/>
      <c r="F49" s="121"/>
      <c r="G49" s="121"/>
      <c r="H49" s="121"/>
      <c r="I49" s="121"/>
      <c r="J49" s="121"/>
      <c r="K49" s="121"/>
      <c r="L49" s="121"/>
      <c r="M49" s="121"/>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4"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4"/>
      <c r="C52" s="154"/>
      <c r="D52" s="154"/>
      <c r="E52" s="154"/>
      <c r="F52" s="154"/>
      <c r="G52" s="154"/>
      <c r="H52" s="154"/>
      <c r="I52" s="154"/>
      <c r="J52" s="154"/>
      <c r="K52" s="154"/>
      <c r="L52" s="154"/>
      <c r="M52" s="154"/>
    </row>
    <row r="53" spans="1:27" ht="18" customHeight="1" x14ac:dyDescent="0.25">
      <c r="A53" s="154"/>
      <c r="B53" s="154"/>
      <c r="C53" s="154"/>
      <c r="D53" s="154"/>
      <c r="E53" s="154"/>
      <c r="F53" s="154"/>
      <c r="G53" s="154"/>
      <c r="H53" s="154"/>
      <c r="I53" s="154"/>
      <c r="J53" s="154"/>
      <c r="K53" s="154"/>
      <c r="L53" s="154"/>
      <c r="M53" s="154"/>
    </row>
    <row r="54" spans="1:27" ht="18" customHeight="1" x14ac:dyDescent="0.25">
      <c r="A54" s="154"/>
      <c r="B54" s="154"/>
      <c r="C54" s="154"/>
      <c r="D54" s="154"/>
      <c r="E54" s="154"/>
      <c r="F54" s="154"/>
      <c r="G54" s="154"/>
      <c r="H54" s="154"/>
      <c r="I54" s="154"/>
      <c r="J54" s="154"/>
      <c r="K54" s="154"/>
      <c r="L54" s="154"/>
      <c r="M54" s="154"/>
    </row>
    <row r="55" spans="1:27" x14ac:dyDescent="0.25">
      <c r="A55" s="121" t="s">
        <v>100</v>
      </c>
      <c r="B55" s="121"/>
      <c r="C55" s="121"/>
      <c r="D55" s="121"/>
      <c r="E55" s="121"/>
      <c r="F55" s="121"/>
      <c r="G55" s="121"/>
      <c r="H55" s="121"/>
      <c r="I55" s="121"/>
      <c r="J55" s="121"/>
      <c r="K55" s="121"/>
      <c r="L55" s="121"/>
      <c r="M55" s="121"/>
    </row>
    <row r="56" spans="1:27" ht="15" customHeight="1" x14ac:dyDescent="0.25">
      <c r="A56" s="77" t="s">
        <v>109</v>
      </c>
      <c r="B56" s="155" t="s">
        <v>129</v>
      </c>
      <c r="C56" s="155"/>
      <c r="D56" s="155"/>
      <c r="E56" s="155"/>
      <c r="F56" s="155"/>
      <c r="G56" s="155"/>
      <c r="H56" s="155"/>
      <c r="I56" s="155"/>
      <c r="J56" s="155"/>
      <c r="K56" s="155"/>
      <c r="L56" s="155"/>
      <c r="M56" s="155"/>
      <c r="O56" s="151" t="str">
        <f>IFERROR(VLOOKUP(Worksheet!$B46,DropDowns!H13:J15,3,FALSE),"")</f>
        <v/>
      </c>
      <c r="P56" s="151"/>
      <c r="Q56" s="151"/>
      <c r="R56" s="151"/>
      <c r="S56" s="151"/>
      <c r="T56" s="151"/>
      <c r="U56" s="151"/>
      <c r="V56" s="151"/>
      <c r="W56" s="151"/>
      <c r="X56" s="151"/>
      <c r="Y56" s="151"/>
      <c r="Z56" s="151"/>
      <c r="AA56" s="151"/>
    </row>
    <row r="57" spans="1:27" ht="15" customHeight="1" x14ac:dyDescent="0.25">
      <c r="A57" s="1"/>
      <c r="B57" s="155"/>
      <c r="C57" s="155"/>
      <c r="D57" s="155"/>
      <c r="E57" s="155"/>
      <c r="F57" s="155"/>
      <c r="G57" s="155"/>
      <c r="H57" s="155"/>
      <c r="I57" s="155"/>
      <c r="J57" s="155"/>
      <c r="K57" s="155"/>
      <c r="L57" s="155"/>
      <c r="M57" s="155"/>
      <c r="O57" s="151"/>
      <c r="P57" s="151"/>
      <c r="Q57" s="151"/>
      <c r="R57" s="151"/>
      <c r="S57" s="151"/>
      <c r="T57" s="151"/>
      <c r="U57" s="151"/>
      <c r="V57" s="151"/>
      <c r="W57" s="151"/>
      <c r="X57" s="151"/>
      <c r="Y57" s="151"/>
      <c r="Z57" s="151"/>
      <c r="AA57" s="151"/>
    </row>
    <row r="58" spans="1:27" ht="20.100000000000001" customHeight="1" x14ac:dyDescent="0.25">
      <c r="A58" s="1"/>
      <c r="B58" s="155"/>
      <c r="C58" s="155"/>
      <c r="D58" s="155"/>
      <c r="E58" s="155"/>
      <c r="F58" s="155"/>
      <c r="G58" s="155"/>
      <c r="H58" s="155"/>
      <c r="I58" s="155"/>
      <c r="J58" s="155"/>
      <c r="K58" s="155"/>
      <c r="L58" s="155"/>
      <c r="M58" s="155"/>
      <c r="O58" s="151"/>
      <c r="P58" s="151"/>
      <c r="Q58" s="151"/>
      <c r="R58" s="151"/>
      <c r="S58" s="151"/>
      <c r="T58" s="151"/>
      <c r="U58" s="151"/>
      <c r="V58" s="151"/>
      <c r="W58" s="151"/>
      <c r="X58" s="151"/>
      <c r="Y58" s="151"/>
      <c r="Z58" s="151"/>
      <c r="AA58" s="151"/>
    </row>
    <row r="59" spans="1:27" ht="15.75" x14ac:dyDescent="0.25">
      <c r="A59" s="1" t="s">
        <v>9</v>
      </c>
      <c r="B59" s="143" t="str">
        <f>IF(Worksheet!L3="","",Worksheet!L3)</f>
        <v>Used</v>
      </c>
      <c r="C59" s="143"/>
    </row>
    <row r="60" spans="1:27" ht="15.75" x14ac:dyDescent="0.25">
      <c r="A60" s="1" t="s">
        <v>111</v>
      </c>
      <c r="B60" s="143" t="str">
        <f>Worksheet!O46</f>
        <v/>
      </c>
      <c r="C60" s="143"/>
    </row>
    <row r="61" spans="1:27" ht="12" customHeight="1" x14ac:dyDescent="0.25">
      <c r="A61" s="153" t="str">
        <f>'CERT AL'!A61</f>
        <v/>
      </c>
      <c r="B61" s="153"/>
      <c r="C61" s="153"/>
      <c r="D61" s="153"/>
      <c r="E61" s="153"/>
      <c r="F61" s="153"/>
      <c r="G61" s="153"/>
      <c r="H61" s="153"/>
      <c r="I61" s="153"/>
      <c r="J61" s="153"/>
      <c r="K61" s="153"/>
      <c r="L61" s="153"/>
      <c r="M61" s="153"/>
    </row>
    <row r="62" spans="1:27" ht="12" customHeight="1" x14ac:dyDescent="0.25">
      <c r="A62" s="153"/>
      <c r="B62" s="153"/>
      <c r="C62" s="153"/>
      <c r="D62" s="153"/>
      <c r="E62" s="153"/>
      <c r="F62" s="153"/>
      <c r="G62" s="153"/>
      <c r="H62" s="153"/>
      <c r="I62" s="153"/>
      <c r="J62" s="153"/>
      <c r="K62" s="153"/>
      <c r="L62" s="153"/>
      <c r="M62" s="153"/>
    </row>
    <row r="63" spans="1:27" x14ac:dyDescent="0.25">
      <c r="A63" s="121" t="s">
        <v>100</v>
      </c>
      <c r="B63" s="121"/>
      <c r="C63" s="121"/>
      <c r="D63" s="121"/>
      <c r="E63" s="121"/>
      <c r="F63" s="121"/>
      <c r="G63" s="121"/>
      <c r="H63" s="121"/>
      <c r="I63" s="121"/>
      <c r="J63" s="121"/>
      <c r="K63" s="121"/>
      <c r="L63" s="121"/>
      <c r="M63" s="121"/>
    </row>
    <row r="68" spans="1:15" x14ac:dyDescent="0.25">
      <c r="A68" s="152"/>
      <c r="B68" s="152"/>
      <c r="C68" s="152"/>
      <c r="D68" s="152"/>
      <c r="E68" s="152"/>
      <c r="F68" s="152"/>
      <c r="G68" s="152"/>
      <c r="H68" s="152"/>
      <c r="I68" s="152"/>
      <c r="J68" s="152"/>
      <c r="K68" s="152"/>
      <c r="L68" s="152"/>
      <c r="M68" s="152"/>
      <c r="N68" s="152"/>
      <c r="O68" s="152"/>
    </row>
    <row r="69" spans="1:15" x14ac:dyDescent="0.25">
      <c r="A69" s="152"/>
      <c r="B69" s="152"/>
      <c r="C69" s="152"/>
      <c r="D69" s="152"/>
      <c r="E69" s="152"/>
      <c r="F69" s="152"/>
      <c r="G69" s="152"/>
      <c r="H69" s="152"/>
      <c r="I69" s="152"/>
      <c r="J69" s="152"/>
      <c r="K69" s="152"/>
      <c r="L69" s="152"/>
      <c r="M69" s="152"/>
      <c r="N69" s="152"/>
      <c r="O69" s="152"/>
    </row>
    <row r="70" spans="1:15" x14ac:dyDescent="0.25">
      <c r="A70" s="152"/>
      <c r="B70" s="152"/>
      <c r="C70" s="152"/>
      <c r="D70" s="152"/>
      <c r="E70" s="152"/>
      <c r="F70" s="152"/>
      <c r="G70" s="152"/>
      <c r="H70" s="152"/>
      <c r="I70" s="152"/>
      <c r="J70" s="152"/>
      <c r="K70" s="152"/>
      <c r="L70" s="152"/>
      <c r="M70" s="152"/>
      <c r="N70" s="152"/>
      <c r="O70" s="152"/>
    </row>
    <row r="71" spans="1:15" x14ac:dyDescent="0.25">
      <c r="A71" s="152"/>
      <c r="B71" s="152"/>
      <c r="C71" s="152"/>
      <c r="D71" s="152"/>
      <c r="E71" s="152"/>
      <c r="F71" s="152"/>
      <c r="G71" s="152"/>
      <c r="H71" s="152"/>
      <c r="I71" s="152"/>
      <c r="J71" s="152"/>
      <c r="K71" s="152"/>
      <c r="L71" s="152"/>
      <c r="M71" s="152"/>
      <c r="N71" s="152"/>
      <c r="O71" s="152"/>
    </row>
    <row r="72" spans="1:15" x14ac:dyDescent="0.25">
      <c r="A72" s="152"/>
      <c r="B72" s="152"/>
      <c r="C72" s="152"/>
      <c r="D72" s="152"/>
      <c r="E72" s="152"/>
      <c r="F72" s="152"/>
      <c r="G72" s="152"/>
      <c r="H72" s="152"/>
      <c r="I72" s="152"/>
      <c r="J72" s="152"/>
      <c r="K72" s="152"/>
      <c r="L72" s="152"/>
      <c r="M72" s="152"/>
      <c r="N72" s="152"/>
      <c r="O72" s="152"/>
    </row>
    <row r="73" spans="1:15" x14ac:dyDescent="0.25">
      <c r="A73" s="152"/>
      <c r="B73" s="152"/>
      <c r="C73" s="152"/>
      <c r="D73" s="152"/>
      <c r="E73" s="152"/>
      <c r="F73" s="152"/>
      <c r="G73" s="152"/>
      <c r="H73" s="152"/>
      <c r="I73" s="152"/>
      <c r="J73" s="152"/>
      <c r="K73" s="152"/>
      <c r="L73" s="152"/>
      <c r="M73" s="152"/>
      <c r="N73" s="152"/>
      <c r="O73" s="152"/>
    </row>
    <row r="74" spans="1:15" x14ac:dyDescent="0.25">
      <c r="A74" s="152"/>
      <c r="B74" s="152"/>
      <c r="C74" s="152"/>
      <c r="D74" s="152"/>
      <c r="E74" s="152"/>
      <c r="F74" s="152"/>
      <c r="G74" s="152"/>
      <c r="H74" s="152"/>
      <c r="I74" s="152"/>
      <c r="J74" s="152"/>
      <c r="K74" s="152"/>
      <c r="L74" s="152"/>
      <c r="M74" s="152"/>
      <c r="N74" s="152"/>
      <c r="O74" s="152"/>
    </row>
    <row r="75" spans="1:15" x14ac:dyDescent="0.25">
      <c r="A75" s="152"/>
      <c r="B75" s="152"/>
      <c r="C75" s="152"/>
      <c r="D75" s="152"/>
      <c r="E75" s="152"/>
      <c r="F75" s="152"/>
      <c r="G75" s="152"/>
      <c r="H75" s="152"/>
      <c r="I75" s="152"/>
      <c r="J75" s="152"/>
      <c r="K75" s="152"/>
      <c r="L75" s="152"/>
      <c r="M75" s="152"/>
      <c r="N75" s="152"/>
      <c r="O75" s="152"/>
    </row>
    <row r="78" spans="1:15" x14ac:dyDescent="0.25">
      <c r="B78" s="54"/>
    </row>
    <row r="79" spans="1:15" x14ac:dyDescent="0.25">
      <c r="B79" s="2"/>
      <c r="C79" s="2"/>
      <c r="D79" s="2"/>
      <c r="E79" s="2"/>
      <c r="F79" s="2"/>
      <c r="G79" s="2"/>
      <c r="H79" s="2"/>
      <c r="I79" s="2"/>
      <c r="J79" s="2"/>
      <c r="K79" s="2"/>
      <c r="L79" s="2"/>
      <c r="M79" s="2"/>
      <c r="N79" s="2"/>
      <c r="O79" s="2"/>
    </row>
    <row r="80" spans="1:15" x14ac:dyDescent="0.25">
      <c r="B80" s="2"/>
      <c r="C80" s="2"/>
      <c r="D80" s="2"/>
      <c r="E80" s="2"/>
      <c r="F80" s="2"/>
      <c r="G80" s="2"/>
      <c r="H80" s="2"/>
      <c r="I80" s="2"/>
      <c r="J80" s="2"/>
      <c r="K80" s="2"/>
      <c r="L80" s="2"/>
      <c r="M80" s="2"/>
      <c r="N80" s="2"/>
      <c r="O80" s="2"/>
    </row>
    <row r="81" spans="1:15" x14ac:dyDescent="0.25">
      <c r="B81" s="2"/>
      <c r="C81" s="2"/>
      <c r="D81" s="2"/>
      <c r="E81" s="2"/>
      <c r="F81" s="2"/>
      <c r="G81" s="2"/>
      <c r="H81" s="2"/>
      <c r="I81" s="2"/>
      <c r="J81" s="2"/>
      <c r="K81" s="2"/>
      <c r="L81" s="2"/>
      <c r="M81" s="2"/>
      <c r="N81" s="2"/>
      <c r="O81" s="2"/>
    </row>
    <row r="82" spans="1:15" x14ac:dyDescent="0.25">
      <c r="A82" s="2"/>
      <c r="B82" s="2"/>
      <c r="C82" s="2"/>
      <c r="D82" s="2"/>
      <c r="E82" s="2"/>
      <c r="F82" s="2"/>
      <c r="G82" s="2"/>
      <c r="H82" s="2"/>
      <c r="I82" s="2"/>
      <c r="J82" s="2"/>
      <c r="K82" s="2"/>
      <c r="L82" s="2"/>
      <c r="M82" s="2"/>
      <c r="N82" s="2"/>
      <c r="O82" s="2"/>
    </row>
    <row r="83" spans="1:15" x14ac:dyDescent="0.25">
      <c r="A83" s="2"/>
      <c r="B83" s="2"/>
      <c r="C83" s="2"/>
      <c r="D83" s="2"/>
      <c r="E83" s="2"/>
      <c r="F83" s="2"/>
      <c r="G83" s="2"/>
      <c r="H83" s="2"/>
      <c r="I83" s="2"/>
      <c r="J83" s="2"/>
      <c r="K83" s="2"/>
      <c r="L83" s="2"/>
      <c r="M83" s="2"/>
      <c r="N83" s="2"/>
      <c r="O83" s="2"/>
    </row>
    <row r="84" spans="1:15" x14ac:dyDescent="0.25">
      <c r="B84" s="2"/>
      <c r="C84" s="2"/>
      <c r="D84" s="2"/>
      <c r="E84" s="2"/>
      <c r="F84" s="2"/>
      <c r="G84" s="2"/>
      <c r="H84" s="2"/>
      <c r="I84" s="2"/>
      <c r="J84" s="2"/>
      <c r="K84" s="2"/>
      <c r="L84" s="2"/>
      <c r="M84" s="2"/>
      <c r="N84" s="2"/>
      <c r="O84" s="2"/>
    </row>
    <row r="85" spans="1:15" x14ac:dyDescent="0.25">
      <c r="B85" s="2"/>
      <c r="C85" s="2"/>
      <c r="D85" s="2"/>
      <c r="E85" s="2"/>
      <c r="F85" s="2"/>
      <c r="G85" s="2"/>
      <c r="H85" s="2"/>
      <c r="I85" s="2"/>
      <c r="J85" s="2"/>
      <c r="K85" s="2"/>
      <c r="L85" s="2"/>
      <c r="M85" s="2"/>
      <c r="N85" s="2"/>
      <c r="O85" s="2"/>
    </row>
    <row r="86" spans="1:15" x14ac:dyDescent="0.25">
      <c r="A86" s="2"/>
      <c r="B86" s="2"/>
      <c r="C86" s="2"/>
      <c r="D86" s="2"/>
      <c r="E86" s="2"/>
      <c r="F86" s="2"/>
      <c r="G86" s="2"/>
      <c r="H86" s="2"/>
      <c r="I86" s="2"/>
      <c r="J86" s="2"/>
      <c r="K86" s="2"/>
      <c r="L86" s="2"/>
      <c r="M86" s="2"/>
      <c r="N86" s="2"/>
      <c r="O86" s="2"/>
    </row>
    <row r="87" spans="1:15" x14ac:dyDescent="0.25">
      <c r="A87" s="24"/>
      <c r="B87" s="24"/>
      <c r="C87" s="24"/>
      <c r="D87" s="24"/>
      <c r="E87" s="24"/>
      <c r="F87" s="24"/>
      <c r="G87" s="24"/>
      <c r="H87" s="24"/>
      <c r="I87" s="24"/>
      <c r="J87" s="24"/>
      <c r="K87" s="24"/>
      <c r="L87" s="24"/>
      <c r="M87" s="24"/>
    </row>
    <row r="88" spans="1:15" x14ac:dyDescent="0.25">
      <c r="A88" s="24"/>
      <c r="B88" s="24"/>
      <c r="C88" s="24"/>
      <c r="D88" s="24"/>
      <c r="E88" s="24"/>
      <c r="F88" s="24"/>
      <c r="G88" s="24"/>
      <c r="H88" s="24"/>
      <c r="I88" s="24"/>
      <c r="J88" s="24"/>
      <c r="K88" s="24"/>
      <c r="L88" s="24"/>
      <c r="M88" s="24"/>
    </row>
    <row r="89" spans="1:15" x14ac:dyDescent="0.25">
      <c r="A89" s="25"/>
      <c r="B89" s="25"/>
      <c r="C89" s="25"/>
      <c r="D89" s="25"/>
      <c r="E89" s="25"/>
      <c r="F89" s="25"/>
      <c r="G89" s="25"/>
      <c r="H89" s="25"/>
      <c r="I89" s="25"/>
      <c r="J89" s="25"/>
      <c r="K89" s="25"/>
      <c r="L89" s="25"/>
      <c r="M89" s="25"/>
    </row>
    <row r="92" spans="1:15" x14ac:dyDescent="0.25">
      <c r="A92" s="24"/>
      <c r="B92" s="24"/>
      <c r="C92" s="24"/>
      <c r="D92" s="24"/>
      <c r="E92" s="24"/>
      <c r="F92" s="24"/>
      <c r="G92" s="24"/>
      <c r="H92" s="24"/>
      <c r="I92" s="24"/>
      <c r="J92" s="24"/>
      <c r="K92" s="24"/>
      <c r="L92" s="24"/>
      <c r="M92" s="24"/>
    </row>
  </sheetData>
  <sheetProtection algorithmName="SHA-512" hashValue="v5Kwb3vyRGGUjoB7Y2yiZ+jDRZhg/tO0cCwc9WngjhC3LYMI4k0j2lU6E6PpgNBkC3N8gcuk5PDQeKxLDeywMw==" saltValue="z/2eBua85aoD6Pk2gM+77w==" spinCount="100000" sheet="1" objects="1" scenarios="1"/>
  <protectedRanges>
    <protectedRange sqref="B56:M58" name="AF Comments"/>
    <protectedRange sqref="F6:G6" name="AF page number"/>
  </protectedRanges>
  <mergeCells count="28">
    <mergeCell ref="AG2:AH2"/>
    <mergeCell ref="AJ2:AK2"/>
    <mergeCell ref="AM2:AN2"/>
    <mergeCell ref="AP2:AQ2"/>
    <mergeCell ref="AS2:AT2"/>
    <mergeCell ref="A68:O75"/>
    <mergeCell ref="A61:M62"/>
    <mergeCell ref="A52:M54"/>
    <mergeCell ref="B56:M58"/>
    <mergeCell ref="B59:C59"/>
    <mergeCell ref="B60:C60"/>
    <mergeCell ref="A55:M55"/>
    <mergeCell ref="A63:M63"/>
    <mergeCell ref="J12:K12"/>
    <mergeCell ref="J13:K13"/>
    <mergeCell ref="J14:K14"/>
    <mergeCell ref="J15:K15"/>
    <mergeCell ref="O56:AA58"/>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2"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90"/>
  <sheetViews>
    <sheetView showGridLines="0" view="pageBreakPreview" zoomScaleNormal="100" zoomScaleSheetLayoutView="100" workbookViewId="0">
      <selection activeCell="A79" sqref="A79:O8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0" t="s">
        <v>87</v>
      </c>
      <c r="C1" s="130"/>
      <c r="D1" s="130"/>
      <c r="E1" s="130"/>
      <c r="F1" s="130"/>
      <c r="G1" s="130"/>
      <c r="H1" s="130"/>
      <c r="I1" s="130"/>
      <c r="J1" s="130"/>
      <c r="K1" s="130"/>
    </row>
    <row r="2" spans="1:54" ht="18.75" x14ac:dyDescent="0.3">
      <c r="B2" s="144" t="s">
        <v>88</v>
      </c>
      <c r="C2" s="144"/>
      <c r="D2" s="144"/>
      <c r="E2" s="144"/>
      <c r="F2" s="144"/>
      <c r="G2" s="144"/>
      <c r="H2" s="144"/>
      <c r="I2" s="144"/>
      <c r="J2" s="144"/>
      <c r="K2" s="144"/>
      <c r="AG2" s="121"/>
      <c r="AH2" s="121"/>
      <c r="AJ2" s="121"/>
      <c r="AK2" s="121"/>
      <c r="AM2" s="121"/>
      <c r="AN2" s="121"/>
      <c r="AP2" s="121"/>
      <c r="AQ2" s="121"/>
      <c r="AR2" s="18"/>
      <c r="AS2" s="121"/>
      <c r="AT2" s="121"/>
    </row>
    <row r="3" spans="1:54" ht="18.75" x14ac:dyDescent="0.3">
      <c r="B3" s="144" t="s">
        <v>89</v>
      </c>
      <c r="C3" s="144"/>
      <c r="D3" s="144"/>
      <c r="E3" s="144"/>
      <c r="F3" s="144"/>
      <c r="G3" s="144"/>
      <c r="H3" s="144"/>
      <c r="I3" s="144"/>
      <c r="J3" s="144"/>
      <c r="K3" s="144"/>
    </row>
    <row r="4" spans="1:54" ht="23.25" x14ac:dyDescent="0.35">
      <c r="B4" s="71"/>
      <c r="C4" s="72"/>
      <c r="D4" s="146"/>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91</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t="str">
        <f>IF(Worksheet!D8="","",Worksheet!D8)</f>
        <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x14ac:dyDescent="0.25">
      <c r="A16" s="121" t="s">
        <v>100</v>
      </c>
      <c r="B16" s="121"/>
      <c r="C16" s="121"/>
      <c r="D16" s="121"/>
      <c r="E16" s="121"/>
      <c r="F16" s="121"/>
      <c r="G16" s="121"/>
      <c r="H16" s="121"/>
      <c r="I16" s="121"/>
      <c r="J16" s="121"/>
      <c r="K16" s="121"/>
      <c r="L16" s="121"/>
      <c r="M16" s="121"/>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1" t="s">
        <v>100</v>
      </c>
      <c r="B19" s="121"/>
      <c r="C19" s="121"/>
      <c r="D19" s="121"/>
      <c r="E19" s="121"/>
      <c r="F19" s="121"/>
      <c r="G19" s="121"/>
      <c r="H19" s="121"/>
      <c r="I19" s="121"/>
      <c r="J19" s="121"/>
      <c r="K19" s="121"/>
      <c r="L19" s="121"/>
      <c r="M19" s="121"/>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1" t="s">
        <v>100</v>
      </c>
      <c r="B49" s="121"/>
      <c r="C49" s="121"/>
      <c r="D49" s="121"/>
      <c r="E49" s="121"/>
      <c r="F49" s="121"/>
      <c r="G49" s="121"/>
      <c r="H49" s="121"/>
      <c r="I49" s="121"/>
      <c r="J49" s="121"/>
      <c r="K49" s="121"/>
      <c r="L49" s="121"/>
      <c r="M49" s="121"/>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4" t="str">
        <f>IF(Worksheet!D11="Yes",'CERT AL'!A79,'CERT AL'!A68)</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4"/>
      <c r="C52" s="154"/>
      <c r="D52" s="154"/>
      <c r="E52" s="154"/>
      <c r="F52" s="154"/>
      <c r="G52" s="154"/>
      <c r="H52" s="154"/>
      <c r="I52" s="154"/>
      <c r="J52" s="154"/>
      <c r="K52" s="154"/>
      <c r="L52" s="154"/>
      <c r="M52" s="154"/>
    </row>
    <row r="53" spans="1:27" ht="18" customHeight="1" x14ac:dyDescent="0.25">
      <c r="A53" s="154"/>
      <c r="B53" s="154"/>
      <c r="C53" s="154"/>
      <c r="D53" s="154"/>
      <c r="E53" s="154"/>
      <c r="F53" s="154"/>
      <c r="G53" s="154"/>
      <c r="H53" s="154"/>
      <c r="I53" s="154"/>
      <c r="J53" s="154"/>
      <c r="K53" s="154"/>
      <c r="L53" s="154"/>
      <c r="M53" s="154"/>
    </row>
    <row r="54" spans="1:27" ht="18" customHeight="1" x14ac:dyDescent="0.25">
      <c r="A54" s="154"/>
      <c r="B54" s="154"/>
      <c r="C54" s="154"/>
      <c r="D54" s="154"/>
      <c r="E54" s="154"/>
      <c r="F54" s="154"/>
      <c r="G54" s="154"/>
      <c r="H54" s="154"/>
      <c r="I54" s="154"/>
      <c r="J54" s="154"/>
      <c r="K54" s="154"/>
      <c r="L54" s="154"/>
      <c r="M54" s="154"/>
    </row>
    <row r="55" spans="1:27" x14ac:dyDescent="0.25">
      <c r="A55" s="121" t="s">
        <v>100</v>
      </c>
      <c r="B55" s="121"/>
      <c r="C55" s="121"/>
      <c r="D55" s="121"/>
      <c r="E55" s="121"/>
      <c r="F55" s="121"/>
      <c r="G55" s="121"/>
      <c r="H55" s="121"/>
      <c r="I55" s="121"/>
      <c r="J55" s="121"/>
      <c r="K55" s="121"/>
      <c r="L55" s="121"/>
      <c r="M55" s="121"/>
    </row>
    <row r="56" spans="1:27" ht="15" customHeight="1" x14ac:dyDescent="0.25">
      <c r="A56" s="77" t="s">
        <v>109</v>
      </c>
      <c r="B56" s="155" t="s">
        <v>110</v>
      </c>
      <c r="C56" s="155"/>
      <c r="D56" s="155"/>
      <c r="E56" s="155"/>
      <c r="F56" s="155"/>
      <c r="G56" s="155"/>
      <c r="H56" s="155"/>
      <c r="I56" s="155"/>
      <c r="J56" s="155"/>
      <c r="K56" s="155"/>
      <c r="L56" s="155"/>
      <c r="M56" s="155"/>
      <c r="O56" s="151" t="str">
        <f>IFERROR(VLOOKUP(Worksheet!$B47,DropDowns!H3:J8,3,FALSE),"")</f>
        <v/>
      </c>
      <c r="P56" s="151"/>
      <c r="Q56" s="151"/>
      <c r="R56" s="151"/>
      <c r="S56" s="151"/>
      <c r="T56" s="151"/>
      <c r="U56" s="151"/>
      <c r="V56" s="151"/>
      <c r="W56" s="151"/>
      <c r="X56" s="151"/>
      <c r="Y56" s="151"/>
      <c r="Z56" s="151"/>
      <c r="AA56" s="151"/>
    </row>
    <row r="57" spans="1:27" ht="15" customHeight="1" x14ac:dyDescent="0.25">
      <c r="A57" s="1"/>
      <c r="B57" s="155"/>
      <c r="C57" s="155"/>
      <c r="D57" s="155"/>
      <c r="E57" s="155"/>
      <c r="F57" s="155"/>
      <c r="G57" s="155"/>
      <c r="H57" s="155"/>
      <c r="I57" s="155"/>
      <c r="J57" s="155"/>
      <c r="K57" s="155"/>
      <c r="L57" s="155"/>
      <c r="M57" s="155"/>
      <c r="O57" s="151"/>
      <c r="P57" s="151"/>
      <c r="Q57" s="151"/>
      <c r="R57" s="151"/>
      <c r="S57" s="151"/>
      <c r="T57" s="151"/>
      <c r="U57" s="151"/>
      <c r="V57" s="151"/>
      <c r="W57" s="151"/>
      <c r="X57" s="151"/>
      <c r="Y57" s="151"/>
      <c r="Z57" s="151"/>
      <c r="AA57" s="151"/>
    </row>
    <row r="58" spans="1:27" ht="20.100000000000001" customHeight="1" x14ac:dyDescent="0.25">
      <c r="A58" s="1"/>
      <c r="B58" s="155"/>
      <c r="C58" s="155"/>
      <c r="D58" s="155"/>
      <c r="E58" s="155"/>
      <c r="F58" s="155"/>
      <c r="G58" s="155"/>
      <c r="H58" s="155"/>
      <c r="I58" s="155"/>
      <c r="J58" s="155"/>
      <c r="K58" s="155"/>
      <c r="L58" s="155"/>
      <c r="M58" s="155"/>
      <c r="O58" s="151"/>
      <c r="P58" s="151"/>
      <c r="Q58" s="151"/>
      <c r="R58" s="151"/>
      <c r="S58" s="151"/>
      <c r="T58" s="151"/>
      <c r="U58" s="151"/>
      <c r="V58" s="151"/>
      <c r="W58" s="151"/>
      <c r="X58" s="151"/>
      <c r="Y58" s="151"/>
      <c r="Z58" s="151"/>
      <c r="AA58" s="151"/>
    </row>
    <row r="59" spans="1:27" ht="15.75" x14ac:dyDescent="0.25">
      <c r="A59" s="1" t="s">
        <v>9</v>
      </c>
      <c r="B59" s="143" t="str">
        <f>IF(Worksheet!L3="","",Worksheet!L3)</f>
        <v>Used</v>
      </c>
      <c r="C59" s="143"/>
    </row>
    <row r="60" spans="1:27" ht="15.75" x14ac:dyDescent="0.25">
      <c r="A60" s="1" t="s">
        <v>111</v>
      </c>
      <c r="B60" s="143" t="str">
        <f>Worksheet!O47</f>
        <v/>
      </c>
      <c r="C60" s="143"/>
    </row>
    <row r="61" spans="1:27" ht="12" customHeight="1" x14ac:dyDescent="0.25">
      <c r="A61" s="153" t="str">
        <f>IF(Worksheet!D11="YES",'CERT AL'!A89,"")</f>
        <v/>
      </c>
      <c r="B61" s="153"/>
      <c r="C61" s="153"/>
      <c r="D61" s="153"/>
      <c r="E61" s="153"/>
      <c r="F61" s="153"/>
      <c r="G61" s="153"/>
      <c r="H61" s="153"/>
      <c r="I61" s="153"/>
      <c r="J61" s="153"/>
      <c r="K61" s="153"/>
      <c r="L61" s="153"/>
      <c r="M61" s="153"/>
    </row>
    <row r="62" spans="1:27" ht="12" customHeight="1" x14ac:dyDescent="0.25">
      <c r="A62" s="153"/>
      <c r="B62" s="153"/>
      <c r="C62" s="153"/>
      <c r="D62" s="153"/>
      <c r="E62" s="153"/>
      <c r="F62" s="153"/>
      <c r="G62" s="153"/>
      <c r="H62" s="153"/>
      <c r="I62" s="153"/>
      <c r="J62" s="153"/>
      <c r="K62" s="153"/>
      <c r="L62" s="153"/>
      <c r="M62" s="153"/>
    </row>
    <row r="63" spans="1:27" x14ac:dyDescent="0.25">
      <c r="A63" s="121" t="s">
        <v>100</v>
      </c>
      <c r="B63" s="121"/>
      <c r="C63" s="121"/>
      <c r="D63" s="121"/>
      <c r="E63" s="121"/>
      <c r="F63" s="121"/>
      <c r="G63" s="121"/>
      <c r="H63" s="121"/>
      <c r="I63" s="121"/>
      <c r="J63" s="121"/>
      <c r="K63" s="121"/>
      <c r="L63" s="121"/>
      <c r="M63" s="121"/>
    </row>
    <row r="67" spans="1:16" x14ac:dyDescent="0.25">
      <c r="A67" s="65" t="s">
        <v>112</v>
      </c>
    </row>
    <row r="68" spans="1:16" x14ac:dyDescent="0.25">
      <c r="A68" s="152" t="s">
        <v>1122</v>
      </c>
      <c r="B68" s="152"/>
      <c r="C68" s="152"/>
      <c r="D68" s="152"/>
      <c r="E68" s="152"/>
      <c r="F68" s="152"/>
      <c r="G68" s="152"/>
      <c r="H68" s="152"/>
      <c r="I68" s="152"/>
      <c r="J68" s="152"/>
      <c r="K68" s="152"/>
      <c r="L68" s="152"/>
      <c r="M68" s="152"/>
      <c r="N68" s="152"/>
      <c r="O68" s="152"/>
    </row>
    <row r="69" spans="1:16" x14ac:dyDescent="0.25">
      <c r="A69" s="152"/>
      <c r="B69" s="152"/>
      <c r="C69" s="152"/>
      <c r="D69" s="152"/>
      <c r="E69" s="152"/>
      <c r="F69" s="152"/>
      <c r="G69" s="152"/>
      <c r="H69" s="152"/>
      <c r="I69" s="152"/>
      <c r="J69" s="152"/>
      <c r="K69" s="152"/>
      <c r="L69" s="152"/>
      <c r="M69" s="152"/>
      <c r="N69" s="152"/>
      <c r="O69" s="152"/>
    </row>
    <row r="70" spans="1:16" x14ac:dyDescent="0.25">
      <c r="A70" s="152"/>
      <c r="B70" s="152"/>
      <c r="C70" s="152"/>
      <c r="D70" s="152"/>
      <c r="E70" s="152"/>
      <c r="F70" s="152"/>
      <c r="G70" s="152"/>
      <c r="H70" s="152"/>
      <c r="I70" s="152"/>
      <c r="J70" s="152"/>
      <c r="K70" s="152"/>
      <c r="L70" s="152"/>
      <c r="M70" s="152"/>
      <c r="N70" s="152"/>
      <c r="O70" s="152"/>
    </row>
    <row r="71" spans="1:16" x14ac:dyDescent="0.25">
      <c r="A71" s="152"/>
      <c r="B71" s="152"/>
      <c r="C71" s="152"/>
      <c r="D71" s="152"/>
      <c r="E71" s="152"/>
      <c r="F71" s="152"/>
      <c r="G71" s="152"/>
      <c r="H71" s="152"/>
      <c r="I71" s="152"/>
      <c r="J71" s="152"/>
      <c r="K71" s="152"/>
      <c r="L71" s="152"/>
      <c r="M71" s="152"/>
      <c r="N71" s="152"/>
      <c r="O71" s="152"/>
    </row>
    <row r="72" spans="1:16" x14ac:dyDescent="0.25">
      <c r="A72" s="152"/>
      <c r="B72" s="152"/>
      <c r="C72" s="152"/>
      <c r="D72" s="152"/>
      <c r="E72" s="152"/>
      <c r="F72" s="152"/>
      <c r="G72" s="152"/>
      <c r="H72" s="152"/>
      <c r="I72" s="152"/>
      <c r="J72" s="152"/>
      <c r="K72" s="152"/>
      <c r="L72" s="152"/>
      <c r="M72" s="152"/>
      <c r="N72" s="152"/>
      <c r="O72" s="152"/>
    </row>
    <row r="73" spans="1:16" x14ac:dyDescent="0.25">
      <c r="A73" s="152"/>
      <c r="B73" s="152"/>
      <c r="C73" s="152"/>
      <c r="D73" s="152"/>
      <c r="E73" s="152"/>
      <c r="F73" s="152"/>
      <c r="G73" s="152"/>
      <c r="H73" s="152"/>
      <c r="I73" s="152"/>
      <c r="J73" s="152"/>
      <c r="K73" s="152"/>
      <c r="L73" s="152"/>
      <c r="M73" s="152"/>
      <c r="N73" s="152"/>
      <c r="O73" s="152"/>
    </row>
    <row r="74" spans="1:16" x14ac:dyDescent="0.25">
      <c r="A74" s="152"/>
      <c r="B74" s="152"/>
      <c r="C74" s="152"/>
      <c r="D74" s="152"/>
      <c r="E74" s="152"/>
      <c r="F74" s="152"/>
      <c r="G74" s="152"/>
      <c r="H74" s="152"/>
      <c r="I74" s="152"/>
      <c r="J74" s="152"/>
      <c r="K74" s="152"/>
      <c r="L74" s="152"/>
      <c r="M74" s="152"/>
      <c r="N74" s="152"/>
      <c r="O74" s="152"/>
    </row>
    <row r="75" spans="1:16" x14ac:dyDescent="0.25">
      <c r="A75" s="152"/>
      <c r="B75" s="152"/>
      <c r="C75" s="152"/>
      <c r="D75" s="152"/>
      <c r="E75" s="152"/>
      <c r="F75" s="152"/>
      <c r="G75" s="152"/>
      <c r="H75" s="152"/>
      <c r="I75" s="152"/>
      <c r="J75" s="152"/>
      <c r="K75" s="152"/>
      <c r="L75" s="152"/>
      <c r="M75" s="152"/>
      <c r="N75" s="152"/>
      <c r="O75" s="152"/>
    </row>
    <row r="78" spans="1:16" x14ac:dyDescent="0.25">
      <c r="A78" s="65" t="s">
        <v>113</v>
      </c>
    </row>
    <row r="79" spans="1:16" ht="15" customHeight="1" x14ac:dyDescent="0.25">
      <c r="A79" s="152" t="s">
        <v>114</v>
      </c>
      <c r="B79" s="152"/>
      <c r="C79" s="152"/>
      <c r="D79" s="152"/>
      <c r="E79" s="152"/>
      <c r="F79" s="152"/>
      <c r="G79" s="152"/>
      <c r="H79" s="152"/>
      <c r="I79" s="152"/>
      <c r="J79" s="152"/>
      <c r="K79" s="152"/>
      <c r="L79" s="152"/>
      <c r="M79" s="152"/>
      <c r="N79" s="152"/>
      <c r="O79" s="152"/>
      <c r="P79" s="24"/>
    </row>
    <row r="80" spans="1:16" x14ac:dyDescent="0.25">
      <c r="A80" s="152"/>
      <c r="B80" s="152"/>
      <c r="C80" s="152"/>
      <c r="D80" s="152"/>
      <c r="E80" s="152"/>
      <c r="F80" s="152"/>
      <c r="G80" s="152"/>
      <c r="H80" s="152"/>
      <c r="I80" s="152"/>
      <c r="J80" s="152"/>
      <c r="K80" s="152"/>
      <c r="L80" s="152"/>
      <c r="M80" s="152"/>
      <c r="N80" s="152"/>
      <c r="O80" s="152"/>
      <c r="P80" s="24"/>
    </row>
    <row r="81" spans="1:16" x14ac:dyDescent="0.25">
      <c r="A81" s="152"/>
      <c r="B81" s="152"/>
      <c r="C81" s="152"/>
      <c r="D81" s="152"/>
      <c r="E81" s="152"/>
      <c r="F81" s="152"/>
      <c r="G81" s="152"/>
      <c r="H81" s="152"/>
      <c r="I81" s="152"/>
      <c r="J81" s="152"/>
      <c r="K81" s="152"/>
      <c r="L81" s="152"/>
      <c r="M81" s="152"/>
      <c r="N81" s="152"/>
      <c r="O81" s="152"/>
      <c r="P81" s="24"/>
    </row>
    <row r="82" spans="1:16" x14ac:dyDescent="0.25">
      <c r="A82" s="152"/>
      <c r="B82" s="152"/>
      <c r="C82" s="152"/>
      <c r="D82" s="152"/>
      <c r="E82" s="152"/>
      <c r="F82" s="152"/>
      <c r="G82" s="152"/>
      <c r="H82" s="152"/>
      <c r="I82" s="152"/>
      <c r="J82" s="152"/>
      <c r="K82" s="152"/>
      <c r="L82" s="152"/>
      <c r="M82" s="152"/>
      <c r="N82" s="152"/>
      <c r="O82" s="152"/>
      <c r="P82" s="24"/>
    </row>
    <row r="83" spans="1:16" x14ac:dyDescent="0.25">
      <c r="A83" s="152"/>
      <c r="B83" s="152"/>
      <c r="C83" s="152"/>
      <c r="D83" s="152"/>
      <c r="E83" s="152"/>
      <c r="F83" s="152"/>
      <c r="G83" s="152"/>
      <c r="H83" s="152"/>
      <c r="I83" s="152"/>
      <c r="J83" s="152"/>
      <c r="K83" s="152"/>
      <c r="L83" s="152"/>
      <c r="M83" s="152"/>
      <c r="N83" s="152"/>
      <c r="O83" s="152"/>
      <c r="P83" s="24"/>
    </row>
    <row r="84" spans="1:16" x14ac:dyDescent="0.25">
      <c r="A84" s="152"/>
      <c r="B84" s="152"/>
      <c r="C84" s="152"/>
      <c r="D84" s="152"/>
      <c r="E84" s="152"/>
      <c r="F84" s="152"/>
      <c r="G84" s="152"/>
      <c r="H84" s="152"/>
      <c r="I84" s="152"/>
      <c r="J84" s="152"/>
      <c r="K84" s="152"/>
      <c r="L84" s="152"/>
      <c r="M84" s="152"/>
      <c r="N84" s="152"/>
      <c r="O84" s="152"/>
      <c r="P84" s="24"/>
    </row>
    <row r="85" spans="1:16" x14ac:dyDescent="0.25">
      <c r="A85" s="152"/>
      <c r="B85" s="152"/>
      <c r="C85" s="152"/>
      <c r="D85" s="152"/>
      <c r="E85" s="152"/>
      <c r="F85" s="152"/>
      <c r="G85" s="152"/>
      <c r="H85" s="152"/>
      <c r="I85" s="152"/>
      <c r="J85" s="152"/>
      <c r="K85" s="152"/>
      <c r="L85" s="152"/>
      <c r="M85" s="152"/>
      <c r="N85" s="152"/>
      <c r="O85" s="152"/>
      <c r="P85" s="24"/>
    </row>
    <row r="86" spans="1:16" x14ac:dyDescent="0.25">
      <c r="A86" s="152"/>
      <c r="B86" s="152"/>
      <c r="C86" s="152"/>
      <c r="D86" s="152"/>
      <c r="E86" s="152"/>
      <c r="F86" s="152"/>
      <c r="G86" s="152"/>
      <c r="H86" s="152"/>
      <c r="I86" s="152"/>
      <c r="J86" s="152"/>
      <c r="K86" s="152"/>
      <c r="L86" s="152"/>
      <c r="M86" s="152"/>
      <c r="N86" s="152"/>
      <c r="O86" s="152"/>
      <c r="P86" s="24"/>
    </row>
    <row r="88" spans="1:16" x14ac:dyDescent="0.25">
      <c r="A88" s="65" t="s">
        <v>124</v>
      </c>
    </row>
    <row r="89" spans="1:16" x14ac:dyDescent="0.25">
      <c r="A89" s="152" t="s">
        <v>125</v>
      </c>
      <c r="B89" s="152"/>
      <c r="C89" s="152"/>
      <c r="D89" s="152"/>
      <c r="E89" s="152"/>
      <c r="F89" s="152"/>
      <c r="G89" s="152"/>
      <c r="H89" s="152"/>
      <c r="I89" s="152"/>
      <c r="J89" s="152"/>
      <c r="K89" s="152"/>
      <c r="L89" s="152"/>
      <c r="M89" s="152"/>
      <c r="N89" s="152"/>
      <c r="O89" s="152"/>
    </row>
    <row r="90" spans="1:16" x14ac:dyDescent="0.25">
      <c r="A90" s="152"/>
      <c r="B90" s="152"/>
      <c r="C90" s="152"/>
      <c r="D90" s="152"/>
      <c r="E90" s="152"/>
      <c r="F90" s="152"/>
      <c r="G90" s="152"/>
      <c r="H90" s="152"/>
      <c r="I90" s="152"/>
      <c r="J90" s="152"/>
      <c r="K90" s="152"/>
      <c r="L90" s="152"/>
      <c r="M90" s="152"/>
      <c r="N90" s="152"/>
      <c r="O90" s="152"/>
    </row>
  </sheetData>
  <sheetProtection algorithmName="SHA-512" hashValue="Dx1dB9T/2iUkSfKWleODvs1/uXIjfQj4c6QNtQieXyh74vJhVcEWdYKQrTPu3vRDQ/TdGh3zwIo2VVeRpetXvw==" saltValue="clGrBHY4Zad4ECY5YvqxaQ==" spinCount="100000" sheet="1" objects="1" scenarios="1"/>
  <protectedRanges>
    <protectedRange sqref="B56:M58" name="AL Comments"/>
    <protectedRange sqref="F6:G6" name="AL Pages"/>
  </protectedRanges>
  <mergeCells count="30">
    <mergeCell ref="A55:M55"/>
    <mergeCell ref="A63:M63"/>
    <mergeCell ref="AS2:AT2"/>
    <mergeCell ref="B59:C59"/>
    <mergeCell ref="B60:C60"/>
    <mergeCell ref="A52:M54"/>
    <mergeCell ref="J14:K14"/>
    <mergeCell ref="J15:K15"/>
    <mergeCell ref="A16:M16"/>
    <mergeCell ref="A19:M19"/>
    <mergeCell ref="A49:M49"/>
    <mergeCell ref="AG2:AH2"/>
    <mergeCell ref="AJ2:AK2"/>
    <mergeCell ref="AM2:AN2"/>
    <mergeCell ref="AP2:AQ2"/>
    <mergeCell ref="J13:K13"/>
    <mergeCell ref="A89:O90"/>
    <mergeCell ref="A61:M62"/>
    <mergeCell ref="A79:O86"/>
    <mergeCell ref="A68:O75"/>
    <mergeCell ref="B56:M58"/>
    <mergeCell ref="O56:AA58"/>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2"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138</v>
      </c>
      <c r="D2" s="108" t="s">
        <v>139</v>
      </c>
      <c r="H2" s="108" t="s">
        <v>140</v>
      </c>
      <c r="I2" s="108" t="s">
        <v>141</v>
      </c>
      <c r="J2" s="156" t="s">
        <v>1118</v>
      </c>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2:35" x14ac:dyDescent="0.25">
      <c r="B3" t="s">
        <v>142</v>
      </c>
      <c r="D3" t="s">
        <v>143</v>
      </c>
      <c r="H3" s="25" t="s">
        <v>115</v>
      </c>
      <c r="I3" t="s">
        <v>144</v>
      </c>
      <c r="J3" t="s">
        <v>110</v>
      </c>
    </row>
    <row r="4" spans="2:35" ht="15" customHeight="1" x14ac:dyDescent="0.25">
      <c r="B4" t="s">
        <v>145</v>
      </c>
      <c r="D4" t="s">
        <v>10</v>
      </c>
      <c r="H4" t="s">
        <v>116</v>
      </c>
      <c r="I4" t="s">
        <v>144</v>
      </c>
      <c r="J4" t="s">
        <v>117</v>
      </c>
    </row>
    <row r="5" spans="2:35" x14ac:dyDescent="0.25">
      <c r="B5" t="s">
        <v>146</v>
      </c>
      <c r="H5" t="s">
        <v>118</v>
      </c>
      <c r="I5" t="s">
        <v>144</v>
      </c>
      <c r="J5" t="s">
        <v>119</v>
      </c>
    </row>
    <row r="6" spans="2:35" x14ac:dyDescent="0.25">
      <c r="H6" t="s">
        <v>120</v>
      </c>
      <c r="I6" t="s">
        <v>144</v>
      </c>
      <c r="J6" t="s">
        <v>121</v>
      </c>
    </row>
    <row r="7" spans="2:35" x14ac:dyDescent="0.25">
      <c r="H7" t="s">
        <v>122</v>
      </c>
      <c r="I7" t="s">
        <v>147</v>
      </c>
      <c r="J7" t="s">
        <v>123</v>
      </c>
    </row>
    <row r="8" spans="2:35" x14ac:dyDescent="0.25">
      <c r="H8" t="s">
        <v>148</v>
      </c>
      <c r="I8" t="s">
        <v>144</v>
      </c>
      <c r="J8" t="s">
        <v>126</v>
      </c>
    </row>
    <row r="10" spans="2:35" x14ac:dyDescent="0.25">
      <c r="B10" s="108" t="s">
        <v>149</v>
      </c>
    </row>
    <row r="12" spans="2:35" x14ac:dyDescent="0.25">
      <c r="B12" t="str" cm="1">
        <f t="array" ref="B12:B24">Thresholds[Scale]</f>
        <v>HRA</v>
      </c>
      <c r="H12" s="108" t="s">
        <v>150</v>
      </c>
      <c r="I12" s="108" t="s">
        <v>151</v>
      </c>
      <c r="J12" s="156" t="s">
        <v>1117</v>
      </c>
      <c r="K12" s="156"/>
      <c r="L12" s="156"/>
      <c r="M12" s="156"/>
      <c r="N12" s="156"/>
      <c r="O12" s="156"/>
      <c r="P12" s="156"/>
      <c r="Q12" s="156"/>
      <c r="R12" s="156"/>
      <c r="S12" s="156"/>
      <c r="T12" s="156"/>
      <c r="U12" s="156"/>
      <c r="V12" s="156"/>
      <c r="W12" s="156"/>
      <c r="X12" s="156"/>
      <c r="Y12" s="156"/>
      <c r="Z12" s="156"/>
      <c r="AA12" s="156"/>
      <c r="AB12" s="156"/>
      <c r="AC12" s="156"/>
    </row>
    <row r="13" spans="2:35" x14ac:dyDescent="0.25">
      <c r="B13" t="str">
        <v>HRBW</v>
      </c>
      <c r="H13" t="s">
        <v>130</v>
      </c>
      <c r="I13" t="s">
        <v>152</v>
      </c>
      <c r="J13" t="s">
        <v>129</v>
      </c>
    </row>
    <row r="14" spans="2:35" x14ac:dyDescent="0.25">
      <c r="B14" t="str">
        <v>HRC</v>
      </c>
      <c r="H14" t="s">
        <v>131</v>
      </c>
      <c r="I14" t="s">
        <v>147</v>
      </c>
      <c r="J14" t="s">
        <v>132</v>
      </c>
    </row>
    <row r="15" spans="2:35" x14ac:dyDescent="0.25">
      <c r="B15" t="str">
        <v>HREW</v>
      </c>
      <c r="H15" t="s">
        <v>133</v>
      </c>
      <c r="I15" t="s">
        <v>152</v>
      </c>
      <c r="J15" t="s">
        <v>134</v>
      </c>
    </row>
    <row r="16" spans="2:35" x14ac:dyDescent="0.25">
      <c r="B16" t="str">
        <v>HRFW</v>
      </c>
      <c r="I16" t="s">
        <v>153</v>
      </c>
    </row>
    <row r="17" spans="2:14" x14ac:dyDescent="0.25">
      <c r="B17" t="str">
        <v>HRHW</v>
      </c>
    </row>
    <row r="18" spans="2:14" x14ac:dyDescent="0.25">
      <c r="B18" t="str">
        <v>HR15N</v>
      </c>
      <c r="D18" t="s">
        <v>154</v>
      </c>
      <c r="I18" t="s">
        <v>1119</v>
      </c>
    </row>
    <row r="19" spans="2:14" ht="15.75" thickBot="1" x14ac:dyDescent="0.3">
      <c r="B19" t="str">
        <v>HR30N</v>
      </c>
      <c r="D19" s="86" t="s">
        <v>155</v>
      </c>
      <c r="E19" s="87" t="s">
        <v>156</v>
      </c>
      <c r="F19" s="86" t="s">
        <v>157</v>
      </c>
      <c r="G19" s="87" t="s">
        <v>158</v>
      </c>
      <c r="I19" s="85" t="s">
        <v>159</v>
      </c>
      <c r="J19" s="85" t="s">
        <v>160</v>
      </c>
      <c r="K19" s="85" t="s">
        <v>161</v>
      </c>
      <c r="L19" s="85" t="s">
        <v>162</v>
      </c>
      <c r="N19" s="88" t="s">
        <v>163</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164</v>
      </c>
      <c r="B1" t="s">
        <v>165</v>
      </c>
      <c r="C1" t="s">
        <v>166</v>
      </c>
      <c r="D1" t="s">
        <v>167</v>
      </c>
      <c r="E1" t="s">
        <v>168</v>
      </c>
      <c r="F1" t="s">
        <v>169</v>
      </c>
      <c r="G1" t="s">
        <v>170</v>
      </c>
      <c r="H1" t="s">
        <v>171</v>
      </c>
      <c r="I1" t="s">
        <v>172</v>
      </c>
      <c r="J1" t="s">
        <v>173</v>
      </c>
    </row>
    <row r="2" spans="1:10" x14ac:dyDescent="0.25">
      <c r="A2" t="s">
        <v>174</v>
      </c>
      <c r="B2" s="31" t="s">
        <v>175</v>
      </c>
      <c r="C2" s="32">
        <v>0.1</v>
      </c>
      <c r="D2" s="32">
        <v>0.31</v>
      </c>
      <c r="E2" s="32">
        <v>0</v>
      </c>
      <c r="F2" s="32">
        <v>0.28600278396116963</v>
      </c>
      <c r="G2" s="32">
        <v>0</v>
      </c>
      <c r="H2" s="32">
        <v>1</v>
      </c>
      <c r="I2" s="32" t="s">
        <v>176</v>
      </c>
      <c r="J2" s="32" t="str">
        <f>IF(Table3[[#This Row],[Item_C]]="Rockwell Indirect",
    IF(ISNUMBER(SEARCH("≥", Table3[[#This Row],[Main Name]])), "HIGH",
        IF(ISNUMBER(SEARCH("≤", Table3[[#This Row],[Main Name]])), "MID", "LOW")),
    "")</f>
        <v>LOW</v>
      </c>
    </row>
    <row r="3" spans="1:10" x14ac:dyDescent="0.25">
      <c r="A3" t="s">
        <v>177</v>
      </c>
      <c r="B3" s="33" t="s">
        <v>175</v>
      </c>
      <c r="C3">
        <v>0.1</v>
      </c>
      <c r="D3">
        <v>0.32</v>
      </c>
      <c r="E3">
        <v>0</v>
      </c>
      <c r="F3">
        <v>0.29579991959691171</v>
      </c>
      <c r="G3">
        <v>0</v>
      </c>
      <c r="H3">
        <v>1</v>
      </c>
      <c r="I3" t="s">
        <v>176</v>
      </c>
      <c r="J3" t="str">
        <f>IF(Table3[[#This Row],[Item_C]]="Rockwell Indirect",
    IF(ISNUMBER(SEARCH("≥", Table3[[#This Row],[Main Name]])), "HIGH",
        IF(ISNUMBER(SEARCH("≤", Table3[[#This Row],[Main Name]])), "MID", "LOW")),
    "")</f>
        <v>MID</v>
      </c>
    </row>
    <row r="4" spans="1:10" ht="15.75" thickBot="1" x14ac:dyDescent="0.3">
      <c r="A4" t="s">
        <v>178</v>
      </c>
      <c r="B4" s="33" t="s">
        <v>175</v>
      </c>
      <c r="C4">
        <v>0.1</v>
      </c>
      <c r="D4">
        <v>0.2</v>
      </c>
      <c r="E4">
        <v>0</v>
      </c>
      <c r="F4">
        <v>0.17971530940223054</v>
      </c>
      <c r="G4">
        <v>0</v>
      </c>
      <c r="H4">
        <v>1</v>
      </c>
      <c r="I4" t="s">
        <v>176</v>
      </c>
      <c r="J4" t="str">
        <f>IF(Table3[[#This Row],[Item_C]]="Rockwell Indirect",
    IF(ISNUMBER(SEARCH("≥", Table3[[#This Row],[Main Name]])), "HIGH",
        IF(ISNUMBER(SEARCH("≤", Table3[[#This Row],[Main Name]])), "MID", "LOW")),
    "")</f>
        <v>HIGH</v>
      </c>
    </row>
    <row r="5" spans="1:10" x14ac:dyDescent="0.25">
      <c r="A5" t="s">
        <v>179</v>
      </c>
      <c r="B5" s="33" t="s">
        <v>175</v>
      </c>
      <c r="C5">
        <v>0.1</v>
      </c>
      <c r="D5">
        <v>0.36</v>
      </c>
      <c r="E5">
        <v>0</v>
      </c>
      <c r="F5">
        <v>0.33510832940041863</v>
      </c>
      <c r="G5">
        <v>0</v>
      </c>
      <c r="H5">
        <v>1</v>
      </c>
      <c r="I5" t="s">
        <v>180</v>
      </c>
      <c r="J5" s="32" t="str">
        <f>IF(Table3[[#This Row],[Item_C]]="Rockwell Indirect",
    IF(ISNUMBER(SEARCH("≥", Table3[[#This Row],[Main Name]])), "HIGH",
        IF(ISNUMBER(SEARCH("≤", Table3[[#This Row],[Main Name]])), "MID", "LOW")),
    "")</f>
        <v>LOW</v>
      </c>
    </row>
    <row r="6" spans="1:10" x14ac:dyDescent="0.25">
      <c r="A6" t="s">
        <v>181</v>
      </c>
      <c r="B6" s="33" t="s">
        <v>175</v>
      </c>
      <c r="C6">
        <v>0.1</v>
      </c>
      <c r="D6">
        <v>0.26</v>
      </c>
      <c r="E6">
        <v>0</v>
      </c>
      <c r="F6">
        <v>0.24697690668064382</v>
      </c>
      <c r="G6">
        <v>0</v>
      </c>
      <c r="H6">
        <v>1</v>
      </c>
      <c r="I6" t="s">
        <v>180</v>
      </c>
      <c r="J6" t="str">
        <f>IF(Table3[[#This Row],[Item_C]]="Rockwell Indirect",
    IF(ISNUMBER(SEARCH("≥", Table3[[#This Row],[Main Name]])), "HIGH",
        IF(ISNUMBER(SEARCH("≤", Table3[[#This Row],[Main Name]])), "MID", "LOW")),
    "")</f>
        <v>MID</v>
      </c>
    </row>
    <row r="7" spans="1:10" ht="15.75" thickBot="1" x14ac:dyDescent="0.3">
      <c r="A7" t="s">
        <v>182</v>
      </c>
      <c r="B7" s="33" t="s">
        <v>175</v>
      </c>
      <c r="C7">
        <v>0.1</v>
      </c>
      <c r="D7">
        <v>0.39</v>
      </c>
      <c r="E7">
        <v>0</v>
      </c>
      <c r="F7">
        <v>0.37456320218828149</v>
      </c>
      <c r="G7">
        <v>0</v>
      </c>
      <c r="H7">
        <v>1</v>
      </c>
      <c r="I7" t="s">
        <v>180</v>
      </c>
      <c r="J7" t="str">
        <f>IF(Table3[[#This Row],[Item_C]]="Rockwell Indirect",
    IF(ISNUMBER(SEARCH("≥", Table3[[#This Row],[Main Name]])), "HIGH",
        IF(ISNUMBER(SEARCH("≤", Table3[[#This Row],[Main Name]])), "MID", "LOW")),
    "")</f>
        <v>HIGH</v>
      </c>
    </row>
    <row r="8" spans="1:10" x14ac:dyDescent="0.25">
      <c r="A8" t="s">
        <v>183</v>
      </c>
      <c r="B8" s="33" t="s">
        <v>175</v>
      </c>
      <c r="C8">
        <v>0.1</v>
      </c>
      <c r="D8">
        <v>0.39</v>
      </c>
      <c r="E8">
        <v>0</v>
      </c>
      <c r="F8">
        <v>0.37456320218828149</v>
      </c>
      <c r="G8">
        <v>0</v>
      </c>
      <c r="H8">
        <v>1</v>
      </c>
      <c r="I8" t="s">
        <v>184</v>
      </c>
      <c r="J8" s="32" t="str">
        <f>IF(Table3[[#This Row],[Item_C]]="Rockwell Indirect",
    IF(ISNUMBER(SEARCH("≥", Table3[[#This Row],[Main Name]])), "HIGH",
        IF(ISNUMBER(SEARCH("≤", Table3[[#This Row],[Main Name]])), "MID", "LOW")),
    "")</f>
        <v>LOW</v>
      </c>
    </row>
    <row r="9" spans="1:10" x14ac:dyDescent="0.25">
      <c r="A9" t="s">
        <v>185</v>
      </c>
      <c r="B9" s="33" t="s">
        <v>175</v>
      </c>
      <c r="C9">
        <v>0.1</v>
      </c>
      <c r="D9">
        <v>0.34</v>
      </c>
      <c r="E9">
        <v>0</v>
      </c>
      <c r="F9">
        <v>0.32526541844090873</v>
      </c>
      <c r="G9">
        <v>0</v>
      </c>
      <c r="H9">
        <v>1</v>
      </c>
      <c r="I9" t="s">
        <v>184</v>
      </c>
      <c r="J9" t="str">
        <f>IF(Table3[[#This Row],[Item_C]]="Rockwell Indirect",
    IF(ISNUMBER(SEARCH("≥", Table3[[#This Row],[Main Name]])), "HIGH",
        IF(ISNUMBER(SEARCH("≤", Table3[[#This Row],[Main Name]])), "MID", "LOW")),
    "")</f>
        <v>MID</v>
      </c>
    </row>
    <row r="10" spans="1:10" ht="15.75" thickBot="1" x14ac:dyDescent="0.3">
      <c r="A10" t="s">
        <v>186</v>
      </c>
      <c r="B10" s="33" t="s">
        <v>175</v>
      </c>
      <c r="C10">
        <v>0.1</v>
      </c>
      <c r="D10">
        <v>0.32</v>
      </c>
      <c r="E10">
        <v>0</v>
      </c>
      <c r="F10">
        <v>0.31543238963926873</v>
      </c>
      <c r="G10">
        <v>0</v>
      </c>
      <c r="H10">
        <v>1</v>
      </c>
      <c r="I10" t="s">
        <v>184</v>
      </c>
      <c r="J10" t="str">
        <f>IF(Table3[[#This Row],[Item_C]]="Rockwell Indirect",
    IF(ISNUMBER(SEARCH("≥", Table3[[#This Row],[Main Name]])), "HIGH",
        IF(ISNUMBER(SEARCH("≤", Table3[[#This Row],[Main Name]])), "MID", "LOW")),
    "")</f>
        <v>HIGH</v>
      </c>
    </row>
    <row r="11" spans="1:10" x14ac:dyDescent="0.25">
      <c r="A11" t="s">
        <v>187</v>
      </c>
      <c r="B11" s="33" t="s">
        <v>175</v>
      </c>
      <c r="C11">
        <v>0.1</v>
      </c>
      <c r="D11">
        <v>0.39</v>
      </c>
      <c r="E11">
        <v>0</v>
      </c>
      <c r="F11">
        <v>0.3646883497365106</v>
      </c>
      <c r="G11">
        <v>0</v>
      </c>
      <c r="H11">
        <v>1</v>
      </c>
      <c r="I11" t="s">
        <v>188</v>
      </c>
      <c r="J11" s="32" t="str">
        <f>IF(Table3[[#This Row],[Item_C]]="Rockwell Indirect",
    IF(ISNUMBER(SEARCH("≥", Table3[[#This Row],[Main Name]])), "HIGH",
        IF(ISNUMBER(SEARCH("≤", Table3[[#This Row],[Main Name]])), "MID", "LOW")),
    "")</f>
        <v>LOW</v>
      </c>
    </row>
    <row r="12" spans="1:10" x14ac:dyDescent="0.25">
      <c r="A12" t="s">
        <v>189</v>
      </c>
      <c r="B12" s="33" t="s">
        <v>175</v>
      </c>
      <c r="C12">
        <v>0.1</v>
      </c>
      <c r="D12">
        <v>0.49</v>
      </c>
      <c r="E12">
        <v>0</v>
      </c>
      <c r="F12">
        <v>0.48352620656334588</v>
      </c>
      <c r="G12">
        <v>0</v>
      </c>
      <c r="H12">
        <v>1</v>
      </c>
      <c r="I12" t="s">
        <v>188</v>
      </c>
      <c r="J12" t="str">
        <f>IF(Table3[[#This Row],[Item_C]]="Rockwell Indirect",
    IF(ISNUMBER(SEARCH("≥", Table3[[#This Row],[Main Name]])), "HIGH",
        IF(ISNUMBER(SEARCH("≤", Table3[[#This Row],[Main Name]])), "MID", "LOW")),
    "")</f>
        <v>MID</v>
      </c>
    </row>
    <row r="13" spans="1:10" ht="15.75" thickBot="1" x14ac:dyDescent="0.3">
      <c r="A13" t="s">
        <v>190</v>
      </c>
      <c r="B13" s="33" t="s">
        <v>175</v>
      </c>
      <c r="C13">
        <v>0.1</v>
      </c>
      <c r="D13">
        <v>0.49</v>
      </c>
      <c r="E13">
        <v>0</v>
      </c>
      <c r="F13">
        <v>0.48352620656334588</v>
      </c>
      <c r="G13">
        <v>0</v>
      </c>
      <c r="H13">
        <v>1</v>
      </c>
      <c r="I13" t="s">
        <v>188</v>
      </c>
      <c r="J13" t="str">
        <f>IF(Table3[[#This Row],[Item_C]]="Rockwell Indirect",
    IF(ISNUMBER(SEARCH("≥", Table3[[#This Row],[Main Name]])), "HIGH",
        IF(ISNUMBER(SEARCH("≤", Table3[[#This Row],[Main Name]])), "MID", "LOW")),
    "")</f>
        <v>HIGH</v>
      </c>
    </row>
    <row r="14" spans="1:10" x14ac:dyDescent="0.25">
      <c r="A14" t="s">
        <v>191</v>
      </c>
      <c r="B14" s="33" t="s">
        <v>175</v>
      </c>
      <c r="C14">
        <v>0.1</v>
      </c>
      <c r="D14">
        <v>0.28000000000000003</v>
      </c>
      <c r="E14">
        <v>0</v>
      </c>
      <c r="F14">
        <v>0.25670526374334329</v>
      </c>
      <c r="G14">
        <v>0</v>
      </c>
      <c r="H14">
        <v>1</v>
      </c>
      <c r="I14" t="s">
        <v>192</v>
      </c>
      <c r="J14" s="32" t="str">
        <f>IF(Table3[[#This Row],[Item_C]]="Rockwell Indirect",
    IF(ISNUMBER(SEARCH("≥", Table3[[#This Row],[Main Name]])), "HIGH",
        IF(ISNUMBER(SEARCH("≤", Table3[[#This Row],[Main Name]])), "MID", "LOW")),
    "")</f>
        <v>LOW</v>
      </c>
    </row>
    <row r="15" spans="1:10" x14ac:dyDescent="0.25">
      <c r="A15" t="s">
        <v>193</v>
      </c>
      <c r="B15" s="33" t="s">
        <v>175</v>
      </c>
      <c r="C15">
        <v>0.1</v>
      </c>
      <c r="D15">
        <v>0.47</v>
      </c>
      <c r="E15">
        <v>0</v>
      </c>
      <c r="F15">
        <v>0.4537593992784496</v>
      </c>
      <c r="G15">
        <v>0</v>
      </c>
      <c r="H15">
        <v>1</v>
      </c>
      <c r="I15" t="s">
        <v>192</v>
      </c>
      <c r="J15" t="str">
        <f>IF(Table3[[#This Row],[Item_C]]="Rockwell Indirect",
    IF(ISNUMBER(SEARCH("≥", Table3[[#This Row],[Main Name]])), "HIGH",
        IF(ISNUMBER(SEARCH("≤", Table3[[#This Row],[Main Name]])), "MID", "LOW")),
    "")</f>
        <v>MID</v>
      </c>
    </row>
    <row r="16" spans="1:10" ht="15.75" thickBot="1" x14ac:dyDescent="0.3">
      <c r="A16" t="s">
        <v>194</v>
      </c>
      <c r="B16" s="33" t="s">
        <v>175</v>
      </c>
      <c r="C16">
        <v>0.1</v>
      </c>
      <c r="D16">
        <v>0.45</v>
      </c>
      <c r="E16">
        <v>0</v>
      </c>
      <c r="F16">
        <v>0.44384410825597254</v>
      </c>
      <c r="G16">
        <v>0</v>
      </c>
      <c r="H16">
        <v>1</v>
      </c>
      <c r="I16" t="s">
        <v>192</v>
      </c>
      <c r="J16" t="str">
        <f>IF(Table3[[#This Row],[Item_C]]="Rockwell Indirect",
    IF(ISNUMBER(SEARCH("≥", Table3[[#This Row],[Main Name]])), "HIGH",
        IF(ISNUMBER(SEARCH("≤", Table3[[#This Row],[Main Name]])), "MID", "LOW")),
    "")</f>
        <v>HIGH</v>
      </c>
    </row>
    <row r="17" spans="1:10" x14ac:dyDescent="0.25">
      <c r="A17" t="s">
        <v>195</v>
      </c>
      <c r="B17" s="33" t="s">
        <v>175</v>
      </c>
      <c r="C17">
        <v>0.1</v>
      </c>
      <c r="D17">
        <v>0.45</v>
      </c>
      <c r="E17">
        <v>0</v>
      </c>
      <c r="F17">
        <v>0.44384410825597254</v>
      </c>
      <c r="G17">
        <v>0</v>
      </c>
      <c r="H17">
        <v>1</v>
      </c>
      <c r="I17" t="s">
        <v>196</v>
      </c>
      <c r="J17" s="32" t="str">
        <f>IF(Table3[[#This Row],[Item_C]]="Rockwell Indirect",
    IF(ISNUMBER(SEARCH("≥", Table3[[#This Row],[Main Name]])), "HIGH",
        IF(ISNUMBER(SEARCH("≤", Table3[[#This Row],[Main Name]])), "MID", "LOW")),
    "")</f>
        <v>LOW</v>
      </c>
    </row>
    <row r="18" spans="1:10" ht="15.75" thickBot="1" x14ac:dyDescent="0.3">
      <c r="A18" t="s">
        <v>197</v>
      </c>
      <c r="B18" s="33" t="s">
        <v>175</v>
      </c>
      <c r="C18">
        <v>0.1</v>
      </c>
      <c r="D18">
        <v>0.36</v>
      </c>
      <c r="E18">
        <v>0</v>
      </c>
      <c r="F18">
        <v>0.35482050734637566</v>
      </c>
      <c r="G18">
        <v>0</v>
      </c>
      <c r="H18">
        <v>1</v>
      </c>
      <c r="I18" t="s">
        <v>196</v>
      </c>
      <c r="J18" t="str">
        <f>IF(Table3[[#This Row],[Item_C]]="Rockwell Indirect",
    IF(ISNUMBER(SEARCH("≥", Table3[[#This Row],[Main Name]])), "HIGH",
        IF(ISNUMBER(SEARCH("≤", Table3[[#This Row],[Main Name]])), "MID", "LOW")),
    "")</f>
        <v>HIGH</v>
      </c>
    </row>
    <row r="19" spans="1:10" x14ac:dyDescent="0.25">
      <c r="A19" t="s">
        <v>198</v>
      </c>
      <c r="B19" s="33" t="s">
        <v>175</v>
      </c>
      <c r="C19">
        <v>0.1</v>
      </c>
      <c r="D19">
        <v>0.42</v>
      </c>
      <c r="E19">
        <v>0</v>
      </c>
      <c r="F19">
        <v>0.39433183035806213</v>
      </c>
      <c r="G19">
        <v>0</v>
      </c>
      <c r="H19">
        <v>1</v>
      </c>
      <c r="I19" t="s">
        <v>199</v>
      </c>
      <c r="J19" s="32" t="str">
        <f>IF(Table3[[#This Row],[Item_C]]="Rockwell Indirect",
    IF(ISNUMBER(SEARCH("≥", Table3[[#This Row],[Main Name]])), "HIGH",
        IF(ISNUMBER(SEARCH("≤", Table3[[#This Row],[Main Name]])), "MID", "LOW")),
    "")</f>
        <v>LOW</v>
      </c>
    </row>
    <row r="20" spans="1:10" x14ac:dyDescent="0.25">
      <c r="A20" t="s">
        <v>200</v>
      </c>
      <c r="B20" s="33" t="s">
        <v>175</v>
      </c>
      <c r="C20">
        <v>0.1</v>
      </c>
      <c r="D20">
        <v>0.42</v>
      </c>
      <c r="E20">
        <v>0</v>
      </c>
      <c r="F20">
        <v>0.40422468063385181</v>
      </c>
      <c r="G20">
        <v>0</v>
      </c>
      <c r="H20">
        <v>1</v>
      </c>
      <c r="I20" t="s">
        <v>199</v>
      </c>
      <c r="J20" t="str">
        <f>IF(Table3[[#This Row],[Item_C]]="Rockwell Indirect",
    IF(ISNUMBER(SEARCH("≥", Table3[[#This Row],[Main Name]])), "HIGH",
        IF(ISNUMBER(SEARCH("≤", Table3[[#This Row],[Main Name]])), "MID", "LOW")),
    "")</f>
        <v>MID</v>
      </c>
    </row>
    <row r="21" spans="1:10" ht="15.75" thickBot="1" x14ac:dyDescent="0.3">
      <c r="A21" t="s">
        <v>201</v>
      </c>
      <c r="B21" s="33" t="s">
        <v>175</v>
      </c>
      <c r="C21">
        <v>0.1</v>
      </c>
      <c r="D21">
        <v>0.51</v>
      </c>
      <c r="E21">
        <v>0</v>
      </c>
      <c r="F21">
        <v>0.50338612658032145</v>
      </c>
      <c r="G21">
        <v>0</v>
      </c>
      <c r="H21">
        <v>1</v>
      </c>
      <c r="I21" t="s">
        <v>199</v>
      </c>
      <c r="J21" t="str">
        <f>IF(Table3[[#This Row],[Item_C]]="Rockwell Indirect",
    IF(ISNUMBER(SEARCH("≥", Table3[[#This Row],[Main Name]])), "HIGH",
        IF(ISNUMBER(SEARCH("≤", Table3[[#This Row],[Main Name]])), "MID", "LOW")),
    "")</f>
        <v>HIGH</v>
      </c>
    </row>
    <row r="22" spans="1:10" x14ac:dyDescent="0.25">
      <c r="A22" t="s">
        <v>202</v>
      </c>
      <c r="B22" s="33" t="s">
        <v>175</v>
      </c>
      <c r="C22">
        <v>0.1</v>
      </c>
      <c r="D22">
        <v>0.3</v>
      </c>
      <c r="E22">
        <v>0</v>
      </c>
      <c r="F22">
        <v>0.26645373413322521</v>
      </c>
      <c r="G22">
        <v>0</v>
      </c>
      <c r="H22">
        <v>1</v>
      </c>
      <c r="I22" t="s">
        <v>203</v>
      </c>
      <c r="J22" s="32" t="str">
        <f>IF(Table3[[#This Row],[Item_C]]="Rockwell Indirect",
    IF(ISNUMBER(SEARCH("≥", Table3[[#This Row],[Main Name]])), "HIGH",
        IF(ISNUMBER(SEARCH("≤", Table3[[#This Row],[Main Name]])), "MID", "LOW")),
    "")</f>
        <v>LOW</v>
      </c>
    </row>
    <row r="23" spans="1:10" x14ac:dyDescent="0.25">
      <c r="A23" t="s">
        <v>204</v>
      </c>
      <c r="B23" s="33" t="s">
        <v>175</v>
      </c>
      <c r="C23">
        <v>0.1</v>
      </c>
      <c r="D23">
        <v>0.47</v>
      </c>
      <c r="E23">
        <v>0</v>
      </c>
      <c r="F23">
        <v>0.4537593992784496</v>
      </c>
      <c r="G23">
        <v>0</v>
      </c>
      <c r="H23">
        <v>1</v>
      </c>
      <c r="I23" t="s">
        <v>203</v>
      </c>
      <c r="J23" t="str">
        <f>IF(Table3[[#This Row],[Item_C]]="Rockwell Indirect",
    IF(ISNUMBER(SEARCH("≥", Table3[[#This Row],[Main Name]])), "HIGH",
        IF(ISNUMBER(SEARCH("≤", Table3[[#This Row],[Main Name]])), "MID", "LOW")),
    "")</f>
        <v>MID</v>
      </c>
    </row>
    <row r="24" spans="1:10" ht="15.75" thickBot="1" x14ac:dyDescent="0.3">
      <c r="A24" t="s">
        <v>205</v>
      </c>
      <c r="B24" s="33" t="s">
        <v>175</v>
      </c>
      <c r="C24">
        <v>0.1</v>
      </c>
      <c r="D24">
        <v>0.54</v>
      </c>
      <c r="E24">
        <v>0</v>
      </c>
      <c r="F24">
        <v>0.52325671752356839</v>
      </c>
      <c r="G24">
        <v>0</v>
      </c>
      <c r="H24">
        <v>1</v>
      </c>
      <c r="I24" t="s">
        <v>203</v>
      </c>
      <c r="J24" t="str">
        <f>IF(Table3[[#This Row],[Item_C]]="Rockwell Indirect",
    IF(ISNUMBER(SEARCH("≥", Table3[[#This Row],[Main Name]])), "HIGH",
        IF(ISNUMBER(SEARCH("≤", Table3[[#This Row],[Main Name]])), "MID", "LOW")),
    "")</f>
        <v>HIGH</v>
      </c>
    </row>
    <row r="25" spans="1:10" x14ac:dyDescent="0.25">
      <c r="A25" t="s">
        <v>206</v>
      </c>
      <c r="B25" s="33" t="s">
        <v>175</v>
      </c>
      <c r="C25">
        <v>0.1</v>
      </c>
      <c r="D25">
        <v>0.5</v>
      </c>
      <c r="E25">
        <v>0</v>
      </c>
      <c r="F25">
        <v>0.4736006676869654</v>
      </c>
      <c r="G25">
        <v>0</v>
      </c>
      <c r="H25">
        <v>1</v>
      </c>
      <c r="I25" t="s">
        <v>207</v>
      </c>
      <c r="J25" s="32" t="str">
        <f>IF(Table3[[#This Row],[Item_C]]="Rockwell Indirect",
    IF(ISNUMBER(SEARCH("≥", Table3[[#This Row],[Main Name]])), "HIGH",
        IF(ISNUMBER(SEARCH("≤", Table3[[#This Row],[Main Name]])), "MID", "LOW")),
    "")</f>
        <v>LOW</v>
      </c>
    </row>
    <row r="26" spans="1:10" x14ac:dyDescent="0.25">
      <c r="A26" t="s">
        <v>208</v>
      </c>
      <c r="B26" s="33" t="s">
        <v>175</v>
      </c>
      <c r="C26">
        <v>0.1</v>
      </c>
      <c r="D26">
        <v>0.25</v>
      </c>
      <c r="E26">
        <v>0</v>
      </c>
      <c r="F26">
        <v>0.21793942377077957</v>
      </c>
      <c r="G26">
        <v>0</v>
      </c>
      <c r="H26">
        <v>1</v>
      </c>
      <c r="I26" t="s">
        <v>207</v>
      </c>
      <c r="J26" t="str">
        <f>IF(Table3[[#This Row],[Item_C]]="Rockwell Indirect",
    IF(ISNUMBER(SEARCH("≥", Table3[[#This Row],[Main Name]])), "HIGH",
        IF(ISNUMBER(SEARCH("≤", Table3[[#This Row],[Main Name]])), "MID", "LOW")),
    "")</f>
        <v>MID</v>
      </c>
    </row>
    <row r="27" spans="1:10" ht="15.75" thickBot="1" x14ac:dyDescent="0.3">
      <c r="A27" t="s">
        <v>209</v>
      </c>
      <c r="B27" s="33" t="s">
        <v>175</v>
      </c>
      <c r="C27">
        <v>0.1</v>
      </c>
      <c r="D27">
        <v>0.2</v>
      </c>
      <c r="E27">
        <v>0</v>
      </c>
      <c r="F27">
        <v>0.17971530940223054</v>
      </c>
      <c r="G27">
        <v>0</v>
      </c>
      <c r="H27">
        <v>1</v>
      </c>
      <c r="I27" t="s">
        <v>207</v>
      </c>
      <c r="J27" t="str">
        <f>IF(Table3[[#This Row],[Item_C]]="Rockwell Indirect",
    IF(ISNUMBER(SEARCH("≥", Table3[[#This Row],[Main Name]])), "HIGH",
        IF(ISNUMBER(SEARCH("≤", Table3[[#This Row],[Main Name]])), "MID", "LOW")),
    "")</f>
        <v>HIGH</v>
      </c>
    </row>
    <row r="28" spans="1:10" x14ac:dyDescent="0.25">
      <c r="A28" t="s">
        <v>210</v>
      </c>
      <c r="B28" s="33" t="s">
        <v>175</v>
      </c>
      <c r="C28">
        <v>0.1</v>
      </c>
      <c r="D28">
        <v>0.45</v>
      </c>
      <c r="E28">
        <v>0</v>
      </c>
      <c r="F28">
        <v>0.4141226779995747</v>
      </c>
      <c r="G28">
        <v>0</v>
      </c>
      <c r="H28">
        <v>1</v>
      </c>
      <c r="I28" t="s">
        <v>211</v>
      </c>
      <c r="J28" s="32" t="str">
        <f>IF(Table3[[#This Row],[Item_C]]="Rockwell Indirect",
    IF(ISNUMBER(SEARCH("≥", Table3[[#This Row],[Main Name]])), "HIGH",
        IF(ISNUMBER(SEARCH("≤", Table3[[#This Row],[Main Name]])), "MID", "LOW")),
    "")</f>
        <v>LOW</v>
      </c>
    </row>
    <row r="29" spans="1:10" x14ac:dyDescent="0.25">
      <c r="A29" t="s">
        <v>212</v>
      </c>
      <c r="B29" s="33" t="s">
        <v>175</v>
      </c>
      <c r="C29">
        <v>0.1</v>
      </c>
      <c r="D29">
        <v>0.39</v>
      </c>
      <c r="E29">
        <v>0</v>
      </c>
      <c r="F29">
        <v>0.3646883497365106</v>
      </c>
      <c r="G29">
        <v>0</v>
      </c>
      <c r="H29">
        <v>1</v>
      </c>
      <c r="I29" t="s">
        <v>211</v>
      </c>
      <c r="J29" t="str">
        <f>IF(Table3[[#This Row],[Item_C]]="Rockwell Indirect",
    IF(ISNUMBER(SEARCH("≥", Table3[[#This Row],[Main Name]])), "HIGH",
        IF(ISNUMBER(SEARCH("≤", Table3[[#This Row],[Main Name]])), "MID", "LOW")),
    "")</f>
        <v>MID</v>
      </c>
    </row>
    <row r="30" spans="1:10" ht="15.75" thickBot="1" x14ac:dyDescent="0.3">
      <c r="A30" t="s">
        <v>213</v>
      </c>
      <c r="B30" s="33" t="s">
        <v>175</v>
      </c>
      <c r="C30">
        <v>0.1</v>
      </c>
      <c r="D30">
        <v>0.32</v>
      </c>
      <c r="E30">
        <v>0</v>
      </c>
      <c r="F30">
        <v>0.29579991959691171</v>
      </c>
      <c r="G30">
        <v>0</v>
      </c>
      <c r="H30">
        <v>1</v>
      </c>
      <c r="I30" t="s">
        <v>211</v>
      </c>
      <c r="J30" t="str">
        <f>IF(Table3[[#This Row],[Item_C]]="Rockwell Indirect",
    IF(ISNUMBER(SEARCH("≥", Table3[[#This Row],[Main Name]])), "HIGH",
        IF(ISNUMBER(SEARCH("≤", Table3[[#This Row],[Main Name]])), "MID", "LOW")),
    "")</f>
        <v>HIGH</v>
      </c>
    </row>
    <row r="31" spans="1:10" x14ac:dyDescent="0.25">
      <c r="A31" t="s">
        <v>214</v>
      </c>
      <c r="B31" s="33" t="s">
        <v>175</v>
      </c>
      <c r="C31">
        <v>0.1</v>
      </c>
      <c r="D31">
        <v>0.57999999999999996</v>
      </c>
      <c r="E31">
        <v>0</v>
      </c>
      <c r="F31">
        <v>0.55308009585731743</v>
      </c>
      <c r="G31">
        <v>0</v>
      </c>
      <c r="H31">
        <v>1</v>
      </c>
      <c r="I31" t="s">
        <v>215</v>
      </c>
      <c r="J31" s="32" t="str">
        <f>IF(Table3[[#This Row],[Item_C]]="Rockwell Indirect",
    IF(ISNUMBER(SEARCH("≥", Table3[[#This Row],[Main Name]])), "HIGH",
        IF(ISNUMBER(SEARCH("≤", Table3[[#This Row],[Main Name]])), "MID", "LOW")),
    "")</f>
        <v>LOW</v>
      </c>
    </row>
    <row r="32" spans="1:10" x14ac:dyDescent="0.25">
      <c r="A32" t="s">
        <v>216</v>
      </c>
      <c r="B32" s="33" t="s">
        <v>175</v>
      </c>
      <c r="C32">
        <v>0.1</v>
      </c>
      <c r="D32">
        <v>0.64</v>
      </c>
      <c r="E32">
        <v>0</v>
      </c>
      <c r="F32">
        <v>0.62273396601882847</v>
      </c>
      <c r="G32">
        <v>0</v>
      </c>
      <c r="H32">
        <v>1</v>
      </c>
      <c r="I32" t="s">
        <v>215</v>
      </c>
      <c r="J32" t="str">
        <f>IF(Table3[[#This Row],[Item_C]]="Rockwell Indirect",
    IF(ISNUMBER(SEARCH("≥", Table3[[#This Row],[Main Name]])), "HIGH",
        IF(ISNUMBER(SEARCH("≤", Table3[[#This Row],[Main Name]])), "MID", "LOW")),
    "")</f>
        <v>MID</v>
      </c>
    </row>
    <row r="33" spans="1:10" ht="15.75" thickBot="1" x14ac:dyDescent="0.3">
      <c r="A33" t="s">
        <v>217</v>
      </c>
      <c r="B33" s="33" t="s">
        <v>175</v>
      </c>
      <c r="C33">
        <v>0.1</v>
      </c>
      <c r="D33">
        <v>0.22</v>
      </c>
      <c r="E33">
        <v>0</v>
      </c>
      <c r="F33">
        <v>0.19874001216045914</v>
      </c>
      <c r="G33">
        <v>0</v>
      </c>
      <c r="H33">
        <v>1</v>
      </c>
      <c r="I33" t="s">
        <v>215</v>
      </c>
      <c r="J33" t="str">
        <f>IF(Table3[[#This Row],[Item_C]]="Rockwell Indirect",
    IF(ISNUMBER(SEARCH("≥", Table3[[#This Row],[Main Name]])), "HIGH",
        IF(ISNUMBER(SEARCH("≤", Table3[[#This Row],[Main Name]])), "MID", "LOW")),
    "")</f>
        <v>HIGH</v>
      </c>
    </row>
    <row r="34" spans="1:10" x14ac:dyDescent="0.25">
      <c r="A34" t="s">
        <v>218</v>
      </c>
      <c r="B34" s="33" t="s">
        <v>175</v>
      </c>
      <c r="C34">
        <v>0.1</v>
      </c>
      <c r="D34">
        <v>0.7</v>
      </c>
      <c r="E34">
        <v>0</v>
      </c>
      <c r="F34">
        <v>0.68249365743099732</v>
      </c>
      <c r="G34">
        <v>0</v>
      </c>
      <c r="H34">
        <v>1</v>
      </c>
      <c r="I34" t="s">
        <v>219</v>
      </c>
      <c r="J34" s="32" t="str">
        <f>IF(Table3[[#This Row],[Item_C]]="Rockwell Indirect",
    IF(ISNUMBER(SEARCH("≥", Table3[[#This Row],[Main Name]])), "HIGH",
        IF(ISNUMBER(SEARCH("≤", Table3[[#This Row],[Main Name]])), "MID", "LOW")),
    "")</f>
        <v>LOW</v>
      </c>
    </row>
    <row r="35" spans="1:10" x14ac:dyDescent="0.25">
      <c r="A35" t="s">
        <v>220</v>
      </c>
      <c r="B35" s="33" t="s">
        <v>175</v>
      </c>
      <c r="C35">
        <v>0.1</v>
      </c>
      <c r="D35">
        <v>0.41</v>
      </c>
      <c r="E35">
        <v>0</v>
      </c>
      <c r="F35">
        <v>0.38444452452016981</v>
      </c>
      <c r="G35">
        <v>0</v>
      </c>
      <c r="H35">
        <v>1</v>
      </c>
      <c r="I35" t="s">
        <v>219</v>
      </c>
      <c r="J35" t="str">
        <f>IF(Table3[[#This Row],[Item_C]]="Rockwell Indirect",
    IF(ISNUMBER(SEARCH("≥", Table3[[#This Row],[Main Name]])), "HIGH",
        IF(ISNUMBER(SEARCH("≤", Table3[[#This Row],[Main Name]])), "MID", "LOW")),
    "")</f>
        <v>MID</v>
      </c>
    </row>
    <row r="36" spans="1:10" ht="15.75" thickBot="1" x14ac:dyDescent="0.3">
      <c r="A36" t="s">
        <v>221</v>
      </c>
      <c r="B36" s="33" t="s">
        <v>175</v>
      </c>
      <c r="C36">
        <v>0.1</v>
      </c>
      <c r="D36">
        <v>0.39</v>
      </c>
      <c r="E36">
        <v>0</v>
      </c>
      <c r="F36">
        <v>0.37456320218828149</v>
      </c>
      <c r="G36">
        <v>0</v>
      </c>
      <c r="H36">
        <v>1</v>
      </c>
      <c r="I36" t="s">
        <v>219</v>
      </c>
      <c r="J36" t="str">
        <f>IF(Table3[[#This Row],[Item_C]]="Rockwell Indirect",
    IF(ISNUMBER(SEARCH("≥", Table3[[#This Row],[Main Name]])), "HIGH",
        IF(ISNUMBER(SEARCH("≤", Table3[[#This Row],[Main Name]])), "MID", "LOW")),
    "")</f>
        <v>HIGH</v>
      </c>
    </row>
    <row r="37" spans="1:10" x14ac:dyDescent="0.25">
      <c r="A37" t="s">
        <v>222</v>
      </c>
      <c r="B37" s="33" t="s">
        <v>175</v>
      </c>
      <c r="C37">
        <v>0.1</v>
      </c>
      <c r="D37">
        <v>0.44</v>
      </c>
      <c r="E37">
        <v>0</v>
      </c>
      <c r="G37">
        <v>0</v>
      </c>
      <c r="H37">
        <v>1</v>
      </c>
      <c r="I37" t="s">
        <v>223</v>
      </c>
      <c r="J37" s="32" t="str">
        <f>IF(Table3[[#This Row],[Item_C]]="Rockwell Indirect",
    IF(ISNUMBER(SEARCH("≥", Table3[[#This Row],[Main Name]])), "HIGH",
        IF(ISNUMBER(SEARCH("≤", Table3[[#This Row],[Main Name]])), "MID", "LOW")),
    "")</f>
        <v>MID</v>
      </c>
    </row>
    <row r="38" spans="1:10" ht="15.75" thickBot="1" x14ac:dyDescent="0.3">
      <c r="A38" t="s">
        <v>224</v>
      </c>
      <c r="B38" s="34" t="s">
        <v>175</v>
      </c>
      <c r="C38" s="35">
        <v>0.1</v>
      </c>
      <c r="D38" s="35">
        <v>0.55000000000000004</v>
      </c>
      <c r="E38" s="35">
        <v>0</v>
      </c>
      <c r="F38" s="35"/>
      <c r="G38" s="35">
        <v>0</v>
      </c>
      <c r="H38" s="35">
        <v>1</v>
      </c>
      <c r="I38" s="35" t="s">
        <v>223</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31"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225</v>
      </c>
      <c r="B2" s="86" t="s">
        <v>226</v>
      </c>
      <c r="C2" s="86" t="s">
        <v>227</v>
      </c>
      <c r="D2" s="88" t="s">
        <v>228</v>
      </c>
      <c r="H2" s="17" t="s">
        <v>63</v>
      </c>
      <c r="M2" s="17" t="s">
        <v>81</v>
      </c>
      <c r="R2" s="17" t="s">
        <v>105</v>
      </c>
      <c r="S2" s="17"/>
      <c r="T2" s="17"/>
      <c r="U2" s="17"/>
    </row>
    <row r="3" spans="1:21" ht="15.75" thickTop="1" x14ac:dyDescent="0.25">
      <c r="A3" t="s">
        <v>65</v>
      </c>
      <c r="B3" t="s">
        <v>229</v>
      </c>
      <c r="C3" t="s">
        <v>230</v>
      </c>
      <c r="D3" t="s">
        <v>231</v>
      </c>
      <c r="E3" t="s">
        <v>232</v>
      </c>
      <c r="F3" t="s">
        <v>233</v>
      </c>
      <c r="H3" t="s">
        <v>65</v>
      </c>
      <c r="I3" t="s">
        <v>226</v>
      </c>
      <c r="J3" t="s">
        <v>227</v>
      </c>
      <c r="K3" t="s">
        <v>228</v>
      </c>
      <c r="M3" t="s">
        <v>24</v>
      </c>
      <c r="N3" t="s">
        <v>226</v>
      </c>
      <c r="O3" t="s">
        <v>227</v>
      </c>
      <c r="P3" t="s">
        <v>228</v>
      </c>
      <c r="R3" t="s">
        <v>65</v>
      </c>
      <c r="S3" t="s">
        <v>226</v>
      </c>
      <c r="T3" t="s">
        <v>227</v>
      </c>
      <c r="U3" t="s">
        <v>228</v>
      </c>
    </row>
    <row r="4" spans="1:21" x14ac:dyDescent="0.25">
      <c r="A4" t="s">
        <v>176</v>
      </c>
      <c r="B4" t="str">
        <f>"&lt; "&amp;Thresholds[[#This Row],[Threshold1]]</f>
        <v>&lt; 70</v>
      </c>
      <c r="C4" t="str">
        <f>"≥ "&amp;Thresholds[[#This Row],[Threshold1]]&amp;" and &lt; "&amp;Thresholds[[#This Row],[Threshold2]]</f>
        <v>≥ 70 and &lt; 80</v>
      </c>
      <c r="D4" t="str">
        <f>"≥ "&amp;Thresholds[[#This Row],[Threshold2]]</f>
        <v>≥ 80</v>
      </c>
      <c r="E4">
        <v>70</v>
      </c>
      <c r="F4">
        <v>80</v>
      </c>
      <c r="H4" t="s">
        <v>176</v>
      </c>
      <c r="I4">
        <v>1</v>
      </c>
      <c r="J4">
        <v>1</v>
      </c>
      <c r="K4">
        <v>0.5</v>
      </c>
      <c r="M4" t="s">
        <v>176</v>
      </c>
      <c r="N4">
        <v>2</v>
      </c>
      <c r="O4">
        <v>1.5</v>
      </c>
      <c r="P4">
        <v>1</v>
      </c>
      <c r="R4" t="s">
        <v>199</v>
      </c>
      <c r="S4" s="157" t="s">
        <v>1123</v>
      </c>
      <c r="T4" s="157" t="s">
        <v>1123</v>
      </c>
      <c r="U4" s="157" t="s">
        <v>1124</v>
      </c>
    </row>
    <row r="5" spans="1:21" x14ac:dyDescent="0.25">
      <c r="A5" t="s">
        <v>180</v>
      </c>
      <c r="B5" t="str">
        <f>"&lt; "&amp;Thresholds[[#This Row],[Threshold1]]</f>
        <v>&lt; 60</v>
      </c>
      <c r="C5" t="str">
        <f>"≥ "&amp;Thresholds[[#This Row],[Threshold1]]&amp;" and &lt; "&amp;Thresholds[[#This Row],[Threshold2]]</f>
        <v>≥ 60 and &lt; 88</v>
      </c>
      <c r="D5" t="str">
        <f>"≥ "&amp;Thresholds[[#This Row],[Threshold2]]</f>
        <v>≥ 88</v>
      </c>
      <c r="E5">
        <v>60</v>
      </c>
      <c r="F5">
        <v>88</v>
      </c>
      <c r="H5" t="s">
        <v>180</v>
      </c>
      <c r="I5">
        <v>2.5</v>
      </c>
      <c r="J5">
        <v>2.5</v>
      </c>
      <c r="K5">
        <v>1</v>
      </c>
      <c r="M5" t="s">
        <v>180</v>
      </c>
      <c r="N5">
        <v>2</v>
      </c>
      <c r="O5">
        <v>1.5</v>
      </c>
      <c r="P5">
        <v>1.5</v>
      </c>
      <c r="R5" t="s">
        <v>211</v>
      </c>
      <c r="S5" s="157" t="s">
        <v>1125</v>
      </c>
      <c r="T5" s="157" t="s">
        <v>1126</v>
      </c>
      <c r="U5" s="157" t="s">
        <v>1127</v>
      </c>
    </row>
    <row r="6" spans="1:21" x14ac:dyDescent="0.25">
      <c r="A6" t="s">
        <v>184</v>
      </c>
      <c r="B6" t="str">
        <f>"&lt; "&amp;Thresholds[[#This Row],[Threshold1]]</f>
        <v>&lt; 35</v>
      </c>
      <c r="C6" t="str">
        <f>"≥ "&amp;Thresholds[[#This Row],[Threshold1]]&amp;" and &lt; "&amp;Thresholds[[#This Row],[Threshold2]]</f>
        <v>≥ 35 and &lt; 60</v>
      </c>
      <c r="D6" t="str">
        <f>"≥ "&amp;Thresholds[[#This Row],[Threshold2]]</f>
        <v>≥ 60</v>
      </c>
      <c r="E6">
        <v>35</v>
      </c>
      <c r="F6">
        <v>60</v>
      </c>
      <c r="H6" t="s">
        <v>184</v>
      </c>
      <c r="I6">
        <v>1</v>
      </c>
      <c r="J6">
        <v>1</v>
      </c>
      <c r="K6">
        <v>0.5</v>
      </c>
      <c r="M6" t="s">
        <v>184</v>
      </c>
      <c r="N6">
        <v>2</v>
      </c>
      <c r="O6">
        <v>1.5</v>
      </c>
      <c r="P6">
        <v>1</v>
      </c>
      <c r="R6" t="s">
        <v>203</v>
      </c>
      <c r="S6" s="157" t="s">
        <v>1128</v>
      </c>
      <c r="T6" s="157" t="s">
        <v>1129</v>
      </c>
      <c r="U6" s="157" t="s">
        <v>1130</v>
      </c>
    </row>
    <row r="7" spans="1:21" x14ac:dyDescent="0.25">
      <c r="A7" t="s">
        <v>188</v>
      </c>
      <c r="B7" t="str">
        <f>"&lt; "&amp;Thresholds[[#This Row],[Threshold1]]</f>
        <v>&lt; 84</v>
      </c>
      <c r="C7" t="str">
        <f>"≥ "&amp;Thresholds[[#This Row],[Threshold1]]&amp;" and &lt; "&amp;Thresholds[[#This Row],[Threshold2]]</f>
        <v>≥ 84 and &lt; 93</v>
      </c>
      <c r="D7" t="str">
        <f>"≥ "&amp;Thresholds[[#This Row],[Threshold2]]</f>
        <v>≥ 93</v>
      </c>
      <c r="E7">
        <v>84</v>
      </c>
      <c r="F7">
        <v>93</v>
      </c>
      <c r="H7" t="s">
        <v>188</v>
      </c>
      <c r="I7">
        <v>1</v>
      </c>
      <c r="J7">
        <v>1</v>
      </c>
      <c r="K7">
        <v>1</v>
      </c>
      <c r="M7" t="s">
        <v>188</v>
      </c>
      <c r="N7">
        <v>1.5</v>
      </c>
      <c r="O7">
        <v>1.5</v>
      </c>
      <c r="P7">
        <v>1</v>
      </c>
      <c r="R7" t="s">
        <v>215</v>
      </c>
      <c r="S7" s="157" t="s">
        <v>1131</v>
      </c>
      <c r="T7" s="157" t="s">
        <v>1132</v>
      </c>
      <c r="U7" s="157" t="s">
        <v>1133</v>
      </c>
    </row>
    <row r="8" spans="1:21" x14ac:dyDescent="0.25">
      <c r="A8" t="s">
        <v>192</v>
      </c>
      <c r="B8" t="str">
        <f>"&lt; "&amp;Thresholds[[#This Row],[Threshold1]]</f>
        <v>&lt; 80</v>
      </c>
      <c r="C8" t="str">
        <f>"≥ "&amp;Thresholds[[#This Row],[Threshold1]]&amp;" and &lt; "&amp;Thresholds[[#This Row],[Threshold2]]</f>
        <v>≥ 80 and &lt; 94</v>
      </c>
      <c r="D8" t="str">
        <f>"≥ "&amp;Thresholds[[#This Row],[Threshold2]]</f>
        <v>≥ 94</v>
      </c>
      <c r="E8">
        <v>80</v>
      </c>
      <c r="F8">
        <v>94</v>
      </c>
      <c r="H8" t="s">
        <v>192</v>
      </c>
      <c r="I8">
        <v>1</v>
      </c>
      <c r="J8">
        <v>1</v>
      </c>
      <c r="K8">
        <v>1</v>
      </c>
      <c r="M8" t="s">
        <v>192</v>
      </c>
      <c r="N8">
        <v>1.5</v>
      </c>
      <c r="O8">
        <v>1.5</v>
      </c>
      <c r="P8">
        <v>1</v>
      </c>
      <c r="R8" t="s">
        <v>207</v>
      </c>
      <c r="S8" s="157" t="s">
        <v>1134</v>
      </c>
      <c r="T8" s="157" t="s">
        <v>1135</v>
      </c>
      <c r="U8" s="157" t="s">
        <v>1136</v>
      </c>
    </row>
    <row r="9" spans="1:21" x14ac:dyDescent="0.25">
      <c r="A9" t="s">
        <v>196</v>
      </c>
      <c r="B9" t="str">
        <f>"&lt; "&amp;Thresholds[[#This Row],[Threshold1]]</f>
        <v>&lt; 96</v>
      </c>
      <c r="C9" t="s">
        <v>234</v>
      </c>
      <c r="D9" t="str">
        <f>"≥ "&amp;Thresholds[[#This Row],[Threshold2]]</f>
        <v>≥ 96</v>
      </c>
      <c r="E9">
        <v>96</v>
      </c>
      <c r="F9">
        <v>96</v>
      </c>
      <c r="H9" t="s">
        <v>196</v>
      </c>
      <c r="I9">
        <v>1</v>
      </c>
      <c r="J9" t="e">
        <v>#N/A</v>
      </c>
      <c r="K9">
        <v>1</v>
      </c>
      <c r="M9" t="s">
        <v>196</v>
      </c>
      <c r="N9">
        <v>2</v>
      </c>
      <c r="O9" t="e">
        <v>#N/A</v>
      </c>
      <c r="P9">
        <v>1.5</v>
      </c>
      <c r="R9" t="s">
        <v>219</v>
      </c>
      <c r="S9" s="157" t="s">
        <v>1137</v>
      </c>
      <c r="T9" s="157" t="s">
        <v>1138</v>
      </c>
      <c r="U9" s="157" t="s">
        <v>1126</v>
      </c>
    </row>
    <row r="10" spans="1:21" x14ac:dyDescent="0.25">
      <c r="A10" t="s">
        <v>199</v>
      </c>
      <c r="B10" t="str">
        <f>"&lt; "&amp;Thresholds[[#This Row],[Threshold1]]</f>
        <v>&lt; 78</v>
      </c>
      <c r="C10" t="str">
        <f>"≥ "&amp;Thresholds[[#This Row],[Threshold1]]&amp;" and &lt; "&amp;Thresholds[[#This Row],[Threshold2]]</f>
        <v>≥ 78 and &lt; 90</v>
      </c>
      <c r="D10" t="str">
        <f>"≥ "&amp;Thresholds[[#This Row],[Threshold2]]</f>
        <v>≥ 90</v>
      </c>
      <c r="E10">
        <v>78</v>
      </c>
      <c r="F10">
        <v>90</v>
      </c>
      <c r="H10" t="s">
        <v>199</v>
      </c>
      <c r="I10">
        <v>1</v>
      </c>
      <c r="J10">
        <v>1</v>
      </c>
      <c r="K10">
        <v>0.7</v>
      </c>
      <c r="M10" t="s">
        <v>199</v>
      </c>
      <c r="N10">
        <v>2</v>
      </c>
      <c r="O10">
        <v>1.5</v>
      </c>
      <c r="P10">
        <v>1</v>
      </c>
      <c r="R10" t="s">
        <v>176</v>
      </c>
      <c r="S10" s="157" t="s">
        <v>1139</v>
      </c>
      <c r="T10" s="157" t="s">
        <v>1127</v>
      </c>
      <c r="U10" s="157" t="s">
        <v>1136</v>
      </c>
    </row>
    <row r="11" spans="1:21" x14ac:dyDescent="0.25">
      <c r="A11" t="s">
        <v>203</v>
      </c>
      <c r="B11" t="str">
        <f>"&lt; "&amp;Thresholds[[#This Row],[Threshold1]]</f>
        <v>&lt; 55</v>
      </c>
      <c r="C11" t="str">
        <f>"≥ "&amp;Thresholds[[#This Row],[Threshold1]]&amp;" and &lt; "&amp;Thresholds[[#This Row],[Threshold2]]</f>
        <v>≥ 55 and &lt; 77</v>
      </c>
      <c r="D11" t="str">
        <f>"≥ "&amp;Thresholds[[#This Row],[Threshold2]]</f>
        <v>≥ 77</v>
      </c>
      <c r="E11">
        <v>55</v>
      </c>
      <c r="F11">
        <v>77</v>
      </c>
      <c r="H11" t="s">
        <v>203</v>
      </c>
      <c r="I11">
        <v>1</v>
      </c>
      <c r="J11">
        <v>1</v>
      </c>
      <c r="K11">
        <v>0.7</v>
      </c>
      <c r="M11" t="s">
        <v>203</v>
      </c>
      <c r="N11">
        <v>2</v>
      </c>
      <c r="O11">
        <v>1.5</v>
      </c>
      <c r="P11">
        <v>1</v>
      </c>
      <c r="R11" t="s">
        <v>180</v>
      </c>
      <c r="S11" s="157" t="s">
        <v>1140</v>
      </c>
      <c r="T11" s="157" t="s">
        <v>1141</v>
      </c>
      <c r="U11" s="157" t="s">
        <v>1126</v>
      </c>
    </row>
    <row r="12" spans="1:21" x14ac:dyDescent="0.25">
      <c r="A12" t="s">
        <v>207</v>
      </c>
      <c r="B12" t="str">
        <f>"&lt; "&amp;Thresholds[[#This Row],[Threshold1]]</f>
        <v>&lt; 37</v>
      </c>
      <c r="C12" t="str">
        <f>"≥ "&amp;Thresholds[[#This Row],[Threshold1]]&amp;" and &lt; "&amp;Thresholds[[#This Row],[Threshold2]]</f>
        <v>≥ 37 and &lt; 66</v>
      </c>
      <c r="D12" t="str">
        <f>"≥ "&amp;Thresholds[[#This Row],[Threshold2]]</f>
        <v>≥ 66</v>
      </c>
      <c r="E12">
        <v>37</v>
      </c>
      <c r="F12">
        <v>66</v>
      </c>
      <c r="H12" t="s">
        <v>207</v>
      </c>
      <c r="I12">
        <v>1</v>
      </c>
      <c r="J12">
        <v>1</v>
      </c>
      <c r="K12">
        <v>0.7</v>
      </c>
      <c r="M12" t="s">
        <v>207</v>
      </c>
      <c r="N12">
        <v>2</v>
      </c>
      <c r="O12">
        <v>1.5</v>
      </c>
      <c r="P12">
        <v>1</v>
      </c>
      <c r="R12" t="s">
        <v>184</v>
      </c>
      <c r="S12" s="157" t="s">
        <v>1126</v>
      </c>
      <c r="T12" s="157" t="s">
        <v>1142</v>
      </c>
      <c r="U12" s="157" t="s">
        <v>1127</v>
      </c>
    </row>
    <row r="13" spans="1:21" x14ac:dyDescent="0.25">
      <c r="A13" t="s">
        <v>211</v>
      </c>
      <c r="B13" t="str">
        <f>"&lt; "&amp;Thresholds[[#This Row],[Threshold1]]</f>
        <v>&lt; 81</v>
      </c>
      <c r="C13" t="str">
        <f>"≥ "&amp;Thresholds[[#This Row],[Threshold1]]&amp;" and &lt; "&amp;Thresholds[[#This Row],[Threshold2]]</f>
        <v>≥ 81 and &lt; 87</v>
      </c>
      <c r="D13" t="str">
        <f>"≥ "&amp;Thresholds[[#This Row],[Threshold2]]</f>
        <v>≥ 87</v>
      </c>
      <c r="E13">
        <v>81</v>
      </c>
      <c r="F13">
        <v>87</v>
      </c>
      <c r="H13" t="s">
        <v>211</v>
      </c>
      <c r="I13">
        <v>1.5</v>
      </c>
      <c r="J13">
        <v>1</v>
      </c>
      <c r="K13">
        <v>1</v>
      </c>
      <c r="M13" t="s">
        <v>211</v>
      </c>
      <c r="N13">
        <v>2</v>
      </c>
      <c r="O13">
        <v>1.5</v>
      </c>
      <c r="P13">
        <v>1.5</v>
      </c>
      <c r="R13" t="s">
        <v>188</v>
      </c>
      <c r="S13" s="157" t="s">
        <v>1126</v>
      </c>
      <c r="T13" s="157" t="s">
        <v>1143</v>
      </c>
      <c r="U13" s="157" t="s">
        <v>1143</v>
      </c>
    </row>
    <row r="14" spans="1:21" x14ac:dyDescent="0.25">
      <c r="A14" t="s">
        <v>215</v>
      </c>
      <c r="B14" t="str">
        <f>"&lt; "&amp;Thresholds[[#This Row],[Threshold1]]</f>
        <v>&lt; 57</v>
      </c>
      <c r="C14" t="str">
        <f>"≥ "&amp;Thresholds[[#This Row],[Threshold1]]&amp;" and &lt; "&amp;Thresholds[[#This Row],[Threshold2]]</f>
        <v>≥ 57 and &lt; 70</v>
      </c>
      <c r="D14" t="str">
        <f>"≥ "&amp;Thresholds[[#This Row],[Threshold2]]</f>
        <v>≥ 70</v>
      </c>
      <c r="E14">
        <v>57</v>
      </c>
      <c r="F14">
        <v>70</v>
      </c>
      <c r="H14" t="s">
        <v>215</v>
      </c>
      <c r="I14">
        <v>1.5</v>
      </c>
      <c r="J14">
        <v>1</v>
      </c>
      <c r="K14">
        <v>1</v>
      </c>
      <c r="M14" t="s">
        <v>215</v>
      </c>
      <c r="N14">
        <v>2</v>
      </c>
      <c r="O14">
        <v>1.5</v>
      </c>
      <c r="P14">
        <v>1.5</v>
      </c>
      <c r="R14" t="s">
        <v>192</v>
      </c>
      <c r="S14" s="157" t="s">
        <v>1144</v>
      </c>
      <c r="T14" s="157" t="s">
        <v>1129</v>
      </c>
      <c r="U14" s="157" t="s">
        <v>1125</v>
      </c>
    </row>
    <row r="15" spans="1:21" x14ac:dyDescent="0.25">
      <c r="A15" t="s">
        <v>219</v>
      </c>
      <c r="B15" t="str">
        <f>"&lt; "&amp;Thresholds[[#This Row],[Threshold1]]</f>
        <v>&lt; 33</v>
      </c>
      <c r="C15" t="str">
        <f>"≥ "&amp;Thresholds[[#This Row],[Threshold1]]&amp;" and &lt; "&amp;Thresholds[[#This Row],[Threshold2]]</f>
        <v>≥ 33 and &lt; 53</v>
      </c>
      <c r="D15" t="str">
        <f>"≥ "&amp;Thresholds[[#This Row],[Threshold2]]</f>
        <v>≥ 53</v>
      </c>
      <c r="E15">
        <v>33</v>
      </c>
      <c r="F15">
        <v>53</v>
      </c>
      <c r="H15" t="s">
        <v>219</v>
      </c>
      <c r="I15">
        <v>1.5</v>
      </c>
      <c r="J15">
        <v>1</v>
      </c>
      <c r="K15">
        <v>1</v>
      </c>
      <c r="M15" t="s">
        <v>219</v>
      </c>
      <c r="N15">
        <v>2</v>
      </c>
      <c r="O15">
        <v>1.5</v>
      </c>
      <c r="P15">
        <v>1.5</v>
      </c>
      <c r="R15" t="s">
        <v>196</v>
      </c>
      <c r="S15" s="157" t="s">
        <v>1125</v>
      </c>
      <c r="T15" s="157"/>
      <c r="U15" s="157" t="s">
        <v>1140</v>
      </c>
    </row>
    <row r="16" spans="1:21" x14ac:dyDescent="0.25">
      <c r="A16" t="s">
        <v>223</v>
      </c>
      <c r="B16" t="s">
        <v>234</v>
      </c>
      <c r="C16" t="str">
        <f>"≥ "&amp;Thresholds[[#This Row],[Threshold1]]&amp;" and &lt; "&amp;Thresholds[[#This Row],[Threshold2]]</f>
        <v>≥ 80 and &lt; 91</v>
      </c>
      <c r="D16" t="str">
        <f>"≥ "&amp;Thresholds[[#This Row],[Threshold2]]</f>
        <v>≥ 91</v>
      </c>
      <c r="E16">
        <v>80</v>
      </c>
      <c r="F16">
        <v>91</v>
      </c>
      <c r="H16" t="s">
        <v>223</v>
      </c>
      <c r="I16" t="e">
        <v>#N/A</v>
      </c>
      <c r="J16">
        <v>1</v>
      </c>
      <c r="K16">
        <v>1</v>
      </c>
      <c r="M16" t="s">
        <v>223</v>
      </c>
      <c r="N16" t="e">
        <f>NA()</f>
        <v>#N/A</v>
      </c>
      <c r="O16">
        <v>2</v>
      </c>
      <c r="P16">
        <v>2</v>
      </c>
      <c r="R16" t="s">
        <v>223</v>
      </c>
      <c r="S16" s="157"/>
      <c r="T16" s="157" t="s">
        <v>1145</v>
      </c>
      <c r="U16" s="157" t="s">
        <v>1146</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29" priority="7" operator="equal">
      <formula>"no test"</formula>
    </cfRule>
  </conditionalFormatting>
  <conditionalFormatting sqref="I4:K16">
    <cfRule type="cellIs" dxfId="28" priority="6" operator="equal">
      <formula>""</formula>
    </cfRule>
  </conditionalFormatting>
  <conditionalFormatting sqref="N4:P16">
    <cfRule type="cellIs" dxfId="27" priority="5" operator="equal">
      <formula>""</formula>
    </cfRule>
  </conditionalFormatting>
  <conditionalFormatting sqref="I4:K16 N4:P16">
    <cfRule type="containsErrors" dxfId="26" priority="8">
      <formula>ISERROR(I4)</formula>
    </cfRule>
  </conditionalFormatting>
  <conditionalFormatting sqref="R4:R16">
    <cfRule type="containsBlanks" dxfId="25" priority="9">
      <formula>LEN(TRIM(R4))=0</formula>
    </cfRule>
  </conditionalFormatting>
  <conditionalFormatting sqref="O9">
    <cfRule type="cellIs" dxfId="24"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159</v>
      </c>
      <c r="B1" t="s">
        <v>235</v>
      </c>
      <c r="C1" t="s">
        <v>236</v>
      </c>
      <c r="D1" t="s">
        <v>237</v>
      </c>
      <c r="E1" t="s">
        <v>238</v>
      </c>
      <c r="F1" t="s">
        <v>239</v>
      </c>
      <c r="G1" t="s">
        <v>240</v>
      </c>
    </row>
    <row r="2" spans="1:7" x14ac:dyDescent="0.25">
      <c r="A2" t="s">
        <v>241</v>
      </c>
      <c r="B2" t="s">
        <v>242</v>
      </c>
      <c r="C2" t="s">
        <v>243</v>
      </c>
      <c r="D2" t="s">
        <v>244</v>
      </c>
      <c r="E2">
        <v>71</v>
      </c>
      <c r="F2" t="b" cm="1">
        <f t="array" ref="F2">IFERROR(OR(_xlfn._xlws.FILTER(Table6[companyid FILTER],Table6[companyid]=Table1[[#This Row],[companyid]])),FALSE)</f>
        <v>1</v>
      </c>
      <c r="G2">
        <v>57132</v>
      </c>
    </row>
    <row r="3" spans="1:7" x14ac:dyDescent="0.25">
      <c r="A3" t="s">
        <v>245</v>
      </c>
      <c r="B3" t="s">
        <v>246</v>
      </c>
      <c r="C3" t="s">
        <v>247</v>
      </c>
      <c r="D3" t="s">
        <v>248</v>
      </c>
      <c r="E3">
        <v>43</v>
      </c>
      <c r="F3" t="b" cm="1">
        <f t="array" ref="F3">IFERROR(OR(_xlfn._xlws.FILTER(Table6[companyid FILTER],Table6[companyid]=Table1[[#This Row],[companyid]])),FALSE)</f>
        <v>1</v>
      </c>
      <c r="G3">
        <v>57170</v>
      </c>
    </row>
    <row r="4" spans="1:7" x14ac:dyDescent="0.25">
      <c r="A4" t="s">
        <v>245</v>
      </c>
      <c r="B4" t="s">
        <v>249</v>
      </c>
      <c r="C4" t="s">
        <v>247</v>
      </c>
      <c r="D4" t="s">
        <v>248</v>
      </c>
      <c r="E4">
        <v>13</v>
      </c>
      <c r="F4" t="b" cm="1">
        <f t="array" ref="F4">IFERROR(OR(_xlfn._xlws.FILTER(Table6[companyid FILTER],Table6[companyid]=Table1[[#This Row],[companyid]])),FALSE)</f>
        <v>1</v>
      </c>
      <c r="G4">
        <v>57170</v>
      </c>
    </row>
    <row r="5" spans="1:7" x14ac:dyDescent="0.25">
      <c r="A5" t="s">
        <v>250</v>
      </c>
      <c r="B5" t="s">
        <v>251</v>
      </c>
      <c r="C5" t="s">
        <v>252</v>
      </c>
      <c r="D5" t="s">
        <v>253</v>
      </c>
      <c r="E5">
        <v>125</v>
      </c>
      <c r="F5" t="b" cm="1">
        <f t="array" ref="F5">IFERROR(OR(_xlfn._xlws.FILTER(Table6[companyid FILTER],Table6[companyid]=Table1[[#This Row],[companyid]])),FALSE)</f>
        <v>1</v>
      </c>
      <c r="G5">
        <v>57113</v>
      </c>
    </row>
    <row r="6" spans="1:7" x14ac:dyDescent="0.25">
      <c r="A6" t="s">
        <v>254</v>
      </c>
      <c r="B6" t="s">
        <v>255</v>
      </c>
      <c r="C6" t="s">
        <v>256</v>
      </c>
      <c r="D6" t="s">
        <v>257</v>
      </c>
      <c r="E6">
        <v>1</v>
      </c>
      <c r="F6" t="b" cm="1">
        <f t="array" ref="F6">IFERROR(OR(_xlfn._xlws.FILTER(Table6[companyid FILTER],Table6[companyid]=Table1[[#This Row],[companyid]])),FALSE)</f>
        <v>0</v>
      </c>
      <c r="G6">
        <v>57158</v>
      </c>
    </row>
    <row r="7" spans="1:7" x14ac:dyDescent="0.25">
      <c r="A7" t="s">
        <v>258</v>
      </c>
      <c r="B7" t="s">
        <v>259</v>
      </c>
      <c r="C7" t="s">
        <v>260</v>
      </c>
      <c r="D7" t="s">
        <v>261</v>
      </c>
      <c r="E7">
        <v>6</v>
      </c>
      <c r="F7" t="b" cm="1">
        <f t="array" ref="F7">IFERROR(OR(_xlfn._xlws.FILTER(Table6[companyid FILTER],Table6[companyid]=Table1[[#This Row],[companyid]])),FALSE)</f>
        <v>1</v>
      </c>
      <c r="G7">
        <v>57240</v>
      </c>
    </row>
    <row r="8" spans="1:7" x14ac:dyDescent="0.25">
      <c r="A8" t="s">
        <v>262</v>
      </c>
      <c r="B8" t="s">
        <v>263</v>
      </c>
      <c r="C8" t="s">
        <v>260</v>
      </c>
      <c r="D8" t="s">
        <v>264</v>
      </c>
      <c r="E8">
        <v>394</v>
      </c>
      <c r="F8" t="b" cm="1">
        <f t="array" ref="F8">IFERROR(OR(_xlfn._xlws.FILTER(Table6[companyid FILTER],Table6[companyid]=Table1[[#This Row],[companyid]])),FALSE)</f>
        <v>1</v>
      </c>
      <c r="G8">
        <v>57248</v>
      </c>
    </row>
    <row r="9" spans="1:7" x14ac:dyDescent="0.25">
      <c r="A9" t="s">
        <v>262</v>
      </c>
      <c r="B9" t="s">
        <v>263</v>
      </c>
      <c r="C9" t="s">
        <v>260</v>
      </c>
      <c r="D9" t="s">
        <v>265</v>
      </c>
      <c r="E9">
        <v>103</v>
      </c>
      <c r="F9" t="b" cm="1">
        <f t="array" ref="F9">IFERROR(OR(_xlfn._xlws.FILTER(Table6[companyid FILTER],Table6[companyid]=Table1[[#This Row],[companyid]])),FALSE)</f>
        <v>1</v>
      </c>
      <c r="G9">
        <v>57248</v>
      </c>
    </row>
    <row r="10" spans="1:7" x14ac:dyDescent="0.25">
      <c r="A10" t="s">
        <v>266</v>
      </c>
      <c r="B10" t="s">
        <v>267</v>
      </c>
      <c r="C10" t="s">
        <v>260</v>
      </c>
      <c r="D10" t="s">
        <v>264</v>
      </c>
      <c r="E10">
        <v>692</v>
      </c>
      <c r="F10" t="b" cm="1">
        <f t="array" ref="F10">IFERROR(OR(_xlfn._xlws.FILTER(Table6[companyid FILTER],Table6[companyid]=Table1[[#This Row],[companyid]])),FALSE)</f>
        <v>1</v>
      </c>
      <c r="G10">
        <v>57221</v>
      </c>
    </row>
    <row r="11" spans="1:7" x14ac:dyDescent="0.25">
      <c r="A11" t="s">
        <v>266</v>
      </c>
      <c r="B11" t="s">
        <v>268</v>
      </c>
      <c r="C11" t="s">
        <v>269</v>
      </c>
      <c r="D11" t="s">
        <v>264</v>
      </c>
      <c r="E11">
        <v>665</v>
      </c>
      <c r="F11" t="b" cm="1">
        <f t="array" ref="F11">IFERROR(OR(_xlfn._xlws.FILTER(Table6[companyid FILTER],Table6[companyid]=Table1[[#This Row],[companyid]])),FALSE)</f>
        <v>1</v>
      </c>
      <c r="G11">
        <v>57221</v>
      </c>
    </row>
    <row r="12" spans="1:7" x14ac:dyDescent="0.25">
      <c r="A12" t="s">
        <v>266</v>
      </c>
      <c r="B12" t="s">
        <v>268</v>
      </c>
      <c r="C12" t="s">
        <v>269</v>
      </c>
      <c r="D12" t="s">
        <v>270</v>
      </c>
      <c r="E12">
        <v>593</v>
      </c>
      <c r="F12" t="b" cm="1">
        <f t="array" ref="F12">IFERROR(OR(_xlfn._xlws.FILTER(Table6[companyid FILTER],Table6[companyid]=Table1[[#This Row],[companyid]])),FALSE)</f>
        <v>1</v>
      </c>
      <c r="G12">
        <v>57221</v>
      </c>
    </row>
    <row r="13" spans="1:7" x14ac:dyDescent="0.25">
      <c r="A13" t="s">
        <v>271</v>
      </c>
      <c r="B13" t="s">
        <v>272</v>
      </c>
      <c r="C13" t="s">
        <v>273</v>
      </c>
      <c r="D13" t="s">
        <v>274</v>
      </c>
      <c r="E13">
        <v>9</v>
      </c>
      <c r="F13" t="b" cm="1">
        <f t="array" ref="F13">IFERROR(OR(_xlfn._xlws.FILTER(Table6[companyid FILTER],Table6[companyid]=Table1[[#This Row],[companyid]])),FALSE)</f>
        <v>1</v>
      </c>
      <c r="G13">
        <v>57178</v>
      </c>
    </row>
    <row r="14" spans="1:7" x14ac:dyDescent="0.25">
      <c r="A14" t="s">
        <v>275</v>
      </c>
      <c r="B14" t="s">
        <v>276</v>
      </c>
      <c r="C14" t="s">
        <v>277</v>
      </c>
      <c r="D14" t="s">
        <v>278</v>
      </c>
      <c r="E14">
        <v>45</v>
      </c>
      <c r="F14" t="b" cm="1">
        <f t="array" ref="F14">IFERROR(OR(_xlfn._xlws.FILTER(Table6[companyid FILTER],Table6[companyid]=Table1[[#This Row],[companyid]])),FALSE)</f>
        <v>1</v>
      </c>
      <c r="G14">
        <v>57332</v>
      </c>
    </row>
    <row r="15" spans="1:7" x14ac:dyDescent="0.25">
      <c r="A15" t="s">
        <v>279</v>
      </c>
      <c r="B15" t="s">
        <v>280</v>
      </c>
      <c r="C15" t="s">
        <v>281</v>
      </c>
      <c r="D15" t="s">
        <v>282</v>
      </c>
      <c r="E15">
        <v>372</v>
      </c>
      <c r="F15" t="b" cm="1">
        <f t="array" ref="F15">IFERROR(OR(_xlfn._xlws.FILTER(Table6[companyid FILTER],Table6[companyid]=Table1[[#This Row],[companyid]])),FALSE)</f>
        <v>1</v>
      </c>
      <c r="G15">
        <v>57283</v>
      </c>
    </row>
    <row r="16" spans="1:7" x14ac:dyDescent="0.25">
      <c r="A16" t="s">
        <v>283</v>
      </c>
      <c r="C16" t="s">
        <v>284</v>
      </c>
      <c r="E16">
        <v>0</v>
      </c>
      <c r="F16" t="b" cm="1">
        <f t="array" ref="F16">IFERROR(OR(_xlfn._xlws.FILTER(Table6[companyid FILTER],Table6[companyid]=Table1[[#This Row],[companyid]])),FALSE)</f>
        <v>0</v>
      </c>
      <c r="G16">
        <v>57280</v>
      </c>
    </row>
    <row r="17" spans="1:7" x14ac:dyDescent="0.25">
      <c r="A17" t="s">
        <v>285</v>
      </c>
      <c r="B17" t="s">
        <v>286</v>
      </c>
      <c r="C17" t="s">
        <v>287</v>
      </c>
      <c r="D17" t="s">
        <v>288</v>
      </c>
      <c r="E17">
        <v>174</v>
      </c>
      <c r="F17" t="b" cm="1">
        <f t="array" ref="F17">IFERROR(OR(_xlfn._xlws.FILTER(Table6[companyid FILTER],Table6[companyid]=Table1[[#This Row],[companyid]])),FALSE)</f>
        <v>1</v>
      </c>
      <c r="G17">
        <v>57298</v>
      </c>
    </row>
    <row r="18" spans="1:7" x14ac:dyDescent="0.25">
      <c r="A18" t="s">
        <v>285</v>
      </c>
      <c r="B18" t="s">
        <v>289</v>
      </c>
      <c r="C18" t="s">
        <v>290</v>
      </c>
      <c r="D18" t="s">
        <v>288</v>
      </c>
      <c r="E18">
        <v>172</v>
      </c>
      <c r="F18" t="b" cm="1">
        <f t="array" ref="F18">IFERROR(OR(_xlfn._xlws.FILTER(Table6[companyid FILTER],Table6[companyid]=Table1[[#This Row],[companyid]])),FALSE)</f>
        <v>1</v>
      </c>
      <c r="G18">
        <v>57298</v>
      </c>
    </row>
    <row r="19" spans="1:7" x14ac:dyDescent="0.25">
      <c r="A19" t="s">
        <v>291</v>
      </c>
      <c r="B19" t="s">
        <v>292</v>
      </c>
      <c r="C19" t="s">
        <v>293</v>
      </c>
      <c r="D19" t="s">
        <v>294</v>
      </c>
      <c r="E19">
        <v>21</v>
      </c>
      <c r="F19" t="b" cm="1">
        <f t="array" ref="F19">IFERROR(OR(_xlfn._xlws.FILTER(Table6[companyid FILTER],Table6[companyid]=Table1[[#This Row],[companyid]])),FALSE)</f>
        <v>1</v>
      </c>
      <c r="G19">
        <v>57439</v>
      </c>
    </row>
    <row r="20" spans="1:7" x14ac:dyDescent="0.25">
      <c r="A20" t="s">
        <v>291</v>
      </c>
      <c r="B20" t="s">
        <v>295</v>
      </c>
      <c r="C20" t="s">
        <v>296</v>
      </c>
      <c r="D20" t="s">
        <v>294</v>
      </c>
      <c r="E20">
        <v>14</v>
      </c>
      <c r="F20" t="b" cm="1">
        <f t="array" ref="F20">IFERROR(OR(_xlfn._xlws.FILTER(Table6[companyid FILTER],Table6[companyid]=Table1[[#This Row],[companyid]])),FALSE)</f>
        <v>1</v>
      </c>
      <c r="G20">
        <v>57439</v>
      </c>
    </row>
    <row r="21" spans="1:7" x14ac:dyDescent="0.25">
      <c r="A21" t="s">
        <v>297</v>
      </c>
      <c r="B21" t="s">
        <v>298</v>
      </c>
      <c r="C21" t="s">
        <v>299</v>
      </c>
      <c r="D21" t="s">
        <v>300</v>
      </c>
      <c r="E21">
        <v>18</v>
      </c>
      <c r="F21" t="b" cm="1">
        <f t="array" ref="F21">IFERROR(OR(_xlfn._xlws.FILTER(Table6[companyid FILTER],Table6[companyid]=Table1[[#This Row],[companyid]])),FALSE)</f>
        <v>1</v>
      </c>
      <c r="G21">
        <v>57437</v>
      </c>
    </row>
    <row r="22" spans="1:7" x14ac:dyDescent="0.25">
      <c r="A22" t="s">
        <v>301</v>
      </c>
      <c r="B22" t="s">
        <v>302</v>
      </c>
      <c r="C22" t="s">
        <v>303</v>
      </c>
      <c r="D22" t="s">
        <v>304</v>
      </c>
      <c r="E22">
        <v>28</v>
      </c>
      <c r="F22" t="b" cm="1">
        <f t="array" ref="F22">IFERROR(OR(_xlfn._xlws.FILTER(Table6[companyid FILTER],Table6[companyid]=Table1[[#This Row],[companyid]])),FALSE)</f>
        <v>1</v>
      </c>
      <c r="G22">
        <v>57464</v>
      </c>
    </row>
    <row r="23" spans="1:7" x14ac:dyDescent="0.25">
      <c r="A23" t="s">
        <v>301</v>
      </c>
      <c r="B23" t="s">
        <v>302</v>
      </c>
      <c r="C23" t="s">
        <v>303</v>
      </c>
      <c r="D23" t="s">
        <v>305</v>
      </c>
      <c r="E23">
        <v>17</v>
      </c>
      <c r="F23" t="b" cm="1">
        <f t="array" ref="F23">IFERROR(OR(_xlfn._xlws.FILTER(Table6[companyid FILTER],Table6[companyid]=Table1[[#This Row],[companyid]])),FALSE)</f>
        <v>1</v>
      </c>
      <c r="G23">
        <v>57464</v>
      </c>
    </row>
    <row r="24" spans="1:7" x14ac:dyDescent="0.25">
      <c r="A24" t="s">
        <v>306</v>
      </c>
      <c r="B24" t="s">
        <v>307</v>
      </c>
      <c r="C24" t="s">
        <v>308</v>
      </c>
      <c r="D24" t="s">
        <v>309</v>
      </c>
      <c r="E24">
        <v>410</v>
      </c>
      <c r="F24" t="b" cm="1">
        <f t="array" ref="F24">IFERROR(OR(_xlfn._xlws.FILTER(Table6[companyid FILTER],Table6[companyid]=Table1[[#This Row],[companyid]])),FALSE)</f>
        <v>1</v>
      </c>
      <c r="G24">
        <v>57461</v>
      </c>
    </row>
    <row r="25" spans="1:7" x14ac:dyDescent="0.25">
      <c r="A25" t="s">
        <v>306</v>
      </c>
      <c r="B25" t="s">
        <v>310</v>
      </c>
      <c r="C25" t="s">
        <v>308</v>
      </c>
      <c r="D25" t="s">
        <v>309</v>
      </c>
      <c r="E25">
        <v>407</v>
      </c>
      <c r="F25" t="b" cm="1">
        <f t="array" ref="F25">IFERROR(OR(_xlfn._xlws.FILTER(Table6[companyid FILTER],Table6[companyid]=Table1[[#This Row],[companyid]])),FALSE)</f>
        <v>1</v>
      </c>
      <c r="G25">
        <v>57461</v>
      </c>
    </row>
    <row r="26" spans="1:7" x14ac:dyDescent="0.25">
      <c r="A26" t="s">
        <v>306</v>
      </c>
      <c r="B26" t="s">
        <v>310</v>
      </c>
      <c r="C26" t="s">
        <v>308</v>
      </c>
      <c r="E26">
        <v>365</v>
      </c>
      <c r="F26" t="b" cm="1">
        <f t="array" ref="F26">IFERROR(OR(_xlfn._xlws.FILTER(Table6[companyid FILTER],Table6[companyid]=Table1[[#This Row],[companyid]])),FALSE)</f>
        <v>1</v>
      </c>
      <c r="G26">
        <v>57461</v>
      </c>
    </row>
    <row r="27" spans="1:7" x14ac:dyDescent="0.25">
      <c r="A27" t="s">
        <v>311</v>
      </c>
      <c r="B27" t="s">
        <v>312</v>
      </c>
      <c r="C27" t="s">
        <v>313</v>
      </c>
      <c r="D27" t="s">
        <v>314</v>
      </c>
      <c r="E27">
        <v>190</v>
      </c>
      <c r="F27" t="b" cm="1">
        <f t="array" ref="F27">IFERROR(OR(_xlfn._xlws.FILTER(Table6[companyid FILTER],Table6[companyid]=Table1[[#This Row],[companyid]])),FALSE)</f>
        <v>1</v>
      </c>
      <c r="G27">
        <v>57460</v>
      </c>
    </row>
    <row r="28" spans="1:7" x14ac:dyDescent="0.25">
      <c r="A28" t="s">
        <v>311</v>
      </c>
      <c r="B28" t="s">
        <v>310</v>
      </c>
      <c r="C28" t="s">
        <v>308</v>
      </c>
      <c r="D28" t="s">
        <v>309</v>
      </c>
      <c r="E28">
        <v>190</v>
      </c>
      <c r="F28" t="b" cm="1">
        <f t="array" ref="F28">IFERROR(OR(_xlfn._xlws.FILTER(Table6[companyid FILTER],Table6[companyid]=Table1[[#This Row],[companyid]])),FALSE)</f>
        <v>1</v>
      </c>
      <c r="G28">
        <v>57460</v>
      </c>
    </row>
    <row r="29" spans="1:7" x14ac:dyDescent="0.25">
      <c r="A29" t="s">
        <v>315</v>
      </c>
      <c r="B29" t="s">
        <v>316</v>
      </c>
      <c r="C29" t="s">
        <v>317</v>
      </c>
      <c r="D29" t="s">
        <v>318</v>
      </c>
      <c r="E29">
        <v>81</v>
      </c>
      <c r="F29" t="b" cm="1">
        <f t="array" ref="F29">IFERROR(OR(_xlfn._xlws.FILTER(Table6[companyid FILTER],Table6[companyid]=Table1[[#This Row],[companyid]])),FALSE)</f>
        <v>1</v>
      </c>
      <c r="G29">
        <v>57421</v>
      </c>
    </row>
    <row r="30" spans="1:7" x14ac:dyDescent="0.25">
      <c r="A30" t="s">
        <v>319</v>
      </c>
      <c r="C30" t="s">
        <v>284</v>
      </c>
      <c r="E30">
        <v>0</v>
      </c>
      <c r="F30" t="b" cm="1">
        <f t="array" ref="F30">IFERROR(OR(_xlfn._xlws.FILTER(Table6[companyid FILTER],Table6[companyid]=Table1[[#This Row],[companyid]])),FALSE)</f>
        <v>0</v>
      </c>
      <c r="G30">
        <v>57381</v>
      </c>
    </row>
    <row r="31" spans="1:7" x14ac:dyDescent="0.25">
      <c r="A31" t="s">
        <v>320</v>
      </c>
      <c r="B31" t="s">
        <v>321</v>
      </c>
      <c r="C31" t="s">
        <v>322</v>
      </c>
      <c r="D31" t="s">
        <v>323</v>
      </c>
      <c r="E31">
        <v>138</v>
      </c>
      <c r="F31" t="b" cm="1">
        <f t="array" ref="F31">IFERROR(OR(_xlfn._xlws.FILTER(Table6[companyid FILTER],Table6[companyid]=Table1[[#This Row],[companyid]])),FALSE)</f>
        <v>1</v>
      </c>
      <c r="G31">
        <v>57534</v>
      </c>
    </row>
    <row r="32" spans="1:7" x14ac:dyDescent="0.25">
      <c r="A32" t="s">
        <v>324</v>
      </c>
      <c r="B32" t="s">
        <v>325</v>
      </c>
      <c r="C32" t="s">
        <v>326</v>
      </c>
      <c r="D32" t="s">
        <v>327</v>
      </c>
      <c r="E32">
        <v>8</v>
      </c>
      <c r="F32" t="b" cm="1">
        <f t="array" ref="F32">IFERROR(OR(_xlfn._xlws.FILTER(Table6[companyid FILTER],Table6[companyid]=Table1[[#This Row],[companyid]])),FALSE)</f>
        <v>1</v>
      </c>
      <c r="G32">
        <v>57562</v>
      </c>
    </row>
    <row r="33" spans="1:7" x14ac:dyDescent="0.25">
      <c r="A33" t="s">
        <v>324</v>
      </c>
      <c r="B33" t="s">
        <v>328</v>
      </c>
      <c r="C33" t="s">
        <v>326</v>
      </c>
      <c r="D33" t="s">
        <v>327</v>
      </c>
      <c r="E33">
        <v>2</v>
      </c>
      <c r="F33" t="b" cm="1">
        <f t="array" ref="F33">IFERROR(OR(_xlfn._xlws.FILTER(Table6[companyid FILTER],Table6[companyid]=Table1[[#This Row],[companyid]])),FALSE)</f>
        <v>1</v>
      </c>
      <c r="G33">
        <v>57562</v>
      </c>
    </row>
    <row r="34" spans="1:7" x14ac:dyDescent="0.25">
      <c r="A34" t="s">
        <v>329</v>
      </c>
      <c r="C34" t="s">
        <v>284</v>
      </c>
      <c r="E34">
        <v>3</v>
      </c>
      <c r="F34" t="b" cm="1">
        <f t="array" ref="F34">IFERROR(OR(_xlfn._xlws.FILTER(Table6[companyid FILTER],Table6[companyid]=Table1[[#This Row],[companyid]])),FALSE)</f>
        <v>1</v>
      </c>
      <c r="G34">
        <v>61312</v>
      </c>
    </row>
    <row r="35" spans="1:7" x14ac:dyDescent="0.25">
      <c r="A35" t="s">
        <v>330</v>
      </c>
      <c r="B35" t="s">
        <v>331</v>
      </c>
      <c r="C35" t="s">
        <v>332</v>
      </c>
      <c r="D35" t="s">
        <v>333</v>
      </c>
      <c r="E35">
        <v>13</v>
      </c>
      <c r="F35" t="b" cm="1">
        <f t="array" ref="F35">IFERROR(OR(_xlfn._xlws.FILTER(Table6[companyid FILTER],Table6[companyid]=Table1[[#This Row],[companyid]])),FALSE)</f>
        <v>1</v>
      </c>
      <c r="G35">
        <v>87871</v>
      </c>
    </row>
    <row r="36" spans="1:7" x14ac:dyDescent="0.25">
      <c r="A36" t="s">
        <v>334</v>
      </c>
      <c r="B36" t="s">
        <v>335</v>
      </c>
      <c r="C36" t="s">
        <v>336</v>
      </c>
      <c r="D36" t="s">
        <v>337</v>
      </c>
      <c r="E36">
        <v>94</v>
      </c>
      <c r="F36" t="b" cm="1">
        <f t="array" ref="F36">IFERROR(OR(_xlfn._xlws.FILTER(Table6[companyid FILTER],Table6[companyid]=Table1[[#This Row],[companyid]])),FALSE)</f>
        <v>1</v>
      </c>
      <c r="G36">
        <v>57492</v>
      </c>
    </row>
    <row r="37" spans="1:7" x14ac:dyDescent="0.25">
      <c r="A37" t="s">
        <v>338</v>
      </c>
      <c r="B37" t="s">
        <v>339</v>
      </c>
      <c r="C37" t="s">
        <v>340</v>
      </c>
      <c r="D37" t="s">
        <v>341</v>
      </c>
      <c r="E37">
        <v>303</v>
      </c>
      <c r="F37" t="b" cm="1">
        <f t="array" ref="F37">IFERROR(OR(_xlfn._xlws.FILTER(Table6[companyid FILTER],Table6[companyid]=Table1[[#This Row],[companyid]])),FALSE)</f>
        <v>1</v>
      </c>
      <c r="G37">
        <v>57481</v>
      </c>
    </row>
    <row r="38" spans="1:7" x14ac:dyDescent="0.25">
      <c r="A38" t="s">
        <v>338</v>
      </c>
      <c r="B38" t="s">
        <v>342</v>
      </c>
      <c r="C38" t="s">
        <v>340</v>
      </c>
      <c r="D38" t="s">
        <v>341</v>
      </c>
      <c r="E38">
        <v>294</v>
      </c>
      <c r="F38" t="b" cm="1">
        <f t="array" ref="F38">IFERROR(OR(_xlfn._xlws.FILTER(Table6[companyid FILTER],Table6[companyid]=Table1[[#This Row],[companyid]])),FALSE)</f>
        <v>1</v>
      </c>
      <c r="G38">
        <v>57481</v>
      </c>
    </row>
    <row r="39" spans="1:7" x14ac:dyDescent="0.25">
      <c r="A39" t="s">
        <v>338</v>
      </c>
      <c r="B39" t="s">
        <v>342</v>
      </c>
      <c r="C39" t="s">
        <v>340</v>
      </c>
      <c r="D39" t="s">
        <v>343</v>
      </c>
      <c r="E39">
        <v>276</v>
      </c>
      <c r="F39" t="b" cm="1">
        <f t="array" ref="F39">IFERROR(OR(_xlfn._xlws.FILTER(Table6[companyid FILTER],Table6[companyid]=Table1[[#This Row],[companyid]])),FALSE)</f>
        <v>1</v>
      </c>
      <c r="G39">
        <v>57481</v>
      </c>
    </row>
    <row r="40" spans="1:7" x14ac:dyDescent="0.25">
      <c r="A40" t="s">
        <v>344</v>
      </c>
      <c r="B40" t="s">
        <v>345</v>
      </c>
      <c r="C40" t="s">
        <v>346</v>
      </c>
      <c r="D40" t="s">
        <v>347</v>
      </c>
      <c r="E40">
        <v>369</v>
      </c>
      <c r="F40" t="b" cm="1">
        <f t="array" ref="F40">IFERROR(OR(_xlfn._xlws.FILTER(Table6[companyid FILTER],Table6[companyid]=Table1[[#This Row],[companyid]])),FALSE)</f>
        <v>1</v>
      </c>
      <c r="G40">
        <v>57508</v>
      </c>
    </row>
    <row r="41" spans="1:7" x14ac:dyDescent="0.25">
      <c r="A41" t="s">
        <v>344</v>
      </c>
      <c r="B41" t="s">
        <v>348</v>
      </c>
      <c r="C41" t="s">
        <v>349</v>
      </c>
      <c r="D41" t="s">
        <v>347</v>
      </c>
      <c r="E41">
        <v>132</v>
      </c>
      <c r="F41" t="b" cm="1">
        <f t="array" ref="F41">IFERROR(OR(_xlfn._xlws.FILTER(Table6[companyid FILTER],Table6[companyid]=Table1[[#This Row],[companyid]])),FALSE)</f>
        <v>1</v>
      </c>
      <c r="G41">
        <v>57508</v>
      </c>
    </row>
    <row r="42" spans="1:7" x14ac:dyDescent="0.25">
      <c r="A42" t="s">
        <v>350</v>
      </c>
      <c r="C42" t="s">
        <v>284</v>
      </c>
      <c r="E42">
        <v>0</v>
      </c>
      <c r="F42" t="b" cm="1">
        <f t="array" ref="F42">IFERROR(OR(_xlfn._xlws.FILTER(Table6[companyid FILTER],Table6[companyid]=Table1[[#This Row],[companyid]])),FALSE)</f>
        <v>0</v>
      </c>
      <c r="G42">
        <v>57613</v>
      </c>
    </row>
    <row r="43" spans="1:7" x14ac:dyDescent="0.25">
      <c r="A43" t="s">
        <v>351</v>
      </c>
      <c r="B43" t="s">
        <v>352</v>
      </c>
      <c r="C43" t="s">
        <v>260</v>
      </c>
      <c r="D43" t="s">
        <v>353</v>
      </c>
      <c r="E43">
        <v>30</v>
      </c>
      <c r="F43" t="b" cm="1">
        <f t="array" ref="F43">IFERROR(OR(_xlfn._xlws.FILTER(Table6[companyid FILTER],Table6[companyid]=Table1[[#This Row],[companyid]])),FALSE)</f>
        <v>1</v>
      </c>
      <c r="G43">
        <v>57598</v>
      </c>
    </row>
    <row r="44" spans="1:7" x14ac:dyDescent="0.25">
      <c r="A44" t="s">
        <v>351</v>
      </c>
      <c r="B44" t="s">
        <v>352</v>
      </c>
      <c r="C44" t="s">
        <v>260</v>
      </c>
      <c r="D44" t="s">
        <v>354</v>
      </c>
      <c r="E44">
        <v>15</v>
      </c>
      <c r="F44" t="b" cm="1">
        <f t="array" ref="F44">IFERROR(OR(_xlfn._xlws.FILTER(Table6[companyid FILTER],Table6[companyid]=Table1[[#This Row],[companyid]])),FALSE)</f>
        <v>1</v>
      </c>
      <c r="G44">
        <v>57598</v>
      </c>
    </row>
    <row r="45" spans="1:7" x14ac:dyDescent="0.25">
      <c r="A45" t="s">
        <v>355</v>
      </c>
      <c r="B45" t="s">
        <v>356</v>
      </c>
      <c r="C45" t="s">
        <v>357</v>
      </c>
      <c r="D45" t="s">
        <v>358</v>
      </c>
      <c r="E45">
        <v>12</v>
      </c>
      <c r="F45" t="b" cm="1">
        <f t="array" ref="F45">IFERROR(OR(_xlfn._xlws.FILTER(Table6[companyid FILTER],Table6[companyid]=Table1[[#This Row],[companyid]])),FALSE)</f>
        <v>1</v>
      </c>
      <c r="G45">
        <v>57762</v>
      </c>
    </row>
    <row r="46" spans="1:7" x14ac:dyDescent="0.25">
      <c r="A46" t="s">
        <v>355</v>
      </c>
      <c r="B46" t="s">
        <v>359</v>
      </c>
      <c r="C46" t="s">
        <v>357</v>
      </c>
      <c r="D46" t="s">
        <v>358</v>
      </c>
      <c r="E46">
        <v>3</v>
      </c>
      <c r="F46" t="b" cm="1">
        <f t="array" ref="F46">IFERROR(OR(_xlfn._xlws.FILTER(Table6[companyid FILTER],Table6[companyid]=Table1[[#This Row],[companyid]])),FALSE)</f>
        <v>1</v>
      </c>
      <c r="G46">
        <v>57762</v>
      </c>
    </row>
    <row r="47" spans="1:7" x14ac:dyDescent="0.25">
      <c r="A47" t="s">
        <v>355</v>
      </c>
      <c r="C47" t="s">
        <v>284</v>
      </c>
      <c r="E47">
        <v>0</v>
      </c>
      <c r="F47" t="b" cm="1">
        <f t="array" ref="F47">IFERROR(OR(_xlfn._xlws.FILTER(Table6[companyid FILTER],Table6[companyid]=Table1[[#This Row],[companyid]])),FALSE)</f>
        <v>1</v>
      </c>
      <c r="G47">
        <v>57762</v>
      </c>
    </row>
    <row r="48" spans="1:7" x14ac:dyDescent="0.25">
      <c r="A48" t="s">
        <v>360</v>
      </c>
      <c r="B48" t="s">
        <v>361</v>
      </c>
      <c r="C48" t="s">
        <v>362</v>
      </c>
      <c r="D48" t="s">
        <v>363</v>
      </c>
      <c r="E48">
        <v>14</v>
      </c>
      <c r="F48" t="b" cm="1">
        <f t="array" ref="F48">IFERROR(OR(_xlfn._xlws.FILTER(Table6[companyid FILTER],Table6[companyid]=Table1[[#This Row],[companyid]])),FALSE)</f>
        <v>0</v>
      </c>
      <c r="G48">
        <v>57755</v>
      </c>
    </row>
    <row r="49" spans="1:7" x14ac:dyDescent="0.25">
      <c r="A49" t="s">
        <v>364</v>
      </c>
      <c r="B49" t="s">
        <v>365</v>
      </c>
      <c r="C49" t="s">
        <v>366</v>
      </c>
      <c r="D49" t="s">
        <v>367</v>
      </c>
      <c r="E49">
        <v>31</v>
      </c>
      <c r="F49" t="b" cm="1">
        <f t="array" ref="F49">IFERROR(OR(_xlfn._xlws.FILTER(Table6[companyid FILTER],Table6[companyid]=Table1[[#This Row],[companyid]])),FALSE)</f>
        <v>1</v>
      </c>
      <c r="G49">
        <v>57682</v>
      </c>
    </row>
    <row r="50" spans="1:7" x14ac:dyDescent="0.25">
      <c r="A50" t="s">
        <v>364</v>
      </c>
      <c r="C50" t="s">
        <v>284</v>
      </c>
      <c r="E50">
        <v>0</v>
      </c>
      <c r="F50" t="b" cm="1">
        <f t="array" ref="F50">IFERROR(OR(_xlfn._xlws.FILTER(Table6[companyid FILTER],Table6[companyid]=Table1[[#This Row],[companyid]])),FALSE)</f>
        <v>1</v>
      </c>
      <c r="G50">
        <v>57682</v>
      </c>
    </row>
    <row r="51" spans="1:7" x14ac:dyDescent="0.25">
      <c r="A51" t="s">
        <v>368</v>
      </c>
      <c r="B51" t="s">
        <v>369</v>
      </c>
      <c r="C51" t="s">
        <v>370</v>
      </c>
      <c r="D51" t="s">
        <v>371</v>
      </c>
      <c r="E51">
        <v>38</v>
      </c>
      <c r="F51" t="b" cm="1">
        <f t="array" ref="F51">IFERROR(OR(_xlfn._xlws.FILTER(Table6[companyid FILTER],Table6[companyid]=Table1[[#This Row],[companyid]])),FALSE)</f>
        <v>1</v>
      </c>
      <c r="G51">
        <v>57718</v>
      </c>
    </row>
    <row r="52" spans="1:7" x14ac:dyDescent="0.25">
      <c r="A52" t="s">
        <v>368</v>
      </c>
      <c r="B52" t="s">
        <v>369</v>
      </c>
      <c r="C52" t="s">
        <v>370</v>
      </c>
      <c r="D52" t="s">
        <v>372</v>
      </c>
      <c r="E52">
        <v>26</v>
      </c>
      <c r="F52" t="b" cm="1">
        <f t="array" ref="F52">IFERROR(OR(_xlfn._xlws.FILTER(Table6[companyid FILTER],Table6[companyid]=Table1[[#This Row],[companyid]])),FALSE)</f>
        <v>1</v>
      </c>
      <c r="G52">
        <v>57718</v>
      </c>
    </row>
    <row r="53" spans="1:7" x14ac:dyDescent="0.25">
      <c r="A53" t="s">
        <v>373</v>
      </c>
      <c r="B53" t="s">
        <v>374</v>
      </c>
      <c r="C53" t="s">
        <v>375</v>
      </c>
      <c r="D53" t="s">
        <v>376</v>
      </c>
      <c r="E53">
        <v>26</v>
      </c>
      <c r="F53" t="b" cm="1">
        <f t="array" ref="F53">IFERROR(OR(_xlfn._xlws.FILTER(Table6[companyid FILTER],Table6[companyid]=Table1[[#This Row],[companyid]])),FALSE)</f>
        <v>1</v>
      </c>
      <c r="G53">
        <v>57704</v>
      </c>
    </row>
    <row r="54" spans="1:7" x14ac:dyDescent="0.25">
      <c r="A54" t="s">
        <v>377</v>
      </c>
      <c r="B54" t="s">
        <v>378</v>
      </c>
      <c r="C54" t="s">
        <v>379</v>
      </c>
      <c r="E54">
        <v>27</v>
      </c>
      <c r="F54" t="b" cm="1">
        <f t="array" ref="F54">IFERROR(OR(_xlfn._xlws.FILTER(Table6[companyid FILTER],Table6[companyid]=Table1[[#This Row],[companyid]])),FALSE)</f>
        <v>1</v>
      </c>
      <c r="G54">
        <v>57844</v>
      </c>
    </row>
    <row r="55" spans="1:7" x14ac:dyDescent="0.25">
      <c r="A55" t="s">
        <v>377</v>
      </c>
      <c r="B55" t="s">
        <v>380</v>
      </c>
      <c r="C55" t="s">
        <v>381</v>
      </c>
      <c r="D55" t="s">
        <v>382</v>
      </c>
      <c r="E55">
        <v>9</v>
      </c>
      <c r="F55" t="b" cm="1">
        <f t="array" ref="F55">IFERROR(OR(_xlfn._xlws.FILTER(Table6[companyid FILTER],Table6[companyid]=Table1[[#This Row],[companyid]])),FALSE)</f>
        <v>1</v>
      </c>
      <c r="G55">
        <v>57844</v>
      </c>
    </row>
    <row r="56" spans="1:7" x14ac:dyDescent="0.25">
      <c r="A56" t="s">
        <v>377</v>
      </c>
      <c r="C56" t="s">
        <v>284</v>
      </c>
      <c r="E56">
        <v>0</v>
      </c>
      <c r="F56" t="b" cm="1">
        <f t="array" ref="F56">IFERROR(OR(_xlfn._xlws.FILTER(Table6[companyid FILTER],Table6[companyid]=Table1[[#This Row],[companyid]])),FALSE)</f>
        <v>1</v>
      </c>
      <c r="G56">
        <v>57844</v>
      </c>
    </row>
    <row r="57" spans="1:7" x14ac:dyDescent="0.25">
      <c r="A57" t="s">
        <v>383</v>
      </c>
      <c r="B57" t="s">
        <v>384</v>
      </c>
      <c r="C57" t="s">
        <v>385</v>
      </c>
      <c r="D57" t="s">
        <v>386</v>
      </c>
      <c r="E57">
        <v>686</v>
      </c>
      <c r="F57" t="b" cm="1">
        <f t="array" ref="F57">IFERROR(OR(_xlfn._xlws.FILTER(Table6[companyid FILTER],Table6[companyid]=Table1[[#This Row],[companyid]])),FALSE)</f>
        <v>1</v>
      </c>
      <c r="G57">
        <v>57819</v>
      </c>
    </row>
    <row r="58" spans="1:7" x14ac:dyDescent="0.25">
      <c r="A58" t="s">
        <v>383</v>
      </c>
      <c r="B58" t="s">
        <v>387</v>
      </c>
      <c r="C58" t="s">
        <v>260</v>
      </c>
      <c r="D58" t="s">
        <v>386</v>
      </c>
      <c r="E58">
        <v>414</v>
      </c>
      <c r="F58" t="b" cm="1">
        <f t="array" ref="F58">IFERROR(OR(_xlfn._xlws.FILTER(Table6[companyid FILTER],Table6[companyid]=Table1[[#This Row],[companyid]])),FALSE)</f>
        <v>1</v>
      </c>
      <c r="G58">
        <v>57819</v>
      </c>
    </row>
    <row r="59" spans="1:7" x14ac:dyDescent="0.25">
      <c r="A59" t="s">
        <v>388</v>
      </c>
      <c r="B59" t="s">
        <v>389</v>
      </c>
      <c r="C59" t="s">
        <v>385</v>
      </c>
      <c r="D59" t="s">
        <v>386</v>
      </c>
      <c r="E59">
        <v>160</v>
      </c>
      <c r="F59" t="b" cm="1">
        <f t="array" ref="F59">IFERROR(OR(_xlfn._xlws.FILTER(Table6[companyid FILTER],Table6[companyid]=Table1[[#This Row],[companyid]])),FALSE)</f>
        <v>1</v>
      </c>
      <c r="G59">
        <v>57820</v>
      </c>
    </row>
    <row r="60" spans="1:7" x14ac:dyDescent="0.25">
      <c r="A60" t="s">
        <v>390</v>
      </c>
      <c r="B60" t="s">
        <v>391</v>
      </c>
      <c r="C60" t="s">
        <v>375</v>
      </c>
      <c r="D60" t="s">
        <v>392</v>
      </c>
      <c r="E60">
        <v>1</v>
      </c>
      <c r="F60" t="b" cm="1">
        <f t="array" ref="F60">IFERROR(OR(_xlfn._xlws.FILTER(Table6[companyid FILTER],Table6[companyid]=Table1[[#This Row],[companyid]])),FALSE)</f>
        <v>0</v>
      </c>
      <c r="G60">
        <v>115311</v>
      </c>
    </row>
    <row r="61" spans="1:7" x14ac:dyDescent="0.25">
      <c r="A61" t="s">
        <v>393</v>
      </c>
      <c r="B61" t="s">
        <v>394</v>
      </c>
      <c r="C61" t="s">
        <v>395</v>
      </c>
      <c r="D61" t="s">
        <v>396</v>
      </c>
      <c r="E61">
        <v>27</v>
      </c>
      <c r="F61" t="b" cm="1">
        <f t="array" ref="F61">IFERROR(OR(_xlfn._xlws.FILTER(Table6[companyid FILTER],Table6[companyid]=Table1[[#This Row],[companyid]])),FALSE)</f>
        <v>1</v>
      </c>
      <c r="G61">
        <v>57777</v>
      </c>
    </row>
    <row r="62" spans="1:7" x14ac:dyDescent="0.25">
      <c r="A62" t="s">
        <v>393</v>
      </c>
      <c r="B62" t="s">
        <v>397</v>
      </c>
      <c r="C62" t="s">
        <v>395</v>
      </c>
      <c r="D62" t="s">
        <v>396</v>
      </c>
      <c r="E62">
        <v>9</v>
      </c>
      <c r="F62" t="b" cm="1">
        <f t="array" ref="F62">IFERROR(OR(_xlfn._xlws.FILTER(Table6[companyid FILTER],Table6[companyid]=Table1[[#This Row],[companyid]])),FALSE)</f>
        <v>1</v>
      </c>
      <c r="G62">
        <v>57777</v>
      </c>
    </row>
    <row r="63" spans="1:7" x14ac:dyDescent="0.25">
      <c r="A63" t="s">
        <v>398</v>
      </c>
      <c r="B63" t="s">
        <v>399</v>
      </c>
      <c r="C63" t="s">
        <v>243</v>
      </c>
      <c r="E63">
        <v>13</v>
      </c>
      <c r="F63" t="b" cm="1">
        <f t="array" ref="F63">IFERROR(OR(_xlfn._xlws.FILTER(Table6[companyid FILTER],Table6[companyid]=Table1[[#This Row],[companyid]])),FALSE)</f>
        <v>1</v>
      </c>
      <c r="G63">
        <v>66118</v>
      </c>
    </row>
    <row r="64" spans="1:7" x14ac:dyDescent="0.25">
      <c r="A64" t="s">
        <v>400</v>
      </c>
      <c r="C64" t="s">
        <v>284</v>
      </c>
      <c r="E64">
        <v>0</v>
      </c>
      <c r="F64" t="b" cm="1">
        <f t="array" ref="F64">IFERROR(OR(_xlfn._xlws.FILTER(Table6[companyid FILTER],Table6[companyid]=Table1[[#This Row],[companyid]])),FALSE)</f>
        <v>0</v>
      </c>
      <c r="G64">
        <v>57962</v>
      </c>
    </row>
    <row r="65" spans="1:7" x14ac:dyDescent="0.25">
      <c r="A65" t="s">
        <v>401</v>
      </c>
      <c r="B65" t="s">
        <v>402</v>
      </c>
      <c r="C65" t="s">
        <v>403</v>
      </c>
      <c r="D65" t="s">
        <v>404</v>
      </c>
      <c r="E65">
        <v>313</v>
      </c>
      <c r="F65" t="b" cm="1">
        <f t="array" ref="F65">IFERROR(OR(_xlfn._xlws.FILTER(Table6[companyid FILTER],Table6[companyid]=Table1[[#This Row],[companyid]])),FALSE)</f>
        <v>1</v>
      </c>
      <c r="G65">
        <v>57961</v>
      </c>
    </row>
    <row r="66" spans="1:7" x14ac:dyDescent="0.25">
      <c r="A66" t="s">
        <v>401</v>
      </c>
      <c r="B66" t="s">
        <v>405</v>
      </c>
      <c r="C66" t="s">
        <v>340</v>
      </c>
      <c r="D66" t="s">
        <v>404</v>
      </c>
      <c r="E66">
        <v>168</v>
      </c>
      <c r="F66" t="b" cm="1">
        <f t="array" ref="F66">IFERROR(OR(_xlfn._xlws.FILTER(Table6[companyid FILTER],Table6[companyid]=Table1[[#This Row],[companyid]])),FALSE)</f>
        <v>1</v>
      </c>
      <c r="G66">
        <v>57961</v>
      </c>
    </row>
    <row r="67" spans="1:7" x14ac:dyDescent="0.25">
      <c r="A67" t="s">
        <v>401</v>
      </c>
      <c r="B67" t="s">
        <v>406</v>
      </c>
      <c r="C67" t="s">
        <v>366</v>
      </c>
      <c r="D67" t="s">
        <v>404</v>
      </c>
      <c r="E67">
        <v>56</v>
      </c>
      <c r="F67" t="b" cm="1">
        <f t="array" ref="F67">IFERROR(OR(_xlfn._xlws.FILTER(Table6[companyid FILTER],Table6[companyid]=Table1[[#This Row],[companyid]])),FALSE)</f>
        <v>1</v>
      </c>
      <c r="G67">
        <v>57961</v>
      </c>
    </row>
    <row r="68" spans="1:7" x14ac:dyDescent="0.25">
      <c r="A68" t="s">
        <v>407</v>
      </c>
      <c r="B68" t="s">
        <v>408</v>
      </c>
      <c r="C68" t="s">
        <v>260</v>
      </c>
      <c r="D68" t="s">
        <v>409</v>
      </c>
      <c r="E68">
        <v>87</v>
      </c>
      <c r="F68" t="b" cm="1">
        <f t="array" ref="F68">IFERROR(OR(_xlfn._xlws.FILTER(Table6[companyid FILTER],Table6[companyid]=Table1[[#This Row],[companyid]])),FALSE)</f>
        <v>1</v>
      </c>
      <c r="G68">
        <v>57958</v>
      </c>
    </row>
    <row r="69" spans="1:7" x14ac:dyDescent="0.25">
      <c r="A69" t="s">
        <v>410</v>
      </c>
      <c r="B69" t="s">
        <v>411</v>
      </c>
      <c r="C69" t="s">
        <v>412</v>
      </c>
      <c r="D69" t="s">
        <v>413</v>
      </c>
      <c r="E69">
        <v>44</v>
      </c>
      <c r="F69" t="b" cm="1">
        <f t="array" ref="F69">IFERROR(OR(_xlfn._xlws.FILTER(Table6[companyid FILTER],Table6[companyid]=Table1[[#This Row],[companyid]])),FALSE)</f>
        <v>1</v>
      </c>
      <c r="G69">
        <v>57952</v>
      </c>
    </row>
    <row r="70" spans="1:7" x14ac:dyDescent="0.25">
      <c r="A70" t="s">
        <v>410</v>
      </c>
      <c r="B70" t="s">
        <v>411</v>
      </c>
      <c r="C70" t="s">
        <v>412</v>
      </c>
      <c r="E70">
        <v>19</v>
      </c>
      <c r="F70" t="b" cm="1">
        <f t="array" ref="F70">IFERROR(OR(_xlfn._xlws.FILTER(Table6[companyid FILTER],Table6[companyid]=Table1[[#This Row],[companyid]])),FALSE)</f>
        <v>1</v>
      </c>
      <c r="G70">
        <v>57952</v>
      </c>
    </row>
    <row r="71" spans="1:7" x14ac:dyDescent="0.25">
      <c r="A71" t="s">
        <v>414</v>
      </c>
      <c r="B71" t="s">
        <v>415</v>
      </c>
      <c r="C71" t="s">
        <v>385</v>
      </c>
      <c r="D71" t="s">
        <v>416</v>
      </c>
      <c r="E71">
        <v>50</v>
      </c>
      <c r="F71" t="b" cm="1">
        <f t="array" ref="F71">IFERROR(OR(_xlfn._xlws.FILTER(Table6[companyid FILTER],Table6[companyid]=Table1[[#This Row],[companyid]])),FALSE)</f>
        <v>1</v>
      </c>
      <c r="G71">
        <v>57881</v>
      </c>
    </row>
    <row r="72" spans="1:7" x14ac:dyDescent="0.25">
      <c r="A72" t="s">
        <v>417</v>
      </c>
      <c r="B72" t="s">
        <v>418</v>
      </c>
      <c r="C72" t="s">
        <v>281</v>
      </c>
      <c r="D72" t="s">
        <v>419</v>
      </c>
      <c r="E72">
        <v>35</v>
      </c>
      <c r="F72" t="b" cm="1">
        <f t="array" ref="F72">IFERROR(OR(_xlfn._xlws.FILTER(Table6[companyid FILTER],Table6[companyid]=Table1[[#This Row],[companyid]])),FALSE)</f>
        <v>1</v>
      </c>
      <c r="G72">
        <v>57912</v>
      </c>
    </row>
    <row r="73" spans="1:7" x14ac:dyDescent="0.25">
      <c r="A73" t="s">
        <v>420</v>
      </c>
      <c r="B73" t="s">
        <v>421</v>
      </c>
      <c r="C73" t="s">
        <v>422</v>
      </c>
      <c r="D73" t="s">
        <v>423</v>
      </c>
      <c r="E73">
        <v>10</v>
      </c>
      <c r="F73" t="b" cm="1">
        <f t="array" ref="F73">IFERROR(OR(_xlfn._xlws.FILTER(Table6[companyid FILTER],Table6[companyid]=Table1[[#This Row],[companyid]])),FALSE)</f>
        <v>1</v>
      </c>
      <c r="G73">
        <v>57911</v>
      </c>
    </row>
    <row r="74" spans="1:7" x14ac:dyDescent="0.25">
      <c r="A74" t="s">
        <v>424</v>
      </c>
      <c r="B74" t="s">
        <v>425</v>
      </c>
      <c r="C74" t="s">
        <v>277</v>
      </c>
      <c r="D74" t="s">
        <v>426</v>
      </c>
      <c r="E74">
        <v>349</v>
      </c>
      <c r="F74" t="b" cm="1">
        <f t="array" ref="F74">IFERROR(OR(_xlfn._xlws.FILTER(Table6[companyid FILTER],Table6[companyid]=Table1[[#This Row],[companyid]])),FALSE)</f>
        <v>1</v>
      </c>
      <c r="G74">
        <v>57901</v>
      </c>
    </row>
    <row r="75" spans="1:7" x14ac:dyDescent="0.25">
      <c r="A75" t="s">
        <v>427</v>
      </c>
      <c r="B75" t="s">
        <v>428</v>
      </c>
      <c r="C75" t="s">
        <v>366</v>
      </c>
      <c r="D75" t="s">
        <v>429</v>
      </c>
      <c r="E75">
        <v>208</v>
      </c>
      <c r="F75" t="b" cm="1">
        <f t="array" ref="F75">IFERROR(OR(_xlfn._xlws.FILTER(Table6[companyid FILTER],Table6[companyid]=Table1[[#This Row],[companyid]])),FALSE)</f>
        <v>1</v>
      </c>
      <c r="G75">
        <v>57525</v>
      </c>
    </row>
    <row r="76" spans="1:7" x14ac:dyDescent="0.25">
      <c r="A76" t="s">
        <v>427</v>
      </c>
      <c r="B76" t="s">
        <v>430</v>
      </c>
      <c r="C76" t="s">
        <v>366</v>
      </c>
      <c r="D76" t="s">
        <v>429</v>
      </c>
      <c r="E76">
        <v>208</v>
      </c>
      <c r="F76" t="b" cm="1">
        <f t="array" ref="F76">IFERROR(OR(_xlfn._xlws.FILTER(Table6[companyid FILTER],Table6[companyid]=Table1[[#This Row],[companyid]])),FALSE)</f>
        <v>1</v>
      </c>
      <c r="G76">
        <v>57525</v>
      </c>
    </row>
    <row r="77" spans="1:7" x14ac:dyDescent="0.25">
      <c r="A77" t="s">
        <v>427</v>
      </c>
      <c r="B77" t="s">
        <v>431</v>
      </c>
      <c r="C77" t="s">
        <v>277</v>
      </c>
      <c r="D77" t="s">
        <v>432</v>
      </c>
      <c r="E77">
        <v>172</v>
      </c>
      <c r="F77" t="b" cm="1">
        <f t="array" ref="F77">IFERROR(OR(_xlfn._xlws.FILTER(Table6[companyid FILTER],Table6[companyid]=Table1[[#This Row],[companyid]])),FALSE)</f>
        <v>1</v>
      </c>
      <c r="G77">
        <v>57525</v>
      </c>
    </row>
    <row r="78" spans="1:7" x14ac:dyDescent="0.25">
      <c r="A78" t="s">
        <v>433</v>
      </c>
      <c r="B78" t="s">
        <v>434</v>
      </c>
      <c r="C78" t="s">
        <v>435</v>
      </c>
      <c r="D78" t="s">
        <v>436</v>
      </c>
      <c r="E78">
        <v>1</v>
      </c>
      <c r="F78" t="b" cm="1">
        <f t="array" ref="F78">IFERROR(OR(_xlfn._xlws.FILTER(Table6[companyid FILTER],Table6[companyid]=Table1[[#This Row],[companyid]])),FALSE)</f>
        <v>0</v>
      </c>
      <c r="G78">
        <v>58041</v>
      </c>
    </row>
    <row r="79" spans="1:7" x14ac:dyDescent="0.25">
      <c r="A79" t="s">
        <v>437</v>
      </c>
      <c r="B79" t="s">
        <v>438</v>
      </c>
      <c r="C79" t="s">
        <v>260</v>
      </c>
      <c r="D79" t="s">
        <v>439</v>
      </c>
      <c r="E79">
        <v>36</v>
      </c>
      <c r="F79" t="b" cm="1">
        <f t="array" ref="F79">IFERROR(OR(_xlfn._xlws.FILTER(Table6[companyid FILTER],Table6[companyid]=Table1[[#This Row],[companyid]])),FALSE)</f>
        <v>1</v>
      </c>
      <c r="G79">
        <v>57983</v>
      </c>
    </row>
    <row r="80" spans="1:7" x14ac:dyDescent="0.25">
      <c r="A80" t="s">
        <v>440</v>
      </c>
      <c r="C80" t="s">
        <v>284</v>
      </c>
      <c r="E80">
        <v>0</v>
      </c>
      <c r="F80" t="b" cm="1">
        <f t="array" ref="F80">IFERROR(OR(_xlfn._xlws.FILTER(Table6[companyid FILTER],Table6[companyid]=Table1[[#This Row],[companyid]])),FALSE)</f>
        <v>0</v>
      </c>
      <c r="G80">
        <v>58162</v>
      </c>
    </row>
    <row r="81" spans="1:7" x14ac:dyDescent="0.25">
      <c r="A81" t="s">
        <v>441</v>
      </c>
      <c r="B81" t="s">
        <v>442</v>
      </c>
      <c r="C81" t="s">
        <v>443</v>
      </c>
      <c r="D81" t="s">
        <v>444</v>
      </c>
      <c r="E81">
        <v>120</v>
      </c>
      <c r="F81" t="b" cm="1">
        <f t="array" ref="F81">IFERROR(OR(_xlfn._xlws.FILTER(Table6[companyid FILTER],Table6[companyid]=Table1[[#This Row],[companyid]])),FALSE)</f>
        <v>1</v>
      </c>
      <c r="G81">
        <v>58121</v>
      </c>
    </row>
    <row r="82" spans="1:7" x14ac:dyDescent="0.25">
      <c r="A82" t="s">
        <v>445</v>
      </c>
      <c r="B82" t="s">
        <v>446</v>
      </c>
      <c r="C82" t="s">
        <v>447</v>
      </c>
      <c r="D82" t="s">
        <v>448</v>
      </c>
      <c r="E82">
        <v>116</v>
      </c>
      <c r="F82" t="b" cm="1">
        <f t="array" ref="F82">IFERROR(OR(_xlfn._xlws.FILTER(Table6[companyid FILTER],Table6[companyid]=Table1[[#This Row],[companyid]])),FALSE)</f>
        <v>1</v>
      </c>
      <c r="G82">
        <v>58078</v>
      </c>
    </row>
    <row r="83" spans="1:7" x14ac:dyDescent="0.25">
      <c r="A83" t="s">
        <v>445</v>
      </c>
      <c r="B83" t="s">
        <v>449</v>
      </c>
      <c r="C83" t="s">
        <v>303</v>
      </c>
      <c r="D83" t="s">
        <v>448</v>
      </c>
      <c r="E83">
        <v>29</v>
      </c>
      <c r="F83" t="b" cm="1">
        <f t="array" ref="F83">IFERROR(OR(_xlfn._xlws.FILTER(Table6[companyid FILTER],Table6[companyid]=Table1[[#This Row],[companyid]])),FALSE)</f>
        <v>1</v>
      </c>
      <c r="G83">
        <v>58078</v>
      </c>
    </row>
    <row r="84" spans="1:7" x14ac:dyDescent="0.25">
      <c r="A84" t="s">
        <v>450</v>
      </c>
      <c r="B84" t="s">
        <v>451</v>
      </c>
      <c r="C84" t="s">
        <v>452</v>
      </c>
      <c r="D84" t="s">
        <v>453</v>
      </c>
      <c r="E84">
        <v>1309</v>
      </c>
      <c r="F84" t="b" cm="1">
        <f t="array" ref="F84">IFERROR(OR(_xlfn._xlws.FILTER(Table6[companyid FILTER],Table6[companyid]=Table1[[#This Row],[companyid]])),FALSE)</f>
        <v>1</v>
      </c>
      <c r="G84">
        <v>58115</v>
      </c>
    </row>
    <row r="85" spans="1:7" x14ac:dyDescent="0.25">
      <c r="A85" t="s">
        <v>450</v>
      </c>
      <c r="B85" t="s">
        <v>454</v>
      </c>
      <c r="C85" t="s">
        <v>455</v>
      </c>
      <c r="E85">
        <v>224</v>
      </c>
      <c r="F85" t="b" cm="1">
        <f t="array" ref="F85">IFERROR(OR(_xlfn._xlws.FILTER(Table6[companyid FILTER],Table6[companyid]=Table1[[#This Row],[companyid]])),FALSE)</f>
        <v>1</v>
      </c>
      <c r="G85">
        <v>58115</v>
      </c>
    </row>
    <row r="86" spans="1:7" x14ac:dyDescent="0.25">
      <c r="A86" t="s">
        <v>450</v>
      </c>
      <c r="B86" t="s">
        <v>456</v>
      </c>
      <c r="C86" t="s">
        <v>457</v>
      </c>
      <c r="E86">
        <v>99</v>
      </c>
      <c r="F86" t="b" cm="1">
        <f t="array" ref="F86">IFERROR(OR(_xlfn._xlws.FILTER(Table6[companyid FILTER],Table6[companyid]=Table1[[#This Row],[companyid]])),FALSE)</f>
        <v>1</v>
      </c>
      <c r="G86">
        <v>58115</v>
      </c>
    </row>
    <row r="87" spans="1:7" x14ac:dyDescent="0.25">
      <c r="A87" t="s">
        <v>450</v>
      </c>
      <c r="B87" t="s">
        <v>458</v>
      </c>
      <c r="C87" t="s">
        <v>452</v>
      </c>
      <c r="E87">
        <v>66</v>
      </c>
      <c r="F87" t="b" cm="1">
        <f t="array" ref="F87">IFERROR(OR(_xlfn._xlws.FILTER(Table6[companyid FILTER],Table6[companyid]=Table1[[#This Row],[companyid]])),FALSE)</f>
        <v>1</v>
      </c>
      <c r="G87">
        <v>58115</v>
      </c>
    </row>
    <row r="88" spans="1:7" x14ac:dyDescent="0.25">
      <c r="A88" t="s">
        <v>450</v>
      </c>
      <c r="B88" t="s">
        <v>459</v>
      </c>
      <c r="C88" t="s">
        <v>460</v>
      </c>
      <c r="E88">
        <v>10</v>
      </c>
      <c r="F88" t="b" cm="1">
        <f t="array" ref="F88">IFERROR(OR(_xlfn._xlws.FILTER(Table6[companyid FILTER],Table6[companyid]=Table1[[#This Row],[companyid]])),FALSE)</f>
        <v>1</v>
      </c>
      <c r="G88">
        <v>58115</v>
      </c>
    </row>
    <row r="89" spans="1:7" x14ac:dyDescent="0.25">
      <c r="A89" t="s">
        <v>450</v>
      </c>
      <c r="B89" t="s">
        <v>461</v>
      </c>
      <c r="C89" t="s">
        <v>277</v>
      </c>
      <c r="E89">
        <v>4</v>
      </c>
      <c r="F89" t="b" cm="1">
        <f t="array" ref="F89">IFERROR(OR(_xlfn._xlws.FILTER(Table6[companyid FILTER],Table6[companyid]=Table1[[#This Row],[companyid]])),FALSE)</f>
        <v>1</v>
      </c>
      <c r="G89">
        <v>58115</v>
      </c>
    </row>
    <row r="90" spans="1:7" x14ac:dyDescent="0.25">
      <c r="A90" t="s">
        <v>462</v>
      </c>
      <c r="B90" t="s">
        <v>463</v>
      </c>
      <c r="C90" t="s">
        <v>464</v>
      </c>
      <c r="D90" t="s">
        <v>465</v>
      </c>
      <c r="E90">
        <v>64</v>
      </c>
      <c r="F90" t="b" cm="1">
        <f t="array" ref="F90">IFERROR(OR(_xlfn._xlws.FILTER(Table6[companyid FILTER],Table6[companyid]=Table1[[#This Row],[companyid]])),FALSE)</f>
        <v>1</v>
      </c>
      <c r="G90">
        <v>58107</v>
      </c>
    </row>
    <row r="91" spans="1:7" x14ac:dyDescent="0.25">
      <c r="A91" t="s">
        <v>462</v>
      </c>
      <c r="B91" t="s">
        <v>463</v>
      </c>
      <c r="C91" t="s">
        <v>464</v>
      </c>
      <c r="D91" t="s">
        <v>466</v>
      </c>
      <c r="E91">
        <v>40</v>
      </c>
      <c r="F91" t="b" cm="1">
        <f t="array" ref="F91">IFERROR(OR(_xlfn._xlws.FILTER(Table6[companyid FILTER],Table6[companyid]=Table1[[#This Row],[companyid]])),FALSE)</f>
        <v>1</v>
      </c>
      <c r="G91">
        <v>58107</v>
      </c>
    </row>
    <row r="92" spans="1:7" x14ac:dyDescent="0.25">
      <c r="A92" t="s">
        <v>467</v>
      </c>
      <c r="B92" t="s">
        <v>468</v>
      </c>
      <c r="C92" t="s">
        <v>469</v>
      </c>
      <c r="D92" t="s">
        <v>470</v>
      </c>
      <c r="E92">
        <v>24</v>
      </c>
      <c r="F92" t="b" cm="1">
        <f t="array" ref="F92">IFERROR(OR(_xlfn._xlws.FILTER(Table6[companyid FILTER],Table6[companyid]=Table1[[#This Row],[companyid]])),FALSE)</f>
        <v>1</v>
      </c>
      <c r="G92">
        <v>58242</v>
      </c>
    </row>
    <row r="93" spans="1:7" x14ac:dyDescent="0.25">
      <c r="A93" t="s">
        <v>467</v>
      </c>
      <c r="B93" t="s">
        <v>471</v>
      </c>
      <c r="C93" t="s">
        <v>472</v>
      </c>
      <c r="D93" t="s">
        <v>470</v>
      </c>
      <c r="E93">
        <v>12</v>
      </c>
      <c r="F93" t="b" cm="1">
        <f t="array" ref="F93">IFERROR(OR(_xlfn._xlws.FILTER(Table6[companyid FILTER],Table6[companyid]=Table1[[#This Row],[companyid]])),FALSE)</f>
        <v>1</v>
      </c>
      <c r="G93">
        <v>58242</v>
      </c>
    </row>
    <row r="94" spans="1:7" x14ac:dyDescent="0.25">
      <c r="A94" t="s">
        <v>473</v>
      </c>
      <c r="B94" t="s">
        <v>474</v>
      </c>
      <c r="C94" t="s">
        <v>475</v>
      </c>
      <c r="D94" t="s">
        <v>476</v>
      </c>
      <c r="E94">
        <v>75</v>
      </c>
      <c r="F94" t="b" cm="1">
        <f t="array" ref="F94">IFERROR(OR(_xlfn._xlws.FILTER(Table6[companyid FILTER],Table6[companyid]=Table1[[#This Row],[companyid]])),FALSE)</f>
        <v>1</v>
      </c>
      <c r="G94">
        <v>57305</v>
      </c>
    </row>
    <row r="95" spans="1:7" x14ac:dyDescent="0.25">
      <c r="A95" t="s">
        <v>477</v>
      </c>
      <c r="B95" t="s">
        <v>478</v>
      </c>
      <c r="C95" t="s">
        <v>385</v>
      </c>
      <c r="D95" t="s">
        <v>479</v>
      </c>
      <c r="E95">
        <v>33</v>
      </c>
      <c r="F95" t="b" cm="1">
        <f t="array" ref="F95">IFERROR(OR(_xlfn._xlws.FILTER(Table6[companyid FILTER],Table6[companyid]=Table1[[#This Row],[companyid]])),FALSE)</f>
        <v>1</v>
      </c>
      <c r="G95">
        <v>58261</v>
      </c>
    </row>
    <row r="96" spans="1:7" x14ac:dyDescent="0.25">
      <c r="A96" t="s">
        <v>480</v>
      </c>
      <c r="B96" t="s">
        <v>481</v>
      </c>
      <c r="C96" t="s">
        <v>482</v>
      </c>
      <c r="D96" t="s">
        <v>483</v>
      </c>
      <c r="E96">
        <v>117</v>
      </c>
      <c r="F96" t="b" cm="1">
        <f t="array" ref="F96">IFERROR(OR(_xlfn._xlws.FILTER(Table6[companyid FILTER],Table6[companyid]=Table1[[#This Row],[companyid]])),FALSE)</f>
        <v>1</v>
      </c>
      <c r="G96">
        <v>58221</v>
      </c>
    </row>
    <row r="97" spans="1:7" x14ac:dyDescent="0.25">
      <c r="A97" t="s">
        <v>484</v>
      </c>
      <c r="B97" t="s">
        <v>485</v>
      </c>
      <c r="C97" t="s">
        <v>435</v>
      </c>
      <c r="D97" t="s">
        <v>486</v>
      </c>
      <c r="E97">
        <v>1</v>
      </c>
      <c r="F97" t="b" cm="1">
        <f t="array" ref="F97">IFERROR(OR(_xlfn._xlws.FILTER(Table6[companyid FILTER],Table6[companyid]=Table1[[#This Row],[companyid]])),FALSE)</f>
        <v>0</v>
      </c>
      <c r="G97">
        <v>58179</v>
      </c>
    </row>
    <row r="98" spans="1:7" x14ac:dyDescent="0.25">
      <c r="A98" t="s">
        <v>487</v>
      </c>
      <c r="B98" t="s">
        <v>488</v>
      </c>
      <c r="C98" t="s">
        <v>281</v>
      </c>
      <c r="D98" t="s">
        <v>489</v>
      </c>
      <c r="E98">
        <v>64</v>
      </c>
      <c r="F98" t="b" cm="1">
        <f t="array" ref="F98">IFERROR(OR(_xlfn._xlws.FILTER(Table6[companyid FILTER],Table6[companyid]=Table1[[#This Row],[companyid]])),FALSE)</f>
        <v>1</v>
      </c>
      <c r="G98">
        <v>58215</v>
      </c>
    </row>
    <row r="99" spans="1:7" x14ac:dyDescent="0.25">
      <c r="A99" t="s">
        <v>490</v>
      </c>
      <c r="B99" t="s">
        <v>491</v>
      </c>
      <c r="C99" t="s">
        <v>277</v>
      </c>
      <c r="D99" t="s">
        <v>492</v>
      </c>
      <c r="E99">
        <v>115</v>
      </c>
      <c r="F99" t="b" cm="1">
        <f t="array" ref="F99">IFERROR(OR(_xlfn._xlws.FILTER(Table6[companyid FILTER],Table6[companyid]=Table1[[#This Row],[companyid]])),FALSE)</f>
        <v>1</v>
      </c>
      <c r="G99">
        <v>58209</v>
      </c>
    </row>
    <row r="100" spans="1:7" x14ac:dyDescent="0.25">
      <c r="A100" t="s">
        <v>490</v>
      </c>
      <c r="B100" t="s">
        <v>430</v>
      </c>
      <c r="C100" t="s">
        <v>493</v>
      </c>
      <c r="D100" t="s">
        <v>492</v>
      </c>
      <c r="E100">
        <v>55</v>
      </c>
      <c r="F100" t="b" cm="1">
        <f t="array" ref="F100">IFERROR(OR(_xlfn._xlws.FILTER(Table6[companyid FILTER],Table6[companyid]=Table1[[#This Row],[companyid]])),FALSE)</f>
        <v>1</v>
      </c>
      <c r="G100">
        <v>58209</v>
      </c>
    </row>
    <row r="101" spans="1:7" x14ac:dyDescent="0.25">
      <c r="A101" t="s">
        <v>494</v>
      </c>
      <c r="B101" t="s">
        <v>495</v>
      </c>
      <c r="C101" t="s">
        <v>281</v>
      </c>
      <c r="D101" t="s">
        <v>496</v>
      </c>
      <c r="E101">
        <v>26</v>
      </c>
      <c r="F101" t="b" cm="1">
        <f t="array" ref="F101">IFERROR(OR(_xlfn._xlws.FILTER(Table6[companyid FILTER],Table6[companyid]=Table1[[#This Row],[companyid]])),FALSE)</f>
        <v>1</v>
      </c>
      <c r="G101">
        <v>58206</v>
      </c>
    </row>
    <row r="102" spans="1:7" x14ac:dyDescent="0.25">
      <c r="A102" t="s">
        <v>497</v>
      </c>
      <c r="C102" t="s">
        <v>284</v>
      </c>
      <c r="E102">
        <v>0</v>
      </c>
      <c r="F102" t="b" cm="1">
        <f t="array" ref="F102">IFERROR(OR(_xlfn._xlws.FILTER(Table6[companyid FILTER],Table6[companyid]=Table1[[#This Row],[companyid]])),FALSE)</f>
        <v>0</v>
      </c>
      <c r="G102">
        <v>58285</v>
      </c>
    </row>
    <row r="103" spans="1:7" x14ac:dyDescent="0.25">
      <c r="A103" t="s">
        <v>498</v>
      </c>
      <c r="B103" t="s">
        <v>499</v>
      </c>
      <c r="C103" t="s">
        <v>260</v>
      </c>
      <c r="D103" t="s">
        <v>500</v>
      </c>
      <c r="E103">
        <v>39</v>
      </c>
      <c r="F103" t="b" cm="1">
        <f t="array" ref="F103">IFERROR(OR(_xlfn._xlws.FILTER(Table6[companyid FILTER],Table6[companyid]=Table1[[#This Row],[companyid]])),FALSE)</f>
        <v>1</v>
      </c>
      <c r="G103">
        <v>57072</v>
      </c>
    </row>
    <row r="104" spans="1:7" x14ac:dyDescent="0.25">
      <c r="A104" t="s">
        <v>501</v>
      </c>
      <c r="B104" t="s">
        <v>502</v>
      </c>
      <c r="C104" t="s">
        <v>303</v>
      </c>
      <c r="D104" t="s">
        <v>503</v>
      </c>
      <c r="E104">
        <v>37</v>
      </c>
      <c r="F104" t="b" cm="1">
        <f t="array" ref="F104">IFERROR(OR(_xlfn._xlws.FILTER(Table6[companyid FILTER],Table6[companyid]=Table1[[#This Row],[companyid]])),FALSE)</f>
        <v>1</v>
      </c>
      <c r="G104">
        <v>58225</v>
      </c>
    </row>
    <row r="105" spans="1:7" x14ac:dyDescent="0.25">
      <c r="A105" t="s">
        <v>501</v>
      </c>
      <c r="B105" t="s">
        <v>504</v>
      </c>
      <c r="C105" t="s">
        <v>505</v>
      </c>
      <c r="E105">
        <v>15</v>
      </c>
      <c r="F105" t="b" cm="1">
        <f t="array" ref="F105">IFERROR(OR(_xlfn._xlws.FILTER(Table6[companyid FILTER],Table6[companyid]=Table1[[#This Row],[companyid]])),FALSE)</f>
        <v>1</v>
      </c>
      <c r="G105">
        <v>58225</v>
      </c>
    </row>
    <row r="106" spans="1:7" x14ac:dyDescent="0.25">
      <c r="A106" t="s">
        <v>506</v>
      </c>
      <c r="B106" t="s">
        <v>507</v>
      </c>
      <c r="C106" t="s">
        <v>260</v>
      </c>
      <c r="E106">
        <v>35</v>
      </c>
      <c r="F106" t="b" cm="1">
        <f t="array" ref="F106">IFERROR(OR(_xlfn._xlws.FILTER(Table6[companyid FILTER],Table6[companyid]=Table1[[#This Row],[companyid]])),FALSE)</f>
        <v>1</v>
      </c>
      <c r="G106">
        <v>57137</v>
      </c>
    </row>
    <row r="107" spans="1:7" x14ac:dyDescent="0.25">
      <c r="A107" t="s">
        <v>506</v>
      </c>
      <c r="B107" t="s">
        <v>508</v>
      </c>
      <c r="C107" t="s">
        <v>260</v>
      </c>
      <c r="D107" t="s">
        <v>509</v>
      </c>
      <c r="E107">
        <v>6</v>
      </c>
      <c r="F107" t="b" cm="1">
        <f t="array" ref="F107">IFERROR(OR(_xlfn._xlws.FILTER(Table6[companyid FILTER],Table6[companyid]=Table1[[#This Row],[companyid]])),FALSE)</f>
        <v>1</v>
      </c>
      <c r="G107">
        <v>57137</v>
      </c>
    </row>
    <row r="108" spans="1:7" x14ac:dyDescent="0.25">
      <c r="A108" t="s">
        <v>510</v>
      </c>
      <c r="B108" t="s">
        <v>511</v>
      </c>
      <c r="C108" t="s">
        <v>512</v>
      </c>
      <c r="D108" t="s">
        <v>513</v>
      </c>
      <c r="E108">
        <v>3</v>
      </c>
      <c r="F108" t="b" cm="1">
        <f t="array" ref="F108">IFERROR(OR(_xlfn._xlws.FILTER(Table6[companyid FILTER],Table6[companyid]=Table1[[#This Row],[companyid]])),FALSE)</f>
        <v>1</v>
      </c>
      <c r="G108">
        <v>57124</v>
      </c>
    </row>
    <row r="109" spans="1:7" x14ac:dyDescent="0.25">
      <c r="A109" t="s">
        <v>514</v>
      </c>
      <c r="B109" t="s">
        <v>515</v>
      </c>
      <c r="C109" t="s">
        <v>260</v>
      </c>
      <c r="E109">
        <v>75</v>
      </c>
      <c r="F109" t="b" cm="1">
        <f t="array" ref="F109">IFERROR(OR(_xlfn._xlws.FILTER(Table6[companyid FILTER],Table6[companyid]=Table1[[#This Row],[companyid]])),FALSE)</f>
        <v>1</v>
      </c>
      <c r="G109">
        <v>57146</v>
      </c>
    </row>
    <row r="110" spans="1:7" x14ac:dyDescent="0.25">
      <c r="A110" t="s">
        <v>516</v>
      </c>
      <c r="B110" t="s">
        <v>517</v>
      </c>
      <c r="C110" t="s">
        <v>370</v>
      </c>
      <c r="D110" t="s">
        <v>518</v>
      </c>
      <c r="E110">
        <v>18</v>
      </c>
      <c r="F110" t="b" cm="1">
        <f t="array" ref="F110">IFERROR(OR(_xlfn._xlws.FILTER(Table6[companyid FILTER],Table6[companyid]=Table1[[#This Row],[companyid]])),FALSE)</f>
        <v>1</v>
      </c>
      <c r="G110">
        <v>57162</v>
      </c>
    </row>
    <row r="111" spans="1:7" x14ac:dyDescent="0.25">
      <c r="A111" t="s">
        <v>519</v>
      </c>
      <c r="B111" t="s">
        <v>520</v>
      </c>
      <c r="C111" t="s">
        <v>260</v>
      </c>
      <c r="D111" t="s">
        <v>521</v>
      </c>
      <c r="E111">
        <v>3</v>
      </c>
      <c r="F111" t="b" cm="1">
        <f t="array" ref="F111">IFERROR(OR(_xlfn._xlws.FILTER(Table6[companyid FILTER],Table6[companyid]=Table1[[#This Row],[companyid]])),FALSE)</f>
        <v>1</v>
      </c>
      <c r="G111">
        <v>57093</v>
      </c>
    </row>
    <row r="112" spans="1:7" x14ac:dyDescent="0.25">
      <c r="A112" t="s">
        <v>522</v>
      </c>
      <c r="B112" t="s">
        <v>523</v>
      </c>
      <c r="C112" t="s">
        <v>370</v>
      </c>
      <c r="D112" t="s">
        <v>524</v>
      </c>
      <c r="E112">
        <v>88</v>
      </c>
      <c r="F112" t="b" cm="1">
        <f t="array" ref="F112">IFERROR(OR(_xlfn._xlws.FILTER(Table6[companyid FILTER],Table6[companyid]=Table1[[#This Row],[companyid]])),FALSE)</f>
        <v>1</v>
      </c>
      <c r="G112">
        <v>57076</v>
      </c>
    </row>
    <row r="113" spans="1:7" x14ac:dyDescent="0.25">
      <c r="A113" t="s">
        <v>522</v>
      </c>
      <c r="B113" t="s">
        <v>525</v>
      </c>
      <c r="C113" t="s">
        <v>526</v>
      </c>
      <c r="E113">
        <v>44</v>
      </c>
      <c r="F113" t="b" cm="1">
        <f t="array" ref="F113">IFERROR(OR(_xlfn._xlws.FILTER(Table6[companyid FILTER],Table6[companyid]=Table1[[#This Row],[companyid]])),FALSE)</f>
        <v>1</v>
      </c>
      <c r="G113">
        <v>57076</v>
      </c>
    </row>
    <row r="114" spans="1:7" x14ac:dyDescent="0.25">
      <c r="A114" t="s">
        <v>527</v>
      </c>
      <c r="B114" t="s">
        <v>528</v>
      </c>
      <c r="C114" t="s">
        <v>529</v>
      </c>
      <c r="D114" t="s">
        <v>530</v>
      </c>
      <c r="E114">
        <v>12</v>
      </c>
      <c r="F114" t="b" cm="1">
        <f t="array" ref="F114">IFERROR(OR(_xlfn._xlws.FILTER(Table6[companyid FILTER],Table6[companyid]=Table1[[#This Row],[companyid]])),FALSE)</f>
        <v>1</v>
      </c>
      <c r="G114">
        <v>57075</v>
      </c>
    </row>
    <row r="115" spans="1:7" x14ac:dyDescent="0.25">
      <c r="A115" t="s">
        <v>531</v>
      </c>
      <c r="B115" t="s">
        <v>532</v>
      </c>
      <c r="C115" t="s">
        <v>533</v>
      </c>
      <c r="D115" t="s">
        <v>534</v>
      </c>
      <c r="E115">
        <v>32</v>
      </c>
      <c r="F115" t="b" cm="1">
        <f t="array" ref="F115">IFERROR(OR(_xlfn._xlws.FILTER(Table6[companyid FILTER],Table6[companyid]=Table1[[#This Row],[companyid]])),FALSE)</f>
        <v>1</v>
      </c>
      <c r="G115">
        <v>57096</v>
      </c>
    </row>
    <row r="116" spans="1:7" x14ac:dyDescent="0.25">
      <c r="A116" t="s">
        <v>535</v>
      </c>
      <c r="B116" t="s">
        <v>536</v>
      </c>
      <c r="C116" t="s">
        <v>537</v>
      </c>
      <c r="D116" t="s">
        <v>538</v>
      </c>
      <c r="E116">
        <v>27</v>
      </c>
      <c r="F116" t="b" cm="1">
        <f t="array" ref="F116">IFERROR(OR(_xlfn._xlws.FILTER(Table6[companyid FILTER],Table6[companyid]=Table1[[#This Row],[companyid]])),FALSE)</f>
        <v>1</v>
      </c>
      <c r="G116">
        <v>57119</v>
      </c>
    </row>
    <row r="117" spans="1:7" x14ac:dyDescent="0.25">
      <c r="A117" t="s">
        <v>535</v>
      </c>
      <c r="B117" t="s">
        <v>536</v>
      </c>
      <c r="C117" t="s">
        <v>539</v>
      </c>
      <c r="D117" t="s">
        <v>538</v>
      </c>
      <c r="E117">
        <v>9</v>
      </c>
      <c r="F117" t="b" cm="1">
        <f t="array" ref="F117">IFERROR(OR(_xlfn._xlws.FILTER(Table6[companyid FILTER],Table6[companyid]=Table1[[#This Row],[companyid]])),FALSE)</f>
        <v>1</v>
      </c>
      <c r="G117">
        <v>57119</v>
      </c>
    </row>
    <row r="118" spans="1:7" x14ac:dyDescent="0.25">
      <c r="A118" t="s">
        <v>540</v>
      </c>
      <c r="B118" t="s">
        <v>541</v>
      </c>
      <c r="C118" t="s">
        <v>277</v>
      </c>
      <c r="D118" t="s">
        <v>542</v>
      </c>
      <c r="E118">
        <v>27</v>
      </c>
      <c r="F118" t="b" cm="1">
        <f t="array" ref="F118">IFERROR(OR(_xlfn._xlws.FILTER(Table6[companyid FILTER],Table6[companyid]=Table1[[#This Row],[companyid]])),FALSE)</f>
        <v>1</v>
      </c>
      <c r="G118">
        <v>57097</v>
      </c>
    </row>
    <row r="119" spans="1:7" x14ac:dyDescent="0.25">
      <c r="A119" t="s">
        <v>543</v>
      </c>
      <c r="B119" t="s">
        <v>251</v>
      </c>
      <c r="C119" t="s">
        <v>252</v>
      </c>
      <c r="D119" t="s">
        <v>253</v>
      </c>
      <c r="E119">
        <v>33</v>
      </c>
      <c r="F119" t="b" cm="1">
        <f t="array" ref="F119">IFERROR(OR(_xlfn._xlws.FILTER(Table6[companyid FILTER],Table6[companyid]=Table1[[#This Row],[companyid]])),FALSE)</f>
        <v>1</v>
      </c>
      <c r="G119">
        <v>57114</v>
      </c>
    </row>
    <row r="120" spans="1:7" x14ac:dyDescent="0.25">
      <c r="A120" t="s">
        <v>543</v>
      </c>
      <c r="B120" t="s">
        <v>544</v>
      </c>
      <c r="C120" t="s">
        <v>545</v>
      </c>
      <c r="D120" t="s">
        <v>546</v>
      </c>
      <c r="E120">
        <v>22</v>
      </c>
      <c r="F120" t="b" cm="1">
        <f t="array" ref="F120">IFERROR(OR(_xlfn._xlws.FILTER(Table6[companyid FILTER],Table6[companyid]=Table1[[#This Row],[companyid]])),FALSE)</f>
        <v>1</v>
      </c>
      <c r="G120">
        <v>57114</v>
      </c>
    </row>
    <row r="121" spans="1:7" x14ac:dyDescent="0.25">
      <c r="A121" t="s">
        <v>547</v>
      </c>
      <c r="B121" t="s">
        <v>548</v>
      </c>
      <c r="C121" t="s">
        <v>277</v>
      </c>
      <c r="D121" t="s">
        <v>549</v>
      </c>
      <c r="E121">
        <v>3</v>
      </c>
      <c r="F121" t="b" cm="1">
        <f t="array" ref="F121">IFERROR(OR(_xlfn._xlws.FILTER(Table6[companyid FILTER],Table6[companyid]=Table1[[#This Row],[companyid]])),FALSE)</f>
        <v>0</v>
      </c>
      <c r="G121">
        <v>57239</v>
      </c>
    </row>
    <row r="122" spans="1:7" x14ac:dyDescent="0.25">
      <c r="A122" t="s">
        <v>550</v>
      </c>
      <c r="B122" t="s">
        <v>551</v>
      </c>
      <c r="C122" t="s">
        <v>552</v>
      </c>
      <c r="D122" t="s">
        <v>553</v>
      </c>
      <c r="E122">
        <v>4</v>
      </c>
      <c r="F122" t="b" cm="1">
        <f t="array" ref="F122">IFERROR(OR(_xlfn._xlws.FILTER(Table6[companyid FILTER],Table6[companyid]=Table1[[#This Row],[companyid]])),FALSE)</f>
        <v>1</v>
      </c>
      <c r="G122">
        <v>57222</v>
      </c>
    </row>
    <row r="123" spans="1:7" x14ac:dyDescent="0.25">
      <c r="A123" t="s">
        <v>550</v>
      </c>
      <c r="B123" t="s">
        <v>551</v>
      </c>
      <c r="C123" t="s">
        <v>552</v>
      </c>
      <c r="D123" t="s">
        <v>554</v>
      </c>
      <c r="E123">
        <v>1</v>
      </c>
      <c r="F123" t="b" cm="1">
        <f t="array" ref="F123">IFERROR(OR(_xlfn._xlws.FILTER(Table6[companyid FILTER],Table6[companyid]=Table1[[#This Row],[companyid]])),FALSE)</f>
        <v>1</v>
      </c>
      <c r="G123">
        <v>57222</v>
      </c>
    </row>
    <row r="124" spans="1:7" x14ac:dyDescent="0.25">
      <c r="A124" t="s">
        <v>555</v>
      </c>
      <c r="B124" t="s">
        <v>556</v>
      </c>
      <c r="C124" t="s">
        <v>557</v>
      </c>
      <c r="D124" t="s">
        <v>558</v>
      </c>
      <c r="E124">
        <v>52</v>
      </c>
      <c r="F124" t="b" cm="1">
        <f t="array" ref="F124">IFERROR(OR(_xlfn._xlws.FILTER(Table6[companyid FILTER],Table6[companyid]=Table1[[#This Row],[companyid]])),FALSE)</f>
        <v>1</v>
      </c>
      <c r="G124">
        <v>57250</v>
      </c>
    </row>
    <row r="125" spans="1:7" x14ac:dyDescent="0.25">
      <c r="A125" t="s">
        <v>555</v>
      </c>
      <c r="B125" t="s">
        <v>556</v>
      </c>
      <c r="C125" t="s">
        <v>557</v>
      </c>
      <c r="D125" t="s">
        <v>553</v>
      </c>
      <c r="E125">
        <v>31</v>
      </c>
      <c r="F125" t="b" cm="1">
        <f t="array" ref="F125">IFERROR(OR(_xlfn._xlws.FILTER(Table6[companyid FILTER],Table6[companyid]=Table1[[#This Row],[companyid]])),FALSE)</f>
        <v>1</v>
      </c>
      <c r="G125">
        <v>57250</v>
      </c>
    </row>
    <row r="126" spans="1:7" x14ac:dyDescent="0.25">
      <c r="A126" t="s">
        <v>559</v>
      </c>
      <c r="B126" t="s">
        <v>560</v>
      </c>
      <c r="C126" t="s">
        <v>243</v>
      </c>
      <c r="D126" t="s">
        <v>561</v>
      </c>
      <c r="E126">
        <v>3</v>
      </c>
      <c r="F126" t="b" cm="1">
        <f t="array" ref="F126">IFERROR(OR(_xlfn._xlws.FILTER(Table6[companyid FILTER],Table6[companyid]=Table1[[#This Row],[companyid]])),FALSE)</f>
        <v>0</v>
      </c>
      <c r="G126">
        <v>57185</v>
      </c>
    </row>
    <row r="127" spans="1:7" x14ac:dyDescent="0.25">
      <c r="A127" t="s">
        <v>562</v>
      </c>
      <c r="B127" t="s">
        <v>563</v>
      </c>
      <c r="C127" t="s">
        <v>385</v>
      </c>
      <c r="D127" t="s">
        <v>564</v>
      </c>
      <c r="E127">
        <v>6</v>
      </c>
      <c r="F127" t="b" cm="1">
        <f t="array" ref="F127">IFERROR(OR(_xlfn._xlws.FILTER(Table6[companyid FILTER],Table6[companyid]=Table1[[#This Row],[companyid]])),FALSE)</f>
        <v>1</v>
      </c>
      <c r="G127">
        <v>57182</v>
      </c>
    </row>
    <row r="128" spans="1:7" x14ac:dyDescent="0.25">
      <c r="A128" t="s">
        <v>565</v>
      </c>
      <c r="B128" t="s">
        <v>566</v>
      </c>
      <c r="C128" t="s">
        <v>567</v>
      </c>
      <c r="D128" t="s">
        <v>568</v>
      </c>
      <c r="E128">
        <v>35</v>
      </c>
      <c r="F128" t="b" cm="1">
        <f t="array" ref="F128">IFERROR(OR(_xlfn._xlws.FILTER(Table6[companyid FILTER],Table6[companyid]=Table1[[#This Row],[companyid]])),FALSE)</f>
        <v>1</v>
      </c>
      <c r="G128">
        <v>57177</v>
      </c>
    </row>
    <row r="129" spans="1:7" x14ac:dyDescent="0.25">
      <c r="A129" t="s">
        <v>569</v>
      </c>
      <c r="B129" t="s">
        <v>570</v>
      </c>
      <c r="C129" t="s">
        <v>260</v>
      </c>
      <c r="D129" t="s">
        <v>571</v>
      </c>
      <c r="E129">
        <v>85</v>
      </c>
      <c r="F129" t="b" cm="1">
        <f t="array" ref="F129">IFERROR(OR(_xlfn._xlws.FILTER(Table6[companyid FILTER],Table6[companyid]=Table1[[#This Row],[companyid]])),FALSE)</f>
        <v>1</v>
      </c>
      <c r="G129">
        <v>57206</v>
      </c>
    </row>
    <row r="130" spans="1:7" x14ac:dyDescent="0.25">
      <c r="A130" t="s">
        <v>572</v>
      </c>
      <c r="B130" t="s">
        <v>573</v>
      </c>
      <c r="C130" t="s">
        <v>366</v>
      </c>
      <c r="D130" t="s">
        <v>574</v>
      </c>
      <c r="E130">
        <v>23</v>
      </c>
      <c r="F130" t="b" cm="1">
        <f t="array" ref="F130">IFERROR(OR(_xlfn._xlws.FILTER(Table6[companyid FILTER],Table6[companyid]=Table1[[#This Row],[companyid]])),FALSE)</f>
        <v>1</v>
      </c>
      <c r="G130">
        <v>57198</v>
      </c>
    </row>
    <row r="131" spans="1:7" x14ac:dyDescent="0.25">
      <c r="A131" t="s">
        <v>575</v>
      </c>
      <c r="B131" t="s">
        <v>576</v>
      </c>
      <c r="C131" t="s">
        <v>370</v>
      </c>
      <c r="D131" t="s">
        <v>577</v>
      </c>
      <c r="E131">
        <v>19</v>
      </c>
      <c r="F131" t="b" cm="1">
        <f t="array" ref="F131">IFERROR(OR(_xlfn._xlws.FILTER(Table6[companyid FILTER],Table6[companyid]=Table1[[#This Row],[companyid]])),FALSE)</f>
        <v>1</v>
      </c>
      <c r="G131">
        <v>57341</v>
      </c>
    </row>
    <row r="132" spans="1:7" x14ac:dyDescent="0.25">
      <c r="A132" t="s">
        <v>578</v>
      </c>
      <c r="B132" t="s">
        <v>579</v>
      </c>
      <c r="C132" t="s">
        <v>457</v>
      </c>
      <c r="D132" t="s">
        <v>580</v>
      </c>
      <c r="E132">
        <v>35</v>
      </c>
      <c r="F132" t="b" cm="1">
        <f t="array" ref="F132">IFERROR(OR(_xlfn._xlws.FILTER(Table6[companyid FILTER],Table6[companyid]=Table1[[#This Row],[companyid]])),FALSE)</f>
        <v>1</v>
      </c>
      <c r="G132">
        <v>57330</v>
      </c>
    </row>
    <row r="133" spans="1:7" x14ac:dyDescent="0.25">
      <c r="A133" t="s">
        <v>578</v>
      </c>
      <c r="B133" t="s">
        <v>581</v>
      </c>
      <c r="C133" t="s">
        <v>277</v>
      </c>
      <c r="D133" t="s">
        <v>580</v>
      </c>
      <c r="E133">
        <v>20</v>
      </c>
      <c r="F133" t="b" cm="1">
        <f t="array" ref="F133">IFERROR(OR(_xlfn._xlws.FILTER(Table6[companyid FILTER],Table6[companyid]=Table1[[#This Row],[companyid]])),FALSE)</f>
        <v>1</v>
      </c>
      <c r="G133">
        <v>57330</v>
      </c>
    </row>
    <row r="134" spans="1:7" x14ac:dyDescent="0.25">
      <c r="A134" t="s">
        <v>582</v>
      </c>
      <c r="B134" t="s">
        <v>583</v>
      </c>
      <c r="C134" t="s">
        <v>584</v>
      </c>
      <c r="D134" t="s">
        <v>585</v>
      </c>
      <c r="E134">
        <v>19</v>
      </c>
      <c r="F134" t="b" cm="1">
        <f t="array" ref="F134">IFERROR(OR(_xlfn._xlws.FILTER(Table6[companyid FILTER],Table6[companyid]=Table1[[#This Row],[companyid]])),FALSE)</f>
        <v>1</v>
      </c>
      <c r="G134">
        <v>57327</v>
      </c>
    </row>
    <row r="135" spans="1:7" x14ac:dyDescent="0.25">
      <c r="A135" t="s">
        <v>582</v>
      </c>
      <c r="B135" t="s">
        <v>586</v>
      </c>
      <c r="C135" t="s">
        <v>584</v>
      </c>
      <c r="D135" t="s">
        <v>585</v>
      </c>
      <c r="E135">
        <v>10</v>
      </c>
      <c r="F135" t="b" cm="1">
        <f t="array" ref="F135">IFERROR(OR(_xlfn._xlws.FILTER(Table6[companyid FILTER],Table6[companyid]=Table1[[#This Row],[companyid]])),FALSE)</f>
        <v>1</v>
      </c>
      <c r="G135">
        <v>57327</v>
      </c>
    </row>
    <row r="136" spans="1:7" x14ac:dyDescent="0.25">
      <c r="A136" t="s">
        <v>587</v>
      </c>
      <c r="B136" t="s">
        <v>588</v>
      </c>
      <c r="C136" t="s">
        <v>589</v>
      </c>
      <c r="D136" t="s">
        <v>590</v>
      </c>
      <c r="E136">
        <v>8</v>
      </c>
      <c r="F136" t="b" cm="1">
        <f t="array" ref="F136">IFERROR(OR(_xlfn._xlws.FILTER(Table6[companyid FILTER],Table6[companyid]=Table1[[#This Row],[companyid]])),FALSE)</f>
        <v>1</v>
      </c>
      <c r="G136">
        <v>57344</v>
      </c>
    </row>
    <row r="137" spans="1:7" x14ac:dyDescent="0.25">
      <c r="A137" t="s">
        <v>587</v>
      </c>
      <c r="B137" t="s">
        <v>591</v>
      </c>
      <c r="C137" t="s">
        <v>589</v>
      </c>
      <c r="D137" t="s">
        <v>590</v>
      </c>
      <c r="E137">
        <v>2</v>
      </c>
      <c r="F137" t="b" cm="1">
        <f t="array" ref="F137">IFERROR(OR(_xlfn._xlws.FILTER(Table6[companyid FILTER],Table6[companyid]=Table1[[#This Row],[companyid]])),FALSE)</f>
        <v>1</v>
      </c>
      <c r="G137">
        <v>57344</v>
      </c>
    </row>
    <row r="138" spans="1:7" x14ac:dyDescent="0.25">
      <c r="A138" t="s">
        <v>592</v>
      </c>
      <c r="B138" t="s">
        <v>593</v>
      </c>
      <c r="C138" t="s">
        <v>594</v>
      </c>
      <c r="D138" t="s">
        <v>595</v>
      </c>
      <c r="E138">
        <v>241</v>
      </c>
      <c r="F138" t="b" cm="1">
        <f t="array" ref="F138">IFERROR(OR(_xlfn._xlws.FILTER(Table6[companyid FILTER],Table6[companyid]=Table1[[#This Row],[companyid]])),FALSE)</f>
        <v>1</v>
      </c>
      <c r="G138">
        <v>57290</v>
      </c>
    </row>
    <row r="139" spans="1:7" x14ac:dyDescent="0.25">
      <c r="A139" t="s">
        <v>592</v>
      </c>
      <c r="B139" t="s">
        <v>596</v>
      </c>
      <c r="C139" t="s">
        <v>594</v>
      </c>
      <c r="D139" t="s">
        <v>595</v>
      </c>
      <c r="E139">
        <v>155</v>
      </c>
      <c r="F139" t="b" cm="1">
        <f t="array" ref="F139">IFERROR(OR(_xlfn._xlws.FILTER(Table6[companyid FILTER],Table6[companyid]=Table1[[#This Row],[companyid]])),FALSE)</f>
        <v>1</v>
      </c>
      <c r="G139">
        <v>57290</v>
      </c>
    </row>
    <row r="140" spans="1:7" x14ac:dyDescent="0.25">
      <c r="A140" t="s">
        <v>597</v>
      </c>
      <c r="B140" t="s">
        <v>598</v>
      </c>
      <c r="C140" t="s">
        <v>281</v>
      </c>
      <c r="D140" t="s">
        <v>599</v>
      </c>
      <c r="E140">
        <v>19</v>
      </c>
      <c r="F140" t="b" cm="1">
        <f t="array" ref="F140">IFERROR(OR(_xlfn._xlws.FILTER(Table6[companyid FILTER],Table6[companyid]=Table1[[#This Row],[companyid]])),FALSE)</f>
        <v>1</v>
      </c>
      <c r="G140">
        <v>57286</v>
      </c>
    </row>
    <row r="141" spans="1:7" x14ac:dyDescent="0.25">
      <c r="A141" t="s">
        <v>600</v>
      </c>
      <c r="B141" t="s">
        <v>601</v>
      </c>
      <c r="C141" t="s">
        <v>602</v>
      </c>
      <c r="D141" t="s">
        <v>603</v>
      </c>
      <c r="E141">
        <v>114</v>
      </c>
      <c r="F141" t="b" cm="1">
        <f t="array" ref="F141">IFERROR(OR(_xlfn._xlws.FILTER(Table6[companyid FILTER],Table6[companyid]=Table1[[#This Row],[companyid]])),FALSE)</f>
        <v>1</v>
      </c>
      <c r="G141">
        <v>63705</v>
      </c>
    </row>
    <row r="142" spans="1:7" x14ac:dyDescent="0.25">
      <c r="A142" t="s">
        <v>604</v>
      </c>
      <c r="B142" t="s">
        <v>605</v>
      </c>
      <c r="C142" t="s">
        <v>452</v>
      </c>
      <c r="D142" t="s">
        <v>606</v>
      </c>
      <c r="E142">
        <v>48</v>
      </c>
      <c r="F142" t="b" cm="1">
        <f t="array" ref="F142">IFERROR(OR(_xlfn._xlws.FILTER(Table6[companyid FILTER],Table6[companyid]=Table1[[#This Row],[companyid]])),FALSE)</f>
        <v>1</v>
      </c>
      <c r="G142">
        <v>57273</v>
      </c>
    </row>
    <row r="143" spans="1:7" x14ac:dyDescent="0.25">
      <c r="A143" t="s">
        <v>604</v>
      </c>
      <c r="B143" t="s">
        <v>607</v>
      </c>
      <c r="C143" t="s">
        <v>608</v>
      </c>
      <c r="D143" t="s">
        <v>606</v>
      </c>
      <c r="E143">
        <v>42</v>
      </c>
      <c r="F143" t="b" cm="1">
        <f t="array" ref="F143">IFERROR(OR(_xlfn._xlws.FILTER(Table6[companyid FILTER],Table6[companyid]=Table1[[#This Row],[companyid]])),FALSE)</f>
        <v>1</v>
      </c>
      <c r="G143">
        <v>57273</v>
      </c>
    </row>
    <row r="144" spans="1:7" x14ac:dyDescent="0.25">
      <c r="A144" t="s">
        <v>604</v>
      </c>
      <c r="B144" t="s">
        <v>607</v>
      </c>
      <c r="C144" t="s">
        <v>608</v>
      </c>
      <c r="D144" t="s">
        <v>609</v>
      </c>
      <c r="E144">
        <v>36</v>
      </c>
      <c r="F144" t="b" cm="1">
        <f t="array" ref="F144">IFERROR(OR(_xlfn._xlws.FILTER(Table6[companyid FILTER],Table6[companyid]=Table1[[#This Row],[companyid]])),FALSE)</f>
        <v>1</v>
      </c>
      <c r="G144">
        <v>57273</v>
      </c>
    </row>
    <row r="145" spans="1:7" x14ac:dyDescent="0.25">
      <c r="A145" t="s">
        <v>610</v>
      </c>
      <c r="B145" t="s">
        <v>611</v>
      </c>
      <c r="C145" t="s">
        <v>612</v>
      </c>
      <c r="D145" t="s">
        <v>613</v>
      </c>
      <c r="E145">
        <v>132</v>
      </c>
      <c r="F145" t="b" cm="1">
        <f t="array" ref="F145">IFERROR(OR(_xlfn._xlws.FILTER(Table6[companyid FILTER],Table6[companyid]=Table1[[#This Row],[companyid]])),FALSE)</f>
        <v>1</v>
      </c>
      <c r="G145">
        <v>57319</v>
      </c>
    </row>
    <row r="146" spans="1:7" x14ac:dyDescent="0.25">
      <c r="A146" t="s">
        <v>614</v>
      </c>
      <c r="B146" t="s">
        <v>615</v>
      </c>
      <c r="C146" t="s">
        <v>260</v>
      </c>
      <c r="D146" t="s">
        <v>616</v>
      </c>
      <c r="E146">
        <v>23</v>
      </c>
      <c r="F146" t="b" cm="1">
        <f t="array" ref="F146">IFERROR(OR(_xlfn._xlws.FILTER(Table6[companyid FILTER],Table6[companyid]=Table1[[#This Row],[companyid]])),FALSE)</f>
        <v>1</v>
      </c>
      <c r="G146">
        <v>57310</v>
      </c>
    </row>
    <row r="147" spans="1:7" x14ac:dyDescent="0.25">
      <c r="A147" t="s">
        <v>617</v>
      </c>
      <c r="B147" t="s">
        <v>289</v>
      </c>
      <c r="C147" t="s">
        <v>290</v>
      </c>
      <c r="D147" t="s">
        <v>288</v>
      </c>
      <c r="E147">
        <v>55</v>
      </c>
      <c r="F147" t="b" cm="1">
        <f t="array" ref="F147">IFERROR(OR(_xlfn._xlws.FILTER(Table6[companyid FILTER],Table6[companyid]=Table1[[#This Row],[companyid]])),FALSE)</f>
        <v>1</v>
      </c>
      <c r="G147">
        <v>57358</v>
      </c>
    </row>
    <row r="148" spans="1:7" x14ac:dyDescent="0.25">
      <c r="A148" t="s">
        <v>617</v>
      </c>
      <c r="B148" t="s">
        <v>289</v>
      </c>
      <c r="C148" t="s">
        <v>290</v>
      </c>
      <c r="D148" t="s">
        <v>618</v>
      </c>
      <c r="E148">
        <v>23</v>
      </c>
      <c r="F148" t="b" cm="1">
        <f t="array" ref="F148">IFERROR(OR(_xlfn._xlws.FILTER(Table6[companyid FILTER],Table6[companyid]=Table1[[#This Row],[companyid]])),FALSE)</f>
        <v>1</v>
      </c>
      <c r="G148">
        <v>57358</v>
      </c>
    </row>
    <row r="149" spans="1:7" x14ac:dyDescent="0.25">
      <c r="A149" t="s">
        <v>619</v>
      </c>
      <c r="B149" t="s">
        <v>620</v>
      </c>
      <c r="C149" t="s">
        <v>277</v>
      </c>
      <c r="D149" t="s">
        <v>621</v>
      </c>
      <c r="E149">
        <v>28</v>
      </c>
      <c r="F149" t="b" cm="1">
        <f t="array" ref="F149">IFERROR(OR(_xlfn._xlws.FILTER(Table6[companyid FILTER],Table6[companyid]=Table1[[#This Row],[companyid]])),FALSE)</f>
        <v>1</v>
      </c>
      <c r="G149">
        <v>57433</v>
      </c>
    </row>
    <row r="150" spans="1:7" x14ac:dyDescent="0.25">
      <c r="A150" t="s">
        <v>622</v>
      </c>
      <c r="B150" t="s">
        <v>623</v>
      </c>
      <c r="C150" t="s">
        <v>260</v>
      </c>
      <c r="D150" t="s">
        <v>624</v>
      </c>
      <c r="E150">
        <v>31</v>
      </c>
      <c r="F150" t="b" cm="1">
        <f t="array" ref="F150">IFERROR(OR(_xlfn._xlws.FILTER(Table6[companyid FILTER],Table6[companyid]=Table1[[#This Row],[companyid]])),FALSE)</f>
        <v>1</v>
      </c>
      <c r="G150">
        <v>57431</v>
      </c>
    </row>
    <row r="151" spans="1:7" x14ac:dyDescent="0.25">
      <c r="A151" t="s">
        <v>625</v>
      </c>
      <c r="B151" t="s">
        <v>310</v>
      </c>
      <c r="C151" t="s">
        <v>308</v>
      </c>
      <c r="D151" t="s">
        <v>309</v>
      </c>
      <c r="E151">
        <v>4</v>
      </c>
      <c r="F151" t="b" cm="1">
        <f t="array" ref="F151">IFERROR(OR(_xlfn._xlws.FILTER(Table6[companyid FILTER],Table6[companyid]=Table1[[#This Row],[companyid]])),FALSE)</f>
        <v>1</v>
      </c>
      <c r="G151">
        <v>57462</v>
      </c>
    </row>
    <row r="152" spans="1:7" x14ac:dyDescent="0.25">
      <c r="A152" t="s">
        <v>625</v>
      </c>
      <c r="B152" t="s">
        <v>626</v>
      </c>
      <c r="C152" t="s">
        <v>627</v>
      </c>
      <c r="E152">
        <v>1</v>
      </c>
      <c r="F152" t="b" cm="1">
        <f t="array" ref="F152">IFERROR(OR(_xlfn._xlws.FILTER(Table6[companyid FILTER],Table6[companyid]=Table1[[#This Row],[companyid]])),FALSE)</f>
        <v>1</v>
      </c>
      <c r="G152">
        <v>57462</v>
      </c>
    </row>
    <row r="153" spans="1:7" x14ac:dyDescent="0.25">
      <c r="A153" t="s">
        <v>628</v>
      </c>
      <c r="B153" t="s">
        <v>629</v>
      </c>
      <c r="C153" t="s">
        <v>277</v>
      </c>
      <c r="D153" t="s">
        <v>630</v>
      </c>
      <c r="E153">
        <v>23</v>
      </c>
      <c r="F153" t="b" cm="1">
        <f t="array" ref="F153">IFERROR(OR(_xlfn._xlws.FILTER(Table6[companyid FILTER],Table6[companyid]=Table1[[#This Row],[companyid]])),FALSE)</f>
        <v>1</v>
      </c>
      <c r="G153">
        <v>57470</v>
      </c>
    </row>
    <row r="154" spans="1:7" x14ac:dyDescent="0.25">
      <c r="A154" t="s">
        <v>631</v>
      </c>
      <c r="B154" t="s">
        <v>632</v>
      </c>
      <c r="C154" t="s">
        <v>633</v>
      </c>
      <c r="D154" t="s">
        <v>634</v>
      </c>
      <c r="E154">
        <v>17</v>
      </c>
      <c r="F154" t="b" cm="1">
        <f t="array" ref="F154">IFERROR(OR(_xlfn._xlws.FILTER(Table6[companyid FILTER],Table6[companyid]=Table1[[#This Row],[companyid]])),FALSE)</f>
        <v>1</v>
      </c>
      <c r="G154">
        <v>57382</v>
      </c>
    </row>
    <row r="155" spans="1:7" x14ac:dyDescent="0.25">
      <c r="A155" t="s">
        <v>635</v>
      </c>
      <c r="B155" t="s">
        <v>636</v>
      </c>
      <c r="C155" t="s">
        <v>637</v>
      </c>
      <c r="D155" t="s">
        <v>638</v>
      </c>
      <c r="E155">
        <v>30</v>
      </c>
      <c r="F155" t="b" cm="1">
        <f t="array" ref="F155">IFERROR(OR(_xlfn._xlws.FILTER(Table6[companyid FILTER],Table6[companyid]=Table1[[#This Row],[companyid]])),FALSE)</f>
        <v>1</v>
      </c>
      <c r="G155">
        <v>57799</v>
      </c>
    </row>
    <row r="156" spans="1:7" x14ac:dyDescent="0.25">
      <c r="A156" t="s">
        <v>635</v>
      </c>
      <c r="B156" t="s">
        <v>639</v>
      </c>
      <c r="C156" t="s">
        <v>290</v>
      </c>
      <c r="D156" t="s">
        <v>638</v>
      </c>
      <c r="E156">
        <v>28</v>
      </c>
      <c r="F156" t="b" cm="1">
        <f t="array" ref="F156">IFERROR(OR(_xlfn._xlws.FILTER(Table6[companyid FILTER],Table6[companyid]=Table1[[#This Row],[companyid]])),FALSE)</f>
        <v>1</v>
      </c>
      <c r="G156">
        <v>57799</v>
      </c>
    </row>
    <row r="157" spans="1:7" x14ac:dyDescent="0.25">
      <c r="A157" t="s">
        <v>635</v>
      </c>
      <c r="B157" t="s">
        <v>636</v>
      </c>
      <c r="C157" t="s">
        <v>637</v>
      </c>
      <c r="D157" t="s">
        <v>640</v>
      </c>
      <c r="E157">
        <v>20</v>
      </c>
      <c r="F157" t="b" cm="1">
        <f t="array" ref="F157">IFERROR(OR(_xlfn._xlws.FILTER(Table6[companyid FILTER],Table6[companyid]=Table1[[#This Row],[companyid]])),FALSE)</f>
        <v>1</v>
      </c>
      <c r="G157">
        <v>57799</v>
      </c>
    </row>
    <row r="158" spans="1:7" x14ac:dyDescent="0.25">
      <c r="A158" t="s">
        <v>641</v>
      </c>
      <c r="B158" t="s">
        <v>642</v>
      </c>
      <c r="C158" t="s">
        <v>643</v>
      </c>
      <c r="D158" t="s">
        <v>644</v>
      </c>
      <c r="E158">
        <v>45</v>
      </c>
      <c r="F158" t="b" cm="1">
        <f t="array" ref="F158">IFERROR(OR(_xlfn._xlws.FILTER(Table6[companyid FILTER],Table6[companyid]=Table1[[#This Row],[companyid]])),FALSE)</f>
        <v>1</v>
      </c>
      <c r="G158">
        <v>57416</v>
      </c>
    </row>
    <row r="159" spans="1:7" x14ac:dyDescent="0.25">
      <c r="A159" t="s">
        <v>645</v>
      </c>
      <c r="B159" t="s">
        <v>646</v>
      </c>
      <c r="C159" t="s">
        <v>647</v>
      </c>
      <c r="D159" t="s">
        <v>648</v>
      </c>
      <c r="E159">
        <v>30</v>
      </c>
      <c r="F159" t="b" cm="1">
        <f t="array" ref="F159">IFERROR(OR(_xlfn._xlws.FILTER(Table6[companyid FILTER],Table6[companyid]=Table1[[#This Row],[companyid]])),FALSE)</f>
        <v>1</v>
      </c>
      <c r="G159">
        <v>57410</v>
      </c>
    </row>
    <row r="160" spans="1:7" x14ac:dyDescent="0.25">
      <c r="A160" t="s">
        <v>645</v>
      </c>
      <c r="B160" t="s">
        <v>646</v>
      </c>
      <c r="C160" t="s">
        <v>647</v>
      </c>
      <c r="E160">
        <v>15</v>
      </c>
      <c r="F160" t="b" cm="1">
        <f t="array" ref="F160">IFERROR(OR(_xlfn._xlws.FILTER(Table6[companyid FILTER],Table6[companyid]=Table1[[#This Row],[companyid]])),FALSE)</f>
        <v>1</v>
      </c>
      <c r="G160">
        <v>57410</v>
      </c>
    </row>
    <row r="161" spans="1:7" x14ac:dyDescent="0.25">
      <c r="A161" t="s">
        <v>649</v>
      </c>
      <c r="B161" t="s">
        <v>650</v>
      </c>
      <c r="C161" t="s">
        <v>651</v>
      </c>
      <c r="D161" t="s">
        <v>652</v>
      </c>
      <c r="E161">
        <v>37</v>
      </c>
      <c r="F161" t="b" cm="1">
        <f t="array" ref="F161">IFERROR(OR(_xlfn._xlws.FILTER(Table6[companyid FILTER],Table6[companyid]=Table1[[#This Row],[companyid]])),FALSE)</f>
        <v>1</v>
      </c>
      <c r="G161">
        <v>57408</v>
      </c>
    </row>
    <row r="162" spans="1:7" x14ac:dyDescent="0.25">
      <c r="A162" t="s">
        <v>653</v>
      </c>
      <c r="B162" t="s">
        <v>654</v>
      </c>
      <c r="C162" t="s">
        <v>655</v>
      </c>
      <c r="D162" t="s">
        <v>656</v>
      </c>
      <c r="E162">
        <v>57</v>
      </c>
      <c r="F162" t="b" cm="1">
        <f t="array" ref="F162">IFERROR(OR(_xlfn._xlws.FILTER(Table6[companyid FILTER],Table6[companyid]=Table1[[#This Row],[companyid]])),FALSE)</f>
        <v>1</v>
      </c>
      <c r="G162">
        <v>57543</v>
      </c>
    </row>
    <row r="163" spans="1:7" x14ac:dyDescent="0.25">
      <c r="A163" t="s">
        <v>657</v>
      </c>
      <c r="B163" t="s">
        <v>658</v>
      </c>
      <c r="C163" t="s">
        <v>277</v>
      </c>
      <c r="D163" t="s">
        <v>659</v>
      </c>
      <c r="E163">
        <v>34</v>
      </c>
      <c r="F163" t="b" cm="1">
        <f t="array" ref="F163">IFERROR(OR(_xlfn._xlws.FILTER(Table6[companyid FILTER],Table6[companyid]=Table1[[#This Row],[companyid]])),FALSE)</f>
        <v>1</v>
      </c>
      <c r="G163">
        <v>57524</v>
      </c>
    </row>
    <row r="164" spans="1:7" x14ac:dyDescent="0.25">
      <c r="A164" t="s">
        <v>660</v>
      </c>
      <c r="B164" t="s">
        <v>661</v>
      </c>
      <c r="C164" t="s">
        <v>385</v>
      </c>
      <c r="D164" t="s">
        <v>662</v>
      </c>
      <c r="E164">
        <v>15</v>
      </c>
      <c r="F164" t="b" cm="1">
        <f t="array" ref="F164">IFERROR(OR(_xlfn._xlws.FILTER(Table6[companyid FILTER],Table6[companyid]=Table1[[#This Row],[companyid]])),FALSE)</f>
        <v>1</v>
      </c>
      <c r="G164">
        <v>57480</v>
      </c>
    </row>
    <row r="165" spans="1:7" x14ac:dyDescent="0.25">
      <c r="A165" t="s">
        <v>663</v>
      </c>
      <c r="B165" t="s">
        <v>664</v>
      </c>
      <c r="C165" t="s">
        <v>665</v>
      </c>
      <c r="D165" t="s">
        <v>666</v>
      </c>
      <c r="E165">
        <v>23</v>
      </c>
      <c r="F165" t="b" cm="1">
        <f t="array" ref="F165">IFERROR(OR(_xlfn._xlws.FILTER(Table6[companyid FILTER],Table6[companyid]=Table1[[#This Row],[companyid]])),FALSE)</f>
        <v>1</v>
      </c>
      <c r="G165">
        <v>57514</v>
      </c>
    </row>
    <row r="166" spans="1:7" x14ac:dyDescent="0.25">
      <c r="A166" t="s">
        <v>667</v>
      </c>
      <c r="B166" t="s">
        <v>668</v>
      </c>
      <c r="C166" t="s">
        <v>669</v>
      </c>
      <c r="D166" t="s">
        <v>670</v>
      </c>
      <c r="E166">
        <v>33</v>
      </c>
      <c r="F166" t="b" cm="1">
        <f t="array" ref="F166">IFERROR(OR(_xlfn._xlws.FILTER(Table6[companyid FILTER],Table6[companyid]=Table1[[#This Row],[companyid]])),FALSE)</f>
        <v>1</v>
      </c>
      <c r="G166">
        <v>57512</v>
      </c>
    </row>
    <row r="167" spans="1:7" x14ac:dyDescent="0.25">
      <c r="A167" t="s">
        <v>671</v>
      </c>
      <c r="B167" t="s">
        <v>672</v>
      </c>
      <c r="C167" t="s">
        <v>673</v>
      </c>
      <c r="E167">
        <v>25</v>
      </c>
      <c r="F167" t="b" cm="1">
        <f t="array" ref="F167">IFERROR(OR(_xlfn._xlws.FILTER(Table6[companyid FILTER],Table6[companyid]=Table1[[#This Row],[companyid]])),FALSE)</f>
        <v>1</v>
      </c>
      <c r="G167">
        <v>57667</v>
      </c>
    </row>
    <row r="168" spans="1:7" x14ac:dyDescent="0.25">
      <c r="A168" t="s">
        <v>671</v>
      </c>
      <c r="B168" t="s">
        <v>674</v>
      </c>
      <c r="C168" t="s">
        <v>673</v>
      </c>
      <c r="E168">
        <v>10</v>
      </c>
      <c r="F168" t="b" cm="1">
        <f t="array" ref="F168">IFERROR(OR(_xlfn._xlws.FILTER(Table6[companyid FILTER],Table6[companyid]=Table1[[#This Row],[companyid]])),FALSE)</f>
        <v>1</v>
      </c>
      <c r="G168">
        <v>57667</v>
      </c>
    </row>
    <row r="169" spans="1:7" x14ac:dyDescent="0.25">
      <c r="A169" t="s">
        <v>675</v>
      </c>
      <c r="B169" t="s">
        <v>676</v>
      </c>
      <c r="C169" t="s">
        <v>281</v>
      </c>
      <c r="D169" t="s">
        <v>677</v>
      </c>
      <c r="E169">
        <v>23</v>
      </c>
      <c r="F169" t="b" cm="1">
        <f t="array" ref="F169">IFERROR(OR(_xlfn._xlws.FILTER(Table6[companyid FILTER],Table6[companyid]=Table1[[#This Row],[companyid]])),FALSE)</f>
        <v>1</v>
      </c>
      <c r="G169">
        <v>57649</v>
      </c>
    </row>
    <row r="170" spans="1:7" x14ac:dyDescent="0.25">
      <c r="A170" t="s">
        <v>678</v>
      </c>
      <c r="B170" t="s">
        <v>679</v>
      </c>
      <c r="C170" t="s">
        <v>366</v>
      </c>
      <c r="D170" t="s">
        <v>680</v>
      </c>
      <c r="E170">
        <v>10</v>
      </c>
      <c r="F170" t="b" cm="1">
        <f t="array" ref="F170">IFERROR(OR(_xlfn._xlws.FILTER(Table6[companyid FILTER],Table6[companyid]=Table1[[#This Row],[companyid]])),FALSE)</f>
        <v>1</v>
      </c>
      <c r="G170">
        <v>57615</v>
      </c>
    </row>
    <row r="171" spans="1:7" x14ac:dyDescent="0.25">
      <c r="A171" t="s">
        <v>678</v>
      </c>
      <c r="B171" t="s">
        <v>681</v>
      </c>
      <c r="C171" t="s">
        <v>682</v>
      </c>
      <c r="D171" t="s">
        <v>680</v>
      </c>
      <c r="E171">
        <v>10</v>
      </c>
      <c r="F171" t="b" cm="1">
        <f t="array" ref="F171">IFERROR(OR(_xlfn._xlws.FILTER(Table6[companyid FILTER],Table6[companyid]=Table1[[#This Row],[companyid]])),FALSE)</f>
        <v>1</v>
      </c>
      <c r="G171">
        <v>57615</v>
      </c>
    </row>
    <row r="172" spans="1:7" x14ac:dyDescent="0.25">
      <c r="A172" t="s">
        <v>678</v>
      </c>
      <c r="B172" t="s">
        <v>681</v>
      </c>
      <c r="C172" t="s">
        <v>682</v>
      </c>
      <c r="E172">
        <v>10</v>
      </c>
      <c r="F172" t="b" cm="1">
        <f t="array" ref="F172">IFERROR(OR(_xlfn._xlws.FILTER(Table6[companyid FILTER],Table6[companyid]=Table1[[#This Row],[companyid]])),FALSE)</f>
        <v>1</v>
      </c>
      <c r="G172">
        <v>57615</v>
      </c>
    </row>
    <row r="173" spans="1:7" x14ac:dyDescent="0.25">
      <c r="A173" t="s">
        <v>683</v>
      </c>
      <c r="B173" t="s">
        <v>684</v>
      </c>
      <c r="C173" t="s">
        <v>277</v>
      </c>
      <c r="D173" t="s">
        <v>685</v>
      </c>
      <c r="E173">
        <v>23</v>
      </c>
      <c r="F173" t="b" cm="1">
        <f t="array" ref="F173">IFERROR(OR(_xlfn._xlws.FILTER(Table6[companyid FILTER],Table6[companyid]=Table1[[#This Row],[companyid]])),FALSE)</f>
        <v>1</v>
      </c>
      <c r="G173">
        <v>57760</v>
      </c>
    </row>
    <row r="174" spans="1:7" x14ac:dyDescent="0.25">
      <c r="A174" t="s">
        <v>686</v>
      </c>
      <c r="B174" t="s">
        <v>687</v>
      </c>
      <c r="C174" t="s">
        <v>385</v>
      </c>
      <c r="D174" t="s">
        <v>688</v>
      </c>
      <c r="E174">
        <v>3</v>
      </c>
      <c r="F174" t="b" cm="1">
        <f t="array" ref="F174">IFERROR(OR(_xlfn._xlws.FILTER(Table6[companyid FILTER],Table6[companyid]=Table1[[#This Row],[companyid]])),FALSE)</f>
        <v>1</v>
      </c>
      <c r="G174">
        <v>57749</v>
      </c>
    </row>
    <row r="175" spans="1:7" x14ac:dyDescent="0.25">
      <c r="A175" t="s">
        <v>689</v>
      </c>
      <c r="B175" t="s">
        <v>369</v>
      </c>
      <c r="C175" t="s">
        <v>370</v>
      </c>
      <c r="D175" t="s">
        <v>372</v>
      </c>
      <c r="E175">
        <v>24</v>
      </c>
      <c r="F175" t="b" cm="1">
        <f t="array" ref="F175">IFERROR(OR(_xlfn._xlws.FILTER(Table6[companyid FILTER],Table6[companyid]=Table1[[#This Row],[companyid]])),FALSE)</f>
        <v>1</v>
      </c>
      <c r="G175">
        <v>57693</v>
      </c>
    </row>
    <row r="176" spans="1:7" x14ac:dyDescent="0.25">
      <c r="A176" t="s">
        <v>689</v>
      </c>
      <c r="B176" t="s">
        <v>690</v>
      </c>
      <c r="C176" t="s">
        <v>260</v>
      </c>
      <c r="D176" t="s">
        <v>372</v>
      </c>
      <c r="E176">
        <v>6</v>
      </c>
      <c r="F176" t="b" cm="1">
        <f t="array" ref="F176">IFERROR(OR(_xlfn._xlws.FILTER(Table6[companyid FILTER],Table6[companyid]=Table1[[#This Row],[companyid]])),FALSE)</f>
        <v>1</v>
      </c>
      <c r="G176">
        <v>57693</v>
      </c>
    </row>
    <row r="177" spans="1:7" x14ac:dyDescent="0.25">
      <c r="A177" t="s">
        <v>691</v>
      </c>
      <c r="B177" t="s">
        <v>692</v>
      </c>
      <c r="C177" t="s">
        <v>693</v>
      </c>
      <c r="D177" t="s">
        <v>694</v>
      </c>
      <c r="E177">
        <v>59</v>
      </c>
      <c r="F177" t="b" cm="1">
        <f t="array" ref="F177">IFERROR(OR(_xlfn._xlws.FILTER(Table6[companyid FILTER],Table6[companyid]=Table1[[#This Row],[companyid]])),FALSE)</f>
        <v>1</v>
      </c>
      <c r="G177">
        <v>57836</v>
      </c>
    </row>
    <row r="178" spans="1:7" x14ac:dyDescent="0.25">
      <c r="A178" t="s">
        <v>691</v>
      </c>
      <c r="B178" t="s">
        <v>695</v>
      </c>
      <c r="C178" t="s">
        <v>693</v>
      </c>
      <c r="D178" t="s">
        <v>694</v>
      </c>
      <c r="E178">
        <v>38</v>
      </c>
      <c r="F178" t="b" cm="1">
        <f t="array" ref="F178">IFERROR(OR(_xlfn._xlws.FILTER(Table6[companyid FILTER],Table6[companyid]=Table1[[#This Row],[companyid]])),FALSE)</f>
        <v>1</v>
      </c>
      <c r="G178">
        <v>57836</v>
      </c>
    </row>
    <row r="179" spans="1:7" x14ac:dyDescent="0.25">
      <c r="A179" t="s">
        <v>696</v>
      </c>
      <c r="B179" t="s">
        <v>697</v>
      </c>
      <c r="C179" t="s">
        <v>698</v>
      </c>
      <c r="D179" t="s">
        <v>699</v>
      </c>
      <c r="E179">
        <v>14</v>
      </c>
      <c r="F179" t="b" cm="1">
        <f t="array" ref="F179">IFERROR(OR(_xlfn._xlws.FILTER(Table6[companyid FILTER],Table6[companyid]=Table1[[#This Row],[companyid]])),FALSE)</f>
        <v>1</v>
      </c>
      <c r="G179">
        <v>57835</v>
      </c>
    </row>
    <row r="180" spans="1:7" x14ac:dyDescent="0.25">
      <c r="A180" t="s">
        <v>700</v>
      </c>
      <c r="B180" t="s">
        <v>701</v>
      </c>
      <c r="C180" t="s">
        <v>702</v>
      </c>
      <c r="D180" t="s">
        <v>703</v>
      </c>
      <c r="E180">
        <v>26</v>
      </c>
      <c r="F180" t="b" cm="1">
        <f t="array" ref="F180">IFERROR(OR(_xlfn._xlws.FILTER(Table6[companyid FILTER],Table6[companyid]=Table1[[#This Row],[companyid]])),FALSE)</f>
        <v>1</v>
      </c>
      <c r="G180">
        <v>79875</v>
      </c>
    </row>
    <row r="181" spans="1:7" x14ac:dyDescent="0.25">
      <c r="A181" t="s">
        <v>704</v>
      </c>
      <c r="B181" t="s">
        <v>705</v>
      </c>
      <c r="C181" t="s">
        <v>277</v>
      </c>
      <c r="D181" t="s">
        <v>706</v>
      </c>
      <c r="E181">
        <v>87</v>
      </c>
      <c r="F181" t="b" cm="1">
        <f t="array" ref="F181">IFERROR(OR(_xlfn._xlws.FILTER(Table6[companyid FILTER],Table6[companyid]=Table1[[#This Row],[companyid]])),FALSE)</f>
        <v>1</v>
      </c>
      <c r="G181">
        <v>57825</v>
      </c>
    </row>
    <row r="182" spans="1:7" x14ac:dyDescent="0.25">
      <c r="A182" t="s">
        <v>707</v>
      </c>
      <c r="B182" t="s">
        <v>708</v>
      </c>
      <c r="C182" t="s">
        <v>709</v>
      </c>
      <c r="D182" t="s">
        <v>710</v>
      </c>
      <c r="E182">
        <v>56</v>
      </c>
      <c r="F182" t="b" cm="1">
        <f t="array" ref="F182">IFERROR(OR(_xlfn._xlws.FILTER(Table6[companyid FILTER],Table6[companyid]=Table1[[#This Row],[companyid]])),FALSE)</f>
        <v>1</v>
      </c>
      <c r="G182">
        <v>57843</v>
      </c>
    </row>
    <row r="183" spans="1:7" x14ac:dyDescent="0.25">
      <c r="A183" t="s">
        <v>707</v>
      </c>
      <c r="B183" t="s">
        <v>711</v>
      </c>
      <c r="C183" t="s">
        <v>709</v>
      </c>
      <c r="D183" t="s">
        <v>710</v>
      </c>
      <c r="E183">
        <v>34</v>
      </c>
      <c r="F183" t="b" cm="1">
        <f t="array" ref="F183">IFERROR(OR(_xlfn._xlws.FILTER(Table6[companyid FILTER],Table6[companyid]=Table1[[#This Row],[companyid]])),FALSE)</f>
        <v>1</v>
      </c>
      <c r="G183">
        <v>57843</v>
      </c>
    </row>
    <row r="184" spans="1:7" x14ac:dyDescent="0.25">
      <c r="A184" t="s">
        <v>712</v>
      </c>
      <c r="B184" t="s">
        <v>713</v>
      </c>
      <c r="C184" t="s">
        <v>714</v>
      </c>
      <c r="D184" t="s">
        <v>715</v>
      </c>
      <c r="E184">
        <v>52</v>
      </c>
      <c r="F184" t="b" cm="1">
        <f t="array" ref="F184">IFERROR(OR(_xlfn._xlws.FILTER(Table6[companyid FILTER],Table6[companyid]=Table1[[#This Row],[companyid]])),FALSE)</f>
        <v>1</v>
      </c>
      <c r="G184">
        <v>57867</v>
      </c>
    </row>
    <row r="185" spans="1:7" x14ac:dyDescent="0.25">
      <c r="A185" t="s">
        <v>712</v>
      </c>
      <c r="B185" t="s">
        <v>713</v>
      </c>
      <c r="C185" t="s">
        <v>714</v>
      </c>
      <c r="E185">
        <v>23</v>
      </c>
      <c r="F185" t="b" cm="1">
        <f t="array" ref="F185">IFERROR(OR(_xlfn._xlws.FILTER(Table6[companyid FILTER],Table6[companyid]=Table1[[#This Row],[companyid]])),FALSE)</f>
        <v>1</v>
      </c>
      <c r="G185">
        <v>57867</v>
      </c>
    </row>
    <row r="186" spans="1:7" x14ac:dyDescent="0.25">
      <c r="A186" t="s">
        <v>716</v>
      </c>
      <c r="B186" t="s">
        <v>717</v>
      </c>
      <c r="C186" t="s">
        <v>718</v>
      </c>
      <c r="E186">
        <v>84</v>
      </c>
      <c r="F186" t="b" cm="1">
        <f t="array" ref="F186">IFERROR(OR(_xlfn._xlws.FILTER(Table6[companyid FILTER],Table6[companyid]=Table1[[#This Row],[companyid]])),FALSE)</f>
        <v>1</v>
      </c>
      <c r="G186">
        <v>57859</v>
      </c>
    </row>
    <row r="187" spans="1:7" x14ac:dyDescent="0.25">
      <c r="A187" t="s">
        <v>716</v>
      </c>
      <c r="B187" t="s">
        <v>719</v>
      </c>
      <c r="C187" t="s">
        <v>720</v>
      </c>
      <c r="D187" t="s">
        <v>721</v>
      </c>
      <c r="E187">
        <v>52</v>
      </c>
      <c r="F187" t="b" cm="1">
        <f t="array" ref="F187">IFERROR(OR(_xlfn._xlws.FILTER(Table6[companyid FILTER],Table6[companyid]=Table1[[#This Row],[companyid]])),FALSE)</f>
        <v>1</v>
      </c>
      <c r="G187">
        <v>57859</v>
      </c>
    </row>
    <row r="188" spans="1:7" x14ac:dyDescent="0.25">
      <c r="A188" t="s">
        <v>722</v>
      </c>
      <c r="B188" t="s">
        <v>723</v>
      </c>
      <c r="C188" t="s">
        <v>366</v>
      </c>
      <c r="D188" t="s">
        <v>724</v>
      </c>
      <c r="E188">
        <v>16</v>
      </c>
      <c r="F188" t="b" cm="1">
        <f t="array" ref="F188">IFERROR(OR(_xlfn._xlws.FILTER(Table6[companyid FILTER],Table6[companyid]=Table1[[#This Row],[companyid]])),FALSE)</f>
        <v>1</v>
      </c>
      <c r="G188">
        <v>57858</v>
      </c>
    </row>
    <row r="189" spans="1:7" x14ac:dyDescent="0.25">
      <c r="A189" t="s">
        <v>725</v>
      </c>
      <c r="B189" t="s">
        <v>726</v>
      </c>
      <c r="C189" t="s">
        <v>260</v>
      </c>
      <c r="D189" t="s">
        <v>727</v>
      </c>
      <c r="E189">
        <v>88</v>
      </c>
      <c r="F189" t="b" cm="1">
        <f t="array" ref="F189">IFERROR(OR(_xlfn._xlws.FILTER(Table6[companyid FILTER],Table6[companyid]=Table1[[#This Row],[companyid]])),FALSE)</f>
        <v>1</v>
      </c>
      <c r="G189">
        <v>57856</v>
      </c>
    </row>
    <row r="190" spans="1:7" x14ac:dyDescent="0.25">
      <c r="A190" t="s">
        <v>725</v>
      </c>
      <c r="B190" t="s">
        <v>726</v>
      </c>
      <c r="C190" t="s">
        <v>728</v>
      </c>
      <c r="E190">
        <v>40</v>
      </c>
      <c r="F190" t="b" cm="1">
        <f t="array" ref="F190">IFERROR(OR(_xlfn._xlws.FILTER(Table6[companyid FILTER],Table6[companyid]=Table1[[#This Row],[companyid]])),FALSE)</f>
        <v>1</v>
      </c>
      <c r="G190">
        <v>57856</v>
      </c>
    </row>
    <row r="191" spans="1:7" x14ac:dyDescent="0.25">
      <c r="A191" t="s">
        <v>725</v>
      </c>
      <c r="B191" t="s">
        <v>384</v>
      </c>
      <c r="C191" t="s">
        <v>728</v>
      </c>
      <c r="E191">
        <v>25</v>
      </c>
      <c r="F191" t="b" cm="1">
        <f t="array" ref="F191">IFERROR(OR(_xlfn._xlws.FILTER(Table6[companyid FILTER],Table6[companyid]=Table1[[#This Row],[companyid]])),FALSE)</f>
        <v>1</v>
      </c>
      <c r="G191">
        <v>57856</v>
      </c>
    </row>
    <row r="192" spans="1:7" x14ac:dyDescent="0.25">
      <c r="A192" t="s">
        <v>729</v>
      </c>
      <c r="B192" t="s">
        <v>384</v>
      </c>
      <c r="C192" t="s">
        <v>385</v>
      </c>
      <c r="D192" t="s">
        <v>386</v>
      </c>
      <c r="E192">
        <v>33</v>
      </c>
      <c r="F192" t="b" cm="1">
        <f t="array" ref="F192">IFERROR(OR(_xlfn._xlws.FILTER(Table6[companyid FILTER],Table6[companyid]=Table1[[#This Row],[companyid]])),FALSE)</f>
        <v>1</v>
      </c>
      <c r="G192">
        <v>57855</v>
      </c>
    </row>
    <row r="193" spans="1:7" x14ac:dyDescent="0.25">
      <c r="A193" t="s">
        <v>730</v>
      </c>
      <c r="B193" t="s">
        <v>731</v>
      </c>
      <c r="C193" t="s">
        <v>732</v>
      </c>
      <c r="E193">
        <v>8</v>
      </c>
      <c r="F193" t="b" cm="1">
        <f t="array" ref="F193">IFERROR(OR(_xlfn._xlws.FILTER(Table6[companyid FILTER],Table6[companyid]=Table1[[#This Row],[companyid]])),FALSE)</f>
        <v>1</v>
      </c>
      <c r="G193">
        <v>57852</v>
      </c>
    </row>
    <row r="194" spans="1:7" x14ac:dyDescent="0.25">
      <c r="A194" t="s">
        <v>730</v>
      </c>
      <c r="B194" t="s">
        <v>733</v>
      </c>
      <c r="C194" t="s">
        <v>732</v>
      </c>
      <c r="D194" t="s">
        <v>734</v>
      </c>
      <c r="E194">
        <v>2</v>
      </c>
      <c r="F194" t="b" cm="1">
        <f t="array" ref="F194">IFERROR(OR(_xlfn._xlws.FILTER(Table6[companyid FILTER],Table6[companyid]=Table1[[#This Row],[companyid]])),FALSE)</f>
        <v>1</v>
      </c>
      <c r="G194">
        <v>57852</v>
      </c>
    </row>
    <row r="195" spans="1:7" x14ac:dyDescent="0.25">
      <c r="A195" t="s">
        <v>735</v>
      </c>
      <c r="B195" t="s">
        <v>736</v>
      </c>
      <c r="C195" t="s">
        <v>277</v>
      </c>
      <c r="D195" t="s">
        <v>737</v>
      </c>
      <c r="E195">
        <v>33</v>
      </c>
      <c r="F195" t="b" cm="1">
        <f t="array" ref="F195">IFERROR(OR(_xlfn._xlws.FILTER(Table6[companyid FILTER],Table6[companyid]=Table1[[#This Row],[companyid]])),FALSE)</f>
        <v>1</v>
      </c>
      <c r="G195">
        <v>57848</v>
      </c>
    </row>
    <row r="196" spans="1:7" x14ac:dyDescent="0.25">
      <c r="A196" t="s">
        <v>738</v>
      </c>
      <c r="B196" t="s">
        <v>739</v>
      </c>
      <c r="C196" t="s">
        <v>740</v>
      </c>
      <c r="D196" t="s">
        <v>741</v>
      </c>
      <c r="E196">
        <v>12</v>
      </c>
      <c r="F196" t="b" cm="1">
        <f t="array" ref="F196">IFERROR(OR(_xlfn._xlws.FILTER(Table6[companyid FILTER],Table6[companyid]=Table1[[#This Row],[companyid]])),FALSE)</f>
        <v>1</v>
      </c>
      <c r="G196">
        <v>57790</v>
      </c>
    </row>
    <row r="197" spans="1:7" x14ac:dyDescent="0.25">
      <c r="A197" t="s">
        <v>742</v>
      </c>
      <c r="B197" t="s">
        <v>743</v>
      </c>
      <c r="C197" t="s">
        <v>744</v>
      </c>
      <c r="D197" t="s">
        <v>745</v>
      </c>
      <c r="E197">
        <v>40</v>
      </c>
      <c r="F197" t="b" cm="1">
        <f t="array" ref="F197">IFERROR(OR(_xlfn._xlws.FILTER(Table6[companyid FILTER],Table6[companyid]=Table1[[#This Row],[companyid]])),FALSE)</f>
        <v>1</v>
      </c>
      <c r="G197">
        <v>57778</v>
      </c>
    </row>
    <row r="198" spans="1:7" x14ac:dyDescent="0.25">
      <c r="A198" t="s">
        <v>746</v>
      </c>
      <c r="B198" t="s">
        <v>747</v>
      </c>
      <c r="C198" t="s">
        <v>260</v>
      </c>
      <c r="D198" t="s">
        <v>748</v>
      </c>
      <c r="E198">
        <v>27</v>
      </c>
      <c r="F198" t="b" cm="1">
        <f t="array" ref="F198">IFERROR(OR(_xlfn._xlws.FILTER(Table6[companyid FILTER],Table6[companyid]=Table1[[#This Row],[companyid]])),FALSE)</f>
        <v>1</v>
      </c>
      <c r="G198">
        <v>57812</v>
      </c>
    </row>
    <row r="199" spans="1:7" x14ac:dyDescent="0.25">
      <c r="A199" t="s">
        <v>749</v>
      </c>
      <c r="B199" t="s">
        <v>750</v>
      </c>
      <c r="C199" t="s">
        <v>751</v>
      </c>
      <c r="D199" t="s">
        <v>752</v>
      </c>
      <c r="E199">
        <v>12</v>
      </c>
      <c r="F199" t="b" cm="1">
        <f t="array" ref="F199">IFERROR(OR(_xlfn._xlws.FILTER(Table6[companyid FILTER],Table6[companyid]=Table1[[#This Row],[companyid]])),FALSE)</f>
        <v>1</v>
      </c>
      <c r="G199">
        <v>114895</v>
      </c>
    </row>
    <row r="200" spans="1:7" x14ac:dyDescent="0.25">
      <c r="A200" t="s">
        <v>753</v>
      </c>
      <c r="B200" t="s">
        <v>754</v>
      </c>
      <c r="C200" t="s">
        <v>755</v>
      </c>
      <c r="D200" t="s">
        <v>756</v>
      </c>
      <c r="E200">
        <v>59</v>
      </c>
      <c r="F200" t="b" cm="1">
        <f t="array" ref="F200">IFERROR(OR(_xlfn._xlws.FILTER(Table6[companyid FILTER],Table6[companyid]=Table1[[#This Row],[companyid]])),FALSE)</f>
        <v>1</v>
      </c>
      <c r="G200">
        <v>57932</v>
      </c>
    </row>
    <row r="201" spans="1:7" x14ac:dyDescent="0.25">
      <c r="A201" t="s">
        <v>753</v>
      </c>
      <c r="B201" t="s">
        <v>757</v>
      </c>
      <c r="C201" t="s">
        <v>493</v>
      </c>
      <c r="E201">
        <v>36</v>
      </c>
      <c r="F201" t="b" cm="1">
        <f t="array" ref="F201">IFERROR(OR(_xlfn._xlws.FILTER(Table6[companyid FILTER],Table6[companyid]=Table1[[#This Row],[companyid]])),FALSE)</f>
        <v>1</v>
      </c>
      <c r="G201">
        <v>57932</v>
      </c>
    </row>
    <row r="202" spans="1:7" x14ac:dyDescent="0.25">
      <c r="A202" t="s">
        <v>753</v>
      </c>
      <c r="B202" t="s">
        <v>758</v>
      </c>
      <c r="C202" t="s">
        <v>493</v>
      </c>
      <c r="E202">
        <v>10</v>
      </c>
      <c r="F202" t="b" cm="1">
        <f t="array" ref="F202">IFERROR(OR(_xlfn._xlws.FILTER(Table6[companyid FILTER],Table6[companyid]=Table1[[#This Row],[companyid]])),FALSE)</f>
        <v>1</v>
      </c>
      <c r="G202">
        <v>57932</v>
      </c>
    </row>
    <row r="203" spans="1:7" x14ac:dyDescent="0.25">
      <c r="A203" t="s">
        <v>759</v>
      </c>
      <c r="B203" t="s">
        <v>760</v>
      </c>
      <c r="C203" t="s">
        <v>303</v>
      </c>
      <c r="D203" t="s">
        <v>761</v>
      </c>
      <c r="E203">
        <v>132</v>
      </c>
      <c r="F203" t="b" cm="1">
        <f t="array" ref="F203">IFERROR(OR(_xlfn._xlws.FILTER(Table6[companyid FILTER],Table6[companyid]=Table1[[#This Row],[companyid]])),FALSE)</f>
        <v>1</v>
      </c>
      <c r="G203">
        <v>57948</v>
      </c>
    </row>
    <row r="204" spans="1:7" x14ac:dyDescent="0.25">
      <c r="A204" t="s">
        <v>759</v>
      </c>
      <c r="B204" t="s">
        <v>762</v>
      </c>
      <c r="C204" t="s">
        <v>303</v>
      </c>
      <c r="D204" t="s">
        <v>761</v>
      </c>
      <c r="E204">
        <v>82</v>
      </c>
      <c r="F204" t="b" cm="1">
        <f t="array" ref="F204">IFERROR(OR(_xlfn._xlws.FILTER(Table6[companyid FILTER],Table6[companyid]=Table1[[#This Row],[companyid]])),FALSE)</f>
        <v>1</v>
      </c>
      <c r="G204">
        <v>57948</v>
      </c>
    </row>
    <row r="205" spans="1:7" x14ac:dyDescent="0.25">
      <c r="A205" t="s">
        <v>763</v>
      </c>
      <c r="B205" t="s">
        <v>764</v>
      </c>
      <c r="C205" t="s">
        <v>765</v>
      </c>
      <c r="D205" t="s">
        <v>766</v>
      </c>
      <c r="E205">
        <v>45</v>
      </c>
      <c r="F205" t="b" cm="1">
        <f t="array" ref="F205">IFERROR(OR(_xlfn._xlws.FILTER(Table6[companyid FILTER],Table6[companyid]=Table1[[#This Row],[companyid]])),FALSE)</f>
        <v>1</v>
      </c>
      <c r="G205">
        <v>57908</v>
      </c>
    </row>
    <row r="206" spans="1:7" x14ac:dyDescent="0.25">
      <c r="A206" t="s">
        <v>767</v>
      </c>
      <c r="B206" t="s">
        <v>768</v>
      </c>
      <c r="C206" t="s">
        <v>769</v>
      </c>
      <c r="D206" t="s">
        <v>770</v>
      </c>
      <c r="E206">
        <v>12</v>
      </c>
      <c r="F206" t="b" cm="1">
        <f t="array" ref="F206">IFERROR(OR(_xlfn._xlws.FILTER(Table6[companyid FILTER],Table6[companyid]=Table1[[#This Row],[companyid]])),FALSE)</f>
        <v>1</v>
      </c>
      <c r="G206">
        <v>57897</v>
      </c>
    </row>
    <row r="207" spans="1:7" x14ac:dyDescent="0.25">
      <c r="A207" t="s">
        <v>767</v>
      </c>
      <c r="B207" t="s">
        <v>771</v>
      </c>
      <c r="C207" t="s">
        <v>769</v>
      </c>
      <c r="D207" t="s">
        <v>770</v>
      </c>
      <c r="E207">
        <v>3</v>
      </c>
      <c r="F207" t="b" cm="1">
        <f t="array" ref="F207">IFERROR(OR(_xlfn._xlws.FILTER(Table6[companyid FILTER],Table6[companyid]=Table1[[#This Row],[companyid]])),FALSE)</f>
        <v>1</v>
      </c>
      <c r="G207">
        <v>57897</v>
      </c>
    </row>
    <row r="208" spans="1:7" x14ac:dyDescent="0.25">
      <c r="A208" t="s">
        <v>772</v>
      </c>
      <c r="B208" t="s">
        <v>773</v>
      </c>
      <c r="C208" t="s">
        <v>260</v>
      </c>
      <c r="D208" t="s">
        <v>774</v>
      </c>
      <c r="E208">
        <v>32</v>
      </c>
      <c r="F208" t="b" cm="1">
        <f t="array" ref="F208">IFERROR(OR(_xlfn._xlws.FILTER(Table6[companyid FILTER],Table6[companyid]=Table1[[#This Row],[companyid]])),FALSE)</f>
        <v>1</v>
      </c>
      <c r="G208">
        <v>58030</v>
      </c>
    </row>
    <row r="209" spans="1:7" x14ac:dyDescent="0.25">
      <c r="A209" t="s">
        <v>775</v>
      </c>
      <c r="B209" t="s">
        <v>776</v>
      </c>
      <c r="C209" t="s">
        <v>777</v>
      </c>
      <c r="D209" t="s">
        <v>778</v>
      </c>
      <c r="E209">
        <v>30</v>
      </c>
      <c r="F209" t="b" cm="1">
        <f t="array" ref="F209">IFERROR(OR(_xlfn._xlws.FILTER(Table6[companyid FILTER],Table6[companyid]=Table1[[#This Row],[companyid]])),FALSE)</f>
        <v>1</v>
      </c>
      <c r="G209">
        <v>58028</v>
      </c>
    </row>
    <row r="210" spans="1:7" x14ac:dyDescent="0.25">
      <c r="A210" t="s">
        <v>775</v>
      </c>
      <c r="B210" t="s">
        <v>779</v>
      </c>
      <c r="C210" t="s">
        <v>281</v>
      </c>
      <c r="D210" t="s">
        <v>778</v>
      </c>
      <c r="E210">
        <v>10</v>
      </c>
      <c r="F210" t="b" cm="1">
        <f t="array" ref="F210">IFERROR(OR(_xlfn._xlws.FILTER(Table6[companyid FILTER],Table6[companyid]=Table1[[#This Row],[companyid]])),FALSE)</f>
        <v>1</v>
      </c>
      <c r="G210">
        <v>58028</v>
      </c>
    </row>
    <row r="211" spans="1:7" x14ac:dyDescent="0.25">
      <c r="A211" t="s">
        <v>775</v>
      </c>
      <c r="B211" t="s">
        <v>779</v>
      </c>
      <c r="C211" t="s">
        <v>777</v>
      </c>
      <c r="D211" t="s">
        <v>778</v>
      </c>
      <c r="E211">
        <v>6</v>
      </c>
      <c r="F211" t="b" cm="1">
        <f t="array" ref="F211">IFERROR(OR(_xlfn._xlws.FILTER(Table6[companyid FILTER],Table6[companyid]=Table1[[#This Row],[companyid]])),FALSE)</f>
        <v>1</v>
      </c>
      <c r="G211">
        <v>58028</v>
      </c>
    </row>
    <row r="212" spans="1:7" x14ac:dyDescent="0.25">
      <c r="A212" t="s">
        <v>780</v>
      </c>
      <c r="B212" t="s">
        <v>781</v>
      </c>
      <c r="C212" t="s">
        <v>277</v>
      </c>
      <c r="D212" t="s">
        <v>782</v>
      </c>
      <c r="E212">
        <v>59</v>
      </c>
      <c r="F212" t="b" cm="1">
        <f t="array" ref="F212">IFERROR(OR(_xlfn._xlws.FILTER(Table6[companyid FILTER],Table6[companyid]=Table1[[#This Row],[companyid]])),FALSE)</f>
        <v>1</v>
      </c>
      <c r="G212">
        <v>58060</v>
      </c>
    </row>
    <row r="213" spans="1:7" x14ac:dyDescent="0.25">
      <c r="A213" t="s">
        <v>783</v>
      </c>
      <c r="B213" t="s">
        <v>784</v>
      </c>
      <c r="C213" t="s">
        <v>385</v>
      </c>
      <c r="D213" t="s">
        <v>785</v>
      </c>
      <c r="E213">
        <v>29</v>
      </c>
      <c r="F213" t="b" cm="1">
        <f t="array" ref="F213">IFERROR(OR(_xlfn._xlws.FILTER(Table6[companyid FILTER],Table6[companyid]=Table1[[#This Row],[companyid]])),FALSE)</f>
        <v>1</v>
      </c>
      <c r="G213">
        <v>58053</v>
      </c>
    </row>
    <row r="214" spans="1:7" x14ac:dyDescent="0.25">
      <c r="A214" t="s">
        <v>786</v>
      </c>
      <c r="B214" t="s">
        <v>787</v>
      </c>
      <c r="C214" t="s">
        <v>594</v>
      </c>
      <c r="D214" t="s">
        <v>788</v>
      </c>
      <c r="E214">
        <v>70</v>
      </c>
      <c r="F214" t="b" cm="1">
        <f t="array" ref="F214">IFERROR(OR(_xlfn._xlws.FILTER(Table6[companyid FILTER],Table6[companyid]=Table1[[#This Row],[companyid]])),FALSE)</f>
        <v>1</v>
      </c>
      <c r="G214">
        <v>58011</v>
      </c>
    </row>
    <row r="215" spans="1:7" x14ac:dyDescent="0.25">
      <c r="A215" t="s">
        <v>786</v>
      </c>
      <c r="B215" t="s">
        <v>789</v>
      </c>
      <c r="C215" t="s">
        <v>594</v>
      </c>
      <c r="D215" t="s">
        <v>788</v>
      </c>
      <c r="E215">
        <v>44</v>
      </c>
      <c r="F215" t="b" cm="1">
        <f t="array" ref="F215">IFERROR(OR(_xlfn._xlws.FILTER(Table6[companyid FILTER],Table6[companyid]=Table1[[#This Row],[companyid]])),FALSE)</f>
        <v>1</v>
      </c>
      <c r="G215">
        <v>58011</v>
      </c>
    </row>
    <row r="216" spans="1:7" x14ac:dyDescent="0.25">
      <c r="A216" t="s">
        <v>790</v>
      </c>
      <c r="B216" t="s">
        <v>791</v>
      </c>
      <c r="C216" t="s">
        <v>792</v>
      </c>
      <c r="D216" t="s">
        <v>793</v>
      </c>
      <c r="E216">
        <v>9</v>
      </c>
      <c r="F216" t="b" cm="1">
        <f t="array" ref="F216">IFERROR(OR(_xlfn._xlws.FILTER(Table6[companyid FILTER],Table6[companyid]=Table1[[#This Row],[companyid]])),FALSE)</f>
        <v>1</v>
      </c>
      <c r="G216">
        <v>58005</v>
      </c>
    </row>
    <row r="217" spans="1:7" x14ac:dyDescent="0.25">
      <c r="A217" t="s">
        <v>794</v>
      </c>
      <c r="B217" t="s">
        <v>795</v>
      </c>
      <c r="C217" t="s">
        <v>247</v>
      </c>
      <c r="D217" t="s">
        <v>796</v>
      </c>
      <c r="E217">
        <v>33</v>
      </c>
      <c r="F217" t="b" cm="1">
        <f t="array" ref="F217">IFERROR(OR(_xlfn._xlws.FILTER(Table6[companyid FILTER],Table6[companyid]=Table1[[#This Row],[companyid]])),FALSE)</f>
        <v>1</v>
      </c>
      <c r="G217">
        <v>58003</v>
      </c>
    </row>
    <row r="218" spans="1:7" x14ac:dyDescent="0.25">
      <c r="A218" t="s">
        <v>797</v>
      </c>
      <c r="B218" t="s">
        <v>798</v>
      </c>
      <c r="C218" t="s">
        <v>452</v>
      </c>
      <c r="D218" t="s">
        <v>799</v>
      </c>
      <c r="E218">
        <v>34</v>
      </c>
      <c r="F218" t="b" cm="1">
        <f t="array" ref="F218">IFERROR(OR(_xlfn._xlws.FILTER(Table6[companyid FILTER],Table6[companyid]=Table1[[#This Row],[companyid]])),FALSE)</f>
        <v>1</v>
      </c>
      <c r="G218">
        <v>58071</v>
      </c>
    </row>
    <row r="219" spans="1:7" x14ac:dyDescent="0.25">
      <c r="A219" t="s">
        <v>797</v>
      </c>
      <c r="B219" t="s">
        <v>798</v>
      </c>
      <c r="C219" t="s">
        <v>452</v>
      </c>
      <c r="D219" t="s">
        <v>800</v>
      </c>
      <c r="E219">
        <v>13</v>
      </c>
      <c r="F219" t="b" cm="1">
        <f t="array" ref="F219">IFERROR(OR(_xlfn._xlws.FILTER(Table6[companyid FILTER],Table6[companyid]=Table1[[#This Row],[companyid]])),FALSE)</f>
        <v>1</v>
      </c>
      <c r="G219">
        <v>58071</v>
      </c>
    </row>
    <row r="220" spans="1:7" x14ac:dyDescent="0.25">
      <c r="A220" t="s">
        <v>801</v>
      </c>
      <c r="B220" t="s">
        <v>802</v>
      </c>
      <c r="C220" t="s">
        <v>803</v>
      </c>
      <c r="D220" t="s">
        <v>804</v>
      </c>
      <c r="E220">
        <v>14</v>
      </c>
      <c r="F220" t="b" cm="1">
        <f t="array" ref="F220">IFERROR(OR(_xlfn._xlws.FILTER(Table6[companyid FILTER],Table6[companyid]=Table1[[#This Row],[companyid]])),FALSE)</f>
        <v>1</v>
      </c>
      <c r="G220">
        <v>58142</v>
      </c>
    </row>
    <row r="221" spans="1:7" x14ac:dyDescent="0.25">
      <c r="A221" t="s">
        <v>805</v>
      </c>
      <c r="B221" t="s">
        <v>806</v>
      </c>
      <c r="C221" t="s">
        <v>443</v>
      </c>
      <c r="D221" t="s">
        <v>807</v>
      </c>
      <c r="E221">
        <v>12</v>
      </c>
      <c r="F221" t="b" cm="1">
        <f t="array" ref="F221">IFERROR(OR(_xlfn._xlws.FILTER(Table6[companyid FILTER],Table6[companyid]=Table1[[#This Row],[companyid]])),FALSE)</f>
        <v>1</v>
      </c>
      <c r="G221">
        <v>117081</v>
      </c>
    </row>
    <row r="222" spans="1:7" x14ac:dyDescent="0.25">
      <c r="A222" t="s">
        <v>808</v>
      </c>
      <c r="B222" t="s">
        <v>809</v>
      </c>
      <c r="C222" t="s">
        <v>452</v>
      </c>
      <c r="D222" t="s">
        <v>810</v>
      </c>
      <c r="E222">
        <v>26</v>
      </c>
      <c r="F222" t="b" cm="1">
        <f t="array" ref="F222">IFERROR(OR(_xlfn._xlws.FILTER(Table6[companyid FILTER],Table6[companyid]=Table1[[#This Row],[companyid]])),FALSE)</f>
        <v>1</v>
      </c>
      <c r="G222">
        <v>58160</v>
      </c>
    </row>
    <row r="223" spans="1:7" x14ac:dyDescent="0.25">
      <c r="A223" t="s">
        <v>808</v>
      </c>
      <c r="B223" t="s">
        <v>811</v>
      </c>
      <c r="C223" t="s">
        <v>452</v>
      </c>
      <c r="D223" t="s">
        <v>810</v>
      </c>
      <c r="E223">
        <v>11</v>
      </c>
      <c r="F223" t="b" cm="1">
        <f t="array" ref="F223">IFERROR(OR(_xlfn._xlws.FILTER(Table6[companyid FILTER],Table6[companyid]=Table1[[#This Row],[companyid]])),FALSE)</f>
        <v>1</v>
      </c>
      <c r="G223">
        <v>58160</v>
      </c>
    </row>
    <row r="224" spans="1:7" x14ac:dyDescent="0.25">
      <c r="A224" t="s">
        <v>812</v>
      </c>
      <c r="B224" t="s">
        <v>813</v>
      </c>
      <c r="C224" t="s">
        <v>814</v>
      </c>
      <c r="D224" t="s">
        <v>815</v>
      </c>
      <c r="E224">
        <v>35</v>
      </c>
      <c r="F224" t="b" cm="1">
        <f t="array" ref="F224">IFERROR(OR(_xlfn._xlws.FILTER(Table6[companyid FILTER],Table6[companyid]=Table1[[#This Row],[companyid]])),FALSE)</f>
        <v>1</v>
      </c>
      <c r="G224">
        <v>58155</v>
      </c>
    </row>
    <row r="225" spans="1:7" x14ac:dyDescent="0.25">
      <c r="A225" t="s">
        <v>812</v>
      </c>
      <c r="B225" t="s">
        <v>816</v>
      </c>
      <c r="C225" t="s">
        <v>817</v>
      </c>
      <c r="D225" t="s">
        <v>818</v>
      </c>
      <c r="E225">
        <v>22</v>
      </c>
      <c r="F225" t="b" cm="1">
        <f t="array" ref="F225">IFERROR(OR(_xlfn._xlws.FILTER(Table6[companyid FILTER],Table6[companyid]=Table1[[#This Row],[companyid]])),FALSE)</f>
        <v>1</v>
      </c>
      <c r="G225">
        <v>58155</v>
      </c>
    </row>
    <row r="226" spans="1:7" x14ac:dyDescent="0.25">
      <c r="A226" t="s">
        <v>819</v>
      </c>
      <c r="B226" t="s">
        <v>402</v>
      </c>
      <c r="C226" t="s">
        <v>403</v>
      </c>
      <c r="D226" t="s">
        <v>448</v>
      </c>
      <c r="E226">
        <v>12</v>
      </c>
      <c r="F226" t="b" cm="1">
        <f t="array" ref="F226">IFERROR(OR(_xlfn._xlws.FILTER(Table6[companyid FILTER],Table6[companyid]=Table1[[#This Row],[companyid]])),FALSE)</f>
        <v>1</v>
      </c>
      <c r="G226">
        <v>58079</v>
      </c>
    </row>
    <row r="227" spans="1:7" x14ac:dyDescent="0.25">
      <c r="A227" t="s">
        <v>819</v>
      </c>
      <c r="B227" t="s">
        <v>820</v>
      </c>
      <c r="C227" t="s">
        <v>493</v>
      </c>
      <c r="D227" t="s">
        <v>448</v>
      </c>
      <c r="E227">
        <v>3</v>
      </c>
      <c r="F227" t="b" cm="1">
        <f t="array" ref="F227">IFERROR(OR(_xlfn._xlws.FILTER(Table6[companyid FILTER],Table6[companyid]=Table1[[#This Row],[companyid]])),FALSE)</f>
        <v>1</v>
      </c>
      <c r="G227">
        <v>58079</v>
      </c>
    </row>
    <row r="228" spans="1:7" x14ac:dyDescent="0.25">
      <c r="A228" t="s">
        <v>821</v>
      </c>
      <c r="B228" t="s">
        <v>822</v>
      </c>
      <c r="C228" t="s">
        <v>823</v>
      </c>
      <c r="D228" t="s">
        <v>824</v>
      </c>
      <c r="E228">
        <v>46</v>
      </c>
      <c r="F228" t="b" cm="1">
        <f t="array" ref="F228">IFERROR(OR(_xlfn._xlws.FILTER(Table6[companyid FILTER],Table6[companyid]=Table1[[#This Row],[companyid]])),FALSE)</f>
        <v>1</v>
      </c>
      <c r="G228">
        <v>58234</v>
      </c>
    </row>
    <row r="229" spans="1:7" x14ac:dyDescent="0.25">
      <c r="A229" t="s">
        <v>825</v>
      </c>
      <c r="B229" t="s">
        <v>826</v>
      </c>
      <c r="C229" t="s">
        <v>260</v>
      </c>
      <c r="D229" t="s">
        <v>827</v>
      </c>
      <c r="E229">
        <v>93</v>
      </c>
      <c r="F229" t="b" cm="1">
        <f t="array" ref="F229">IFERROR(OR(_xlfn._xlws.FILTER(Table6[companyid FILTER],Table6[companyid]=Table1[[#This Row],[companyid]])),FALSE)</f>
        <v>1</v>
      </c>
      <c r="G229">
        <v>58227</v>
      </c>
    </row>
    <row r="230" spans="1:7" x14ac:dyDescent="0.25">
      <c r="A230" t="s">
        <v>828</v>
      </c>
      <c r="B230" t="s">
        <v>829</v>
      </c>
      <c r="C230" t="s">
        <v>366</v>
      </c>
      <c r="D230" t="s">
        <v>830</v>
      </c>
      <c r="E230">
        <v>14</v>
      </c>
      <c r="F230" t="b" cm="1">
        <f t="array" ref="F230">IFERROR(OR(_xlfn._xlws.FILTER(Table6[companyid FILTER],Table6[companyid]=Table1[[#This Row],[companyid]])),FALSE)</f>
        <v>1</v>
      </c>
      <c r="G230">
        <v>58246</v>
      </c>
    </row>
    <row r="231" spans="1:7" x14ac:dyDescent="0.25">
      <c r="A231" t="s">
        <v>828</v>
      </c>
      <c r="B231" t="s">
        <v>829</v>
      </c>
      <c r="C231" t="s">
        <v>366</v>
      </c>
      <c r="D231" t="s">
        <v>831</v>
      </c>
      <c r="E231">
        <v>8</v>
      </c>
      <c r="F231" t="b" cm="1">
        <f t="array" ref="F231">IFERROR(OR(_xlfn._xlws.FILTER(Table6[companyid FILTER],Table6[companyid]=Table1[[#This Row],[companyid]])),FALSE)</f>
        <v>1</v>
      </c>
      <c r="G231">
        <v>58246</v>
      </c>
    </row>
    <row r="232" spans="1:7" x14ac:dyDescent="0.25">
      <c r="A232" t="s">
        <v>832</v>
      </c>
      <c r="B232" t="s">
        <v>833</v>
      </c>
      <c r="C232" t="s">
        <v>834</v>
      </c>
      <c r="D232" t="s">
        <v>835</v>
      </c>
      <c r="E232">
        <v>52</v>
      </c>
      <c r="F232" t="b" cm="1">
        <f t="array" ref="F232">IFERROR(OR(_xlfn._xlws.FILTER(Table6[companyid FILTER],Table6[companyid]=Table1[[#This Row],[companyid]])),FALSE)</f>
        <v>1</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240</v>
      </c>
      <c r="B1" s="97" t="s">
        <v>155</v>
      </c>
      <c r="C1" s="89" t="s">
        <v>156</v>
      </c>
      <c r="D1" s="93" t="s">
        <v>157</v>
      </c>
      <c r="E1" s="93" t="s">
        <v>158</v>
      </c>
      <c r="F1" s="1" t="s">
        <v>836</v>
      </c>
      <c r="G1" s="97" t="s">
        <v>837</v>
      </c>
      <c r="H1" s="89" t="s">
        <v>838</v>
      </c>
      <c r="I1" s="89" t="s">
        <v>839</v>
      </c>
      <c r="J1" s="89" t="s">
        <v>840</v>
      </c>
      <c r="K1" s="1" t="s">
        <v>841</v>
      </c>
      <c r="L1" s="1" t="s">
        <v>842</v>
      </c>
      <c r="M1" s="1" t="s">
        <v>843</v>
      </c>
      <c r="N1" s="1" t="s">
        <v>844</v>
      </c>
      <c r="O1" s="1" t="s">
        <v>845</v>
      </c>
    </row>
    <row r="2" spans="1:47" ht="15.75" thickTop="1" x14ac:dyDescent="0.25">
      <c r="A2">
        <v>57072</v>
      </c>
      <c r="B2" t="s">
        <v>885</v>
      </c>
      <c r="C2" t="s">
        <v>946</v>
      </c>
      <c r="D2" s="38">
        <v>2002</v>
      </c>
      <c r="E2" s="95" t="s">
        <v>947</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885</v>
      </c>
      <c r="C3" t="s">
        <v>879</v>
      </c>
      <c r="D3" s="38" t="s">
        <v>880</v>
      </c>
      <c r="E3" s="95" t="s">
        <v>1091</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885</v>
      </c>
      <c r="C4" t="s">
        <v>879</v>
      </c>
      <c r="D4" s="38" t="s">
        <v>1070</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885</v>
      </c>
      <c r="C5" t="s">
        <v>879</v>
      </c>
      <c r="D5" s="38" t="s">
        <v>1070</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885</v>
      </c>
      <c r="C6" t="s">
        <v>854</v>
      </c>
      <c r="D6" s="38" t="s">
        <v>925</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846</v>
      </c>
      <c r="C7" t="s">
        <v>851</v>
      </c>
      <c r="D7" s="38" t="s">
        <v>852</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846</v>
      </c>
      <c r="C8" t="s">
        <v>851</v>
      </c>
      <c r="D8" s="38" t="s">
        <v>852</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846</v>
      </c>
      <c r="C9" t="s">
        <v>851</v>
      </c>
      <c r="D9" s="38" t="s">
        <v>852</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885</v>
      </c>
      <c r="C10" t="s">
        <v>854</v>
      </c>
      <c r="D10" s="38" t="s">
        <v>912</v>
      </c>
      <c r="E10" s="94" t="s">
        <v>916</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885</v>
      </c>
      <c r="C11" t="s">
        <v>1007</v>
      </c>
      <c r="D11" s="38" t="s">
        <v>1009</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846</v>
      </c>
      <c r="C12" t="s">
        <v>851</v>
      </c>
      <c r="D12" s="38" t="s">
        <v>852</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885</v>
      </c>
      <c r="C13" t="s">
        <v>896</v>
      </c>
      <c r="D13" s="38" t="s">
        <v>852</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885</v>
      </c>
      <c r="C14" t="s">
        <v>854</v>
      </c>
      <c r="D14" s="38" t="s">
        <v>918</v>
      </c>
      <c r="E14" s="95" t="s">
        <v>919</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846</v>
      </c>
      <c r="C15" t="s">
        <v>854</v>
      </c>
      <c r="D15" s="38" t="s">
        <v>855</v>
      </c>
      <c r="E15" s="95" t="s">
        <v>856</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846</v>
      </c>
      <c r="C16" t="s">
        <v>854</v>
      </c>
      <c r="D16" s="38" t="s">
        <v>855</v>
      </c>
      <c r="E16" s="95" t="s">
        <v>868</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885</v>
      </c>
      <c r="C17" t="s">
        <v>879</v>
      </c>
      <c r="D17" s="38" t="s">
        <v>1036</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885</v>
      </c>
      <c r="C18" t="s">
        <v>937</v>
      </c>
      <c r="D18" s="38" t="s">
        <v>939</v>
      </c>
      <c r="E18" s="95" t="s">
        <v>940</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885</v>
      </c>
      <c r="C19" t="s">
        <v>1005</v>
      </c>
      <c r="D19" s="38" t="s">
        <v>880</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885</v>
      </c>
      <c r="C20" t="s">
        <v>879</v>
      </c>
      <c r="D20" s="38" t="s">
        <v>1034</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885</v>
      </c>
      <c r="C21" t="s">
        <v>879</v>
      </c>
      <c r="D21" s="38" t="s">
        <v>880</v>
      </c>
      <c r="E21" s="95" t="s">
        <v>1093</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885</v>
      </c>
      <c r="C22" t="s">
        <v>1020</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846</v>
      </c>
      <c r="C23" t="s">
        <v>854</v>
      </c>
      <c r="D23" s="38" t="s">
        <v>855</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885</v>
      </c>
      <c r="C24" t="s">
        <v>954</v>
      </c>
      <c r="D24" s="38" t="s">
        <v>960</v>
      </c>
      <c r="E24" s="95" t="s">
        <v>961</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885</v>
      </c>
      <c r="C25" t="s">
        <v>1012</v>
      </c>
      <c r="D25" s="38" t="s">
        <v>1013</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885</v>
      </c>
      <c r="C26" t="s">
        <v>879</v>
      </c>
      <c r="D26" s="38" t="s">
        <v>902</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885</v>
      </c>
      <c r="C27" t="s">
        <v>879</v>
      </c>
      <c r="D27" s="38" t="s">
        <v>880</v>
      </c>
      <c r="E27" s="95" t="s">
        <v>1090</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885</v>
      </c>
      <c r="C28" t="s">
        <v>879</v>
      </c>
      <c r="D28" s="38" t="s">
        <v>1059</v>
      </c>
      <c r="E28" s="95" t="s">
        <v>1062</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885</v>
      </c>
      <c r="C29" t="s">
        <v>1025</v>
      </c>
      <c r="D29" s="38" t="s">
        <v>1026</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846</v>
      </c>
      <c r="C30" t="s">
        <v>854</v>
      </c>
      <c r="D30" s="38" t="s">
        <v>855</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846</v>
      </c>
      <c r="C31" t="s">
        <v>854</v>
      </c>
      <c r="D31" s="38" t="s">
        <v>855</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846</v>
      </c>
      <c r="C32" t="s">
        <v>854</v>
      </c>
      <c r="D32" s="38" t="s">
        <v>855</v>
      </c>
      <c r="E32" s="95" t="s">
        <v>862</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885</v>
      </c>
      <c r="C33" t="s">
        <v>854</v>
      </c>
      <c r="D33" s="38" t="s">
        <v>920</v>
      </c>
      <c r="E33" s="95" t="s">
        <v>924</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885</v>
      </c>
      <c r="C34" t="s">
        <v>963</v>
      </c>
      <c r="D34" s="38" t="s">
        <v>967</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885</v>
      </c>
      <c r="C35" t="s">
        <v>963</v>
      </c>
      <c r="D35" s="38" t="s">
        <v>968</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885</v>
      </c>
      <c r="C36" t="s">
        <v>963</v>
      </c>
      <c r="D36" s="38" t="s">
        <v>972</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885</v>
      </c>
      <c r="C37" t="s">
        <v>963</v>
      </c>
      <c r="D37" s="38" t="s">
        <v>972</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885</v>
      </c>
      <c r="C38" t="s">
        <v>879</v>
      </c>
      <c r="D38" s="38">
        <v>574</v>
      </c>
      <c r="E38" s="95" t="s">
        <v>1032</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846</v>
      </c>
      <c r="C39" t="s">
        <v>854</v>
      </c>
      <c r="D39" s="38" t="s">
        <v>855</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885</v>
      </c>
      <c r="C40" t="s">
        <v>1014</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846</v>
      </c>
      <c r="C41" t="s">
        <v>851</v>
      </c>
      <c r="D41" s="38" t="s">
        <v>853</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846</v>
      </c>
      <c r="C42" t="s">
        <v>854</v>
      </c>
      <c r="D42" s="38" t="s">
        <v>855</v>
      </c>
      <c r="E42" s="95" t="s">
        <v>862</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846</v>
      </c>
      <c r="C43" t="s">
        <v>879</v>
      </c>
      <c r="D43" s="38" t="s">
        <v>884</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885</v>
      </c>
      <c r="C44" t="s">
        <v>847</v>
      </c>
      <c r="D44" s="38" t="s">
        <v>893</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885</v>
      </c>
      <c r="C45" t="s">
        <v>963</v>
      </c>
      <c r="D45" s="38" t="s">
        <v>967</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885</v>
      </c>
      <c r="C46" t="s">
        <v>963</v>
      </c>
      <c r="D46" s="38" t="s">
        <v>967</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885</v>
      </c>
      <c r="C47" t="s">
        <v>963</v>
      </c>
      <c r="D47" s="38" t="s">
        <v>967</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885</v>
      </c>
      <c r="C48" t="s">
        <v>1025</v>
      </c>
      <c r="D48" s="38" t="s">
        <v>1026</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885</v>
      </c>
      <c r="C49" t="s">
        <v>1025</v>
      </c>
      <c r="D49" s="38" t="s">
        <v>1026</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885</v>
      </c>
      <c r="C50" t="s">
        <v>1025</v>
      </c>
      <c r="D50" s="38" t="s">
        <v>1026</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885</v>
      </c>
      <c r="C51" t="s">
        <v>1025</v>
      </c>
      <c r="D51" s="38" t="s">
        <v>1026</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885</v>
      </c>
      <c r="C52" t="s">
        <v>879</v>
      </c>
      <c r="D52" s="38" t="s">
        <v>1039</v>
      </c>
      <c r="E52" s="95" t="s">
        <v>1040</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885</v>
      </c>
      <c r="C53" t="s">
        <v>879</v>
      </c>
      <c r="D53" s="38" t="s">
        <v>1039</v>
      </c>
      <c r="E53" s="95" t="s">
        <v>1041</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885</v>
      </c>
      <c r="C54" t="s">
        <v>879</v>
      </c>
      <c r="D54" s="38" t="s">
        <v>1046</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885</v>
      </c>
      <c r="C55" t="s">
        <v>879</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885</v>
      </c>
      <c r="C56" t="s">
        <v>990</v>
      </c>
      <c r="D56" s="38" t="s">
        <v>880</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885</v>
      </c>
      <c r="C57" t="s">
        <v>879</v>
      </c>
      <c r="D57" s="38" t="s">
        <v>1102</v>
      </c>
      <c r="E57" s="95" t="s">
        <v>1103</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885</v>
      </c>
      <c r="C58" t="s">
        <v>854</v>
      </c>
      <c r="D58" s="38" t="s">
        <v>920</v>
      </c>
      <c r="E58" s="95" t="s">
        <v>922</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885</v>
      </c>
      <c r="C59" t="s">
        <v>854</v>
      </c>
      <c r="D59" s="38" t="s">
        <v>920</v>
      </c>
      <c r="E59" s="95" t="s">
        <v>923</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885</v>
      </c>
      <c r="C60" t="s">
        <v>854</v>
      </c>
      <c r="D60" s="38" t="s">
        <v>932</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885</v>
      </c>
      <c r="C61" t="s">
        <v>963</v>
      </c>
      <c r="D61" s="38" t="s">
        <v>988</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885</v>
      </c>
      <c r="C62" t="s">
        <v>879</v>
      </c>
      <c r="D62" s="38" t="s">
        <v>902</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885</v>
      </c>
      <c r="C63" t="s">
        <v>963</v>
      </c>
      <c r="D63" s="38" t="s">
        <v>984</v>
      </c>
      <c r="E63" s="95" t="s">
        <v>985</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885</v>
      </c>
      <c r="C64" t="s">
        <v>963</v>
      </c>
      <c r="D64" s="38" t="s">
        <v>987</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885</v>
      </c>
      <c r="C65" t="s">
        <v>847</v>
      </c>
      <c r="D65" s="38" t="s">
        <v>892</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885</v>
      </c>
      <c r="C66" t="s">
        <v>879</v>
      </c>
      <c r="D66" s="38" t="s">
        <v>1116</v>
      </c>
      <c r="E66" s="95" t="s">
        <v>1115</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885</v>
      </c>
      <c r="C67" t="s">
        <v>879</v>
      </c>
      <c r="D67" s="38" t="s">
        <v>1099</v>
      </c>
      <c r="E67" s="95" t="s">
        <v>1100</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846</v>
      </c>
      <c r="C68" t="s">
        <v>854</v>
      </c>
      <c r="D68" s="38" t="s">
        <v>855</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885</v>
      </c>
      <c r="C69" t="s">
        <v>953</v>
      </c>
      <c r="D69" s="38" t="s">
        <v>953</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885</v>
      </c>
      <c r="C70" t="s">
        <v>879</v>
      </c>
      <c r="D70" s="38" t="s">
        <v>1071</v>
      </c>
      <c r="E70" s="95" t="s">
        <v>1072</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885</v>
      </c>
      <c r="C71" t="s">
        <v>886</v>
      </c>
      <c r="D71" s="38" t="s">
        <v>880</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885</v>
      </c>
      <c r="C72" t="s">
        <v>1014</v>
      </c>
      <c r="D72" s="38">
        <v>6814</v>
      </c>
      <c r="E72" s="95" t="s">
        <v>1018</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885</v>
      </c>
      <c r="C73" t="s">
        <v>1014</v>
      </c>
      <c r="D73" s="38">
        <v>6814</v>
      </c>
      <c r="E73" s="95" t="s">
        <v>1019</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885</v>
      </c>
      <c r="C74" t="s">
        <v>879</v>
      </c>
      <c r="D74" s="38" t="s">
        <v>1059</v>
      </c>
      <c r="E74" s="95" t="s">
        <v>1067</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885</v>
      </c>
      <c r="C75" t="s">
        <v>879</v>
      </c>
      <c r="D75" s="38" t="s">
        <v>1081</v>
      </c>
      <c r="E75" s="95" t="s">
        <v>1082</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885</v>
      </c>
      <c r="C76" t="s">
        <v>879</v>
      </c>
      <c r="D76" s="38">
        <v>500</v>
      </c>
      <c r="E76" s="95" t="s">
        <v>1030</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885</v>
      </c>
      <c r="C77" t="s">
        <v>879</v>
      </c>
      <c r="D77" s="38">
        <v>4</v>
      </c>
      <c r="E77" s="95" t="s">
        <v>1029</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885</v>
      </c>
      <c r="C78" t="s">
        <v>879</v>
      </c>
      <c r="D78" s="38" t="s">
        <v>1046</v>
      </c>
      <c r="E78" s="95" t="s">
        <v>1048</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885</v>
      </c>
      <c r="C79" t="s">
        <v>954</v>
      </c>
      <c r="D79" s="38" t="s">
        <v>955</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885</v>
      </c>
      <c r="C80" t="s">
        <v>879</v>
      </c>
      <c r="D80" s="38" t="s">
        <v>1059</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885</v>
      </c>
      <c r="C81" t="s">
        <v>879</v>
      </c>
      <c r="D81" s="38" t="s">
        <v>1059</v>
      </c>
      <c r="E81" s="95" t="s">
        <v>1065</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885</v>
      </c>
      <c r="C82" t="s">
        <v>854</v>
      </c>
      <c r="D82" s="38" t="s">
        <v>928</v>
      </c>
      <c r="E82" s="95" t="s">
        <v>929</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885</v>
      </c>
      <c r="C83" t="s">
        <v>854</v>
      </c>
      <c r="D83" s="38" t="s">
        <v>902</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885</v>
      </c>
      <c r="C84" t="s">
        <v>879</v>
      </c>
      <c r="D84" s="38" t="s">
        <v>1095</v>
      </c>
      <c r="E84" s="95" t="s">
        <v>1096</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885</v>
      </c>
      <c r="C85" t="s">
        <v>854</v>
      </c>
      <c r="D85" s="38" t="s">
        <v>918</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885</v>
      </c>
      <c r="C86" t="s">
        <v>992</v>
      </c>
      <c r="D86" s="38" t="s">
        <v>993</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885</v>
      </c>
      <c r="C87" t="s">
        <v>879</v>
      </c>
      <c r="D87" s="38" t="s">
        <v>1099</v>
      </c>
      <c r="E87" s="95" t="s">
        <v>1101</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885</v>
      </c>
      <c r="C88" t="s">
        <v>885</v>
      </c>
      <c r="D88" s="38" t="s">
        <v>880</v>
      </c>
      <c r="E88" s="95" t="s">
        <v>1006</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885</v>
      </c>
      <c r="C89" t="s">
        <v>1010</v>
      </c>
      <c r="D89" s="38" t="s">
        <v>952</v>
      </c>
      <c r="E89" s="95" t="s">
        <v>1011</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846</v>
      </c>
      <c r="C90" t="s">
        <v>854</v>
      </c>
      <c r="D90" s="38" t="s">
        <v>855</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846</v>
      </c>
      <c r="C91" t="s">
        <v>854</v>
      </c>
      <c r="D91" s="38" t="s">
        <v>855</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885</v>
      </c>
      <c r="C92" t="s">
        <v>899</v>
      </c>
      <c r="D92" s="38" t="s">
        <v>880</v>
      </c>
      <c r="E92" s="95" t="s">
        <v>900</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885</v>
      </c>
      <c r="C93" t="s">
        <v>879</v>
      </c>
      <c r="D93" s="38" t="s">
        <v>1055</v>
      </c>
      <c r="E93" s="95" t="s">
        <v>1056</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885</v>
      </c>
      <c r="C94" t="s">
        <v>879</v>
      </c>
      <c r="D94" s="38" t="s">
        <v>880</v>
      </c>
      <c r="E94" s="95" t="s">
        <v>1092</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885</v>
      </c>
      <c r="C95" t="s">
        <v>879</v>
      </c>
      <c r="D95" s="38" t="s">
        <v>1087</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885</v>
      </c>
      <c r="C96" t="s">
        <v>879</v>
      </c>
      <c r="D96" s="38" t="s">
        <v>902</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885</v>
      </c>
      <c r="C97" t="s">
        <v>879</v>
      </c>
      <c r="D97" s="38" t="s">
        <v>1059</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885</v>
      </c>
      <c r="C98" t="s">
        <v>879</v>
      </c>
      <c r="D98" s="38" t="s">
        <v>1059</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846</v>
      </c>
      <c r="C99" t="s">
        <v>877</v>
      </c>
      <c r="D99" s="38" t="s">
        <v>878</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885</v>
      </c>
      <c r="C100" t="s">
        <v>879</v>
      </c>
      <c r="D100" s="38" t="s">
        <v>1059</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885</v>
      </c>
      <c r="C101" t="s">
        <v>879</v>
      </c>
      <c r="D101" s="38" t="s">
        <v>1097</v>
      </c>
      <c r="E101" s="95" t="s">
        <v>1098</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846</v>
      </c>
      <c r="C102" t="s">
        <v>854</v>
      </c>
      <c r="D102" s="38" t="s">
        <v>855</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846</v>
      </c>
      <c r="C103" t="s">
        <v>854</v>
      </c>
      <c r="D103" s="38" t="s">
        <v>855</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846</v>
      </c>
      <c r="C104" t="s">
        <v>854</v>
      </c>
      <c r="D104" s="38" t="s">
        <v>855</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846</v>
      </c>
      <c r="C105" t="s">
        <v>854</v>
      </c>
      <c r="D105" s="38" t="s">
        <v>870</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846</v>
      </c>
      <c r="C106" t="s">
        <v>877</v>
      </c>
      <c r="D106" s="38" t="s">
        <v>878</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885</v>
      </c>
      <c r="C107" t="s">
        <v>854</v>
      </c>
      <c r="D107" s="38" t="s">
        <v>870</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885</v>
      </c>
      <c r="C108" t="s">
        <v>1112</v>
      </c>
      <c r="D108" s="38" t="s">
        <v>1113</v>
      </c>
      <c r="E108" s="95" t="s">
        <v>1114</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885</v>
      </c>
      <c r="C109" t="s">
        <v>963</v>
      </c>
      <c r="D109" s="38" t="s">
        <v>964</v>
      </c>
      <c r="E109" s="95" t="s">
        <v>966</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846</v>
      </c>
      <c r="C110" t="s">
        <v>851</v>
      </c>
      <c r="D110" s="38" t="s">
        <v>852</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846</v>
      </c>
      <c r="C111" t="s">
        <v>854</v>
      </c>
      <c r="D111" s="38" t="s">
        <v>855</v>
      </c>
      <c r="E111" s="95" t="s">
        <v>857</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885</v>
      </c>
      <c r="C112" t="s">
        <v>879</v>
      </c>
      <c r="D112" s="38" t="s">
        <v>1059</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885</v>
      </c>
      <c r="C113" t="s">
        <v>886</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846</v>
      </c>
      <c r="C114" t="s">
        <v>849</v>
      </c>
      <c r="D114" s="38" t="s">
        <v>850</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846</v>
      </c>
      <c r="C115" t="s">
        <v>851</v>
      </c>
      <c r="D115" s="38" t="s">
        <v>853</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885</v>
      </c>
      <c r="C116" t="s">
        <v>963</v>
      </c>
      <c r="D116" s="38" t="s">
        <v>964</v>
      </c>
      <c r="E116" s="95" t="s">
        <v>965</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885</v>
      </c>
      <c r="C117" t="s">
        <v>963</v>
      </c>
      <c r="D117" s="38" t="s">
        <v>973</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885</v>
      </c>
      <c r="C118" t="s">
        <v>963</v>
      </c>
      <c r="D118" s="38" t="s">
        <v>988</v>
      </c>
      <c r="E118" s="95" t="s">
        <v>989</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846</v>
      </c>
      <c r="C119" t="s">
        <v>851</v>
      </c>
      <c r="D119" s="38" t="s">
        <v>853</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846</v>
      </c>
      <c r="C120" t="s">
        <v>854</v>
      </c>
      <c r="D120" s="38" t="s">
        <v>855</v>
      </c>
      <c r="E120" s="95" t="s">
        <v>859</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885</v>
      </c>
      <c r="C121" t="s">
        <v>854</v>
      </c>
      <c r="D121" s="38" t="s">
        <v>905</v>
      </c>
      <c r="E121" s="95" t="s">
        <v>908</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846</v>
      </c>
      <c r="C122" t="s">
        <v>854</v>
      </c>
      <c r="D122" s="38" t="s">
        <v>855</v>
      </c>
      <c r="E122" s="95" t="s">
        <v>861</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846</v>
      </c>
      <c r="C123" t="s">
        <v>854</v>
      </c>
      <c r="D123" s="38" t="s">
        <v>855</v>
      </c>
      <c r="E123" s="95" t="s">
        <v>866</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885</v>
      </c>
      <c r="C124" t="s">
        <v>849</v>
      </c>
      <c r="D124" s="38" t="s">
        <v>894</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885</v>
      </c>
      <c r="C125" t="s">
        <v>854</v>
      </c>
      <c r="D125" s="38" t="s">
        <v>918</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885</v>
      </c>
      <c r="C126" t="s">
        <v>879</v>
      </c>
      <c r="D126" s="38" t="s">
        <v>902</v>
      </c>
      <c r="E126" s="95" t="s">
        <v>1043</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885</v>
      </c>
      <c r="C127" t="s">
        <v>879</v>
      </c>
      <c r="D127" s="38" t="s">
        <v>1059</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885</v>
      </c>
      <c r="C128" t="s">
        <v>879</v>
      </c>
      <c r="D128" s="38" t="s">
        <v>880</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885</v>
      </c>
      <c r="C129" t="s">
        <v>879</v>
      </c>
      <c r="D129" s="38" t="s">
        <v>1049</v>
      </c>
      <c r="E129" s="95" t="s">
        <v>1050</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885</v>
      </c>
      <c r="C130" t="s">
        <v>854</v>
      </c>
      <c r="D130" s="38" t="s">
        <v>903</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885</v>
      </c>
      <c r="C131" t="s">
        <v>879</v>
      </c>
      <c r="D131" s="38" t="s">
        <v>1069</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846</v>
      </c>
      <c r="C132" t="s">
        <v>854</v>
      </c>
      <c r="D132" s="38" t="s">
        <v>855</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846</v>
      </c>
      <c r="C133" t="s">
        <v>854</v>
      </c>
      <c r="D133" s="38" t="s">
        <v>870</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885</v>
      </c>
      <c r="C134" t="s">
        <v>854</v>
      </c>
      <c r="D134" s="38" t="s">
        <v>912</v>
      </c>
      <c r="E134" s="94" t="s">
        <v>913</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885</v>
      </c>
      <c r="C135" t="s">
        <v>954</v>
      </c>
      <c r="D135" s="38" t="s">
        <v>956</v>
      </c>
      <c r="E135" s="95" t="s">
        <v>957</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846</v>
      </c>
      <c r="C136" t="s">
        <v>854</v>
      </c>
      <c r="D136" s="38" t="s">
        <v>855</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885</v>
      </c>
      <c r="C137" t="s">
        <v>854</v>
      </c>
      <c r="D137" s="38" t="s">
        <v>870</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885</v>
      </c>
      <c r="C138" t="s">
        <v>941</v>
      </c>
      <c r="D138" s="38" t="s">
        <v>942</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885</v>
      </c>
      <c r="C139" t="s">
        <v>992</v>
      </c>
      <c r="D139" s="38" t="s">
        <v>997</v>
      </c>
      <c r="E139" s="95" t="s">
        <v>998</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885</v>
      </c>
      <c r="C140" t="s">
        <v>992</v>
      </c>
      <c r="D140" s="38" t="s">
        <v>997</v>
      </c>
      <c r="E140" s="95" t="s">
        <v>999</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885</v>
      </c>
      <c r="C141" t="s">
        <v>879</v>
      </c>
      <c r="D141" s="38" t="s">
        <v>1069</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885</v>
      </c>
      <c r="C142" t="s">
        <v>854</v>
      </c>
      <c r="D142" s="38" t="s">
        <v>930</v>
      </c>
      <c r="E142" s="95" t="s">
        <v>931</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885</v>
      </c>
      <c r="C143" t="s">
        <v>1104</v>
      </c>
      <c r="D143" s="38" t="s">
        <v>1107</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885</v>
      </c>
      <c r="C144" t="s">
        <v>943</v>
      </c>
      <c r="D144" s="38" t="s">
        <v>945</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885</v>
      </c>
      <c r="C145" t="s">
        <v>954</v>
      </c>
      <c r="D145" s="38" t="s">
        <v>962</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885</v>
      </c>
      <c r="C146" t="s">
        <v>879</v>
      </c>
      <c r="D146" s="38" t="s">
        <v>1053</v>
      </c>
      <c r="E146" s="95" t="s">
        <v>1054</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885</v>
      </c>
      <c r="C147" t="s">
        <v>879</v>
      </c>
      <c r="D147" s="38">
        <v>2000</v>
      </c>
      <c r="E147" s="95" t="s">
        <v>1033</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885</v>
      </c>
      <c r="C148" t="s">
        <v>933</v>
      </c>
      <c r="D148" s="38" t="s">
        <v>934</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885</v>
      </c>
      <c r="C149" t="s">
        <v>854</v>
      </c>
      <c r="D149" s="38" t="s">
        <v>901</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885</v>
      </c>
      <c r="C150" t="s">
        <v>963</v>
      </c>
      <c r="D150" s="38" t="s">
        <v>979</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885</v>
      </c>
      <c r="C151" t="s">
        <v>879</v>
      </c>
      <c r="D151" s="38" t="s">
        <v>1059</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885</v>
      </c>
      <c r="C152" t="s">
        <v>854</v>
      </c>
      <c r="D152" s="38" t="s">
        <v>901</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885</v>
      </c>
      <c r="C153" t="s">
        <v>954</v>
      </c>
      <c r="D153" s="38" t="s">
        <v>958</v>
      </c>
      <c r="E153" s="95" t="s">
        <v>959</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885</v>
      </c>
      <c r="C154" t="s">
        <v>963</v>
      </c>
      <c r="D154" s="38" t="s">
        <v>979</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885</v>
      </c>
      <c r="C155" t="s">
        <v>854</v>
      </c>
      <c r="D155" s="38" t="s">
        <v>904</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885</v>
      </c>
      <c r="C156" t="s">
        <v>879</v>
      </c>
      <c r="D156" s="38" t="s">
        <v>1068</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885</v>
      </c>
      <c r="D157" s="38" t="s">
        <v>952</v>
      </c>
      <c r="E157" s="95" t="s">
        <v>1111</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885</v>
      </c>
      <c r="C158" t="s">
        <v>879</v>
      </c>
      <c r="D158" s="38" t="s">
        <v>1073</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885</v>
      </c>
      <c r="C159" t="s">
        <v>879</v>
      </c>
      <c r="D159" s="38" t="s">
        <v>1059</v>
      </c>
      <c r="E159" s="95" t="s">
        <v>1066</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885</v>
      </c>
      <c r="C160" t="s">
        <v>992</v>
      </c>
      <c r="D160" s="38" t="s">
        <v>880</v>
      </c>
      <c r="E160" s="95" t="s">
        <v>994</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885</v>
      </c>
      <c r="C161" t="s">
        <v>992</v>
      </c>
      <c r="D161" s="38" t="s">
        <v>880</v>
      </c>
      <c r="E161" s="95" t="s">
        <v>995</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885</v>
      </c>
      <c r="C162" t="s">
        <v>1021</v>
      </c>
      <c r="D162" s="38" t="s">
        <v>1022</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885</v>
      </c>
      <c r="C163" t="s">
        <v>1002</v>
      </c>
      <c r="D163" s="38" t="s">
        <v>1004</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846</v>
      </c>
      <c r="C164" t="s">
        <v>847</v>
      </c>
      <c r="D164" s="38" t="s">
        <v>848</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885</v>
      </c>
      <c r="C165" t="s">
        <v>847</v>
      </c>
      <c r="D165" s="38" t="s">
        <v>893</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885</v>
      </c>
      <c r="C166" t="s">
        <v>854</v>
      </c>
      <c r="D166" s="38" t="s">
        <v>920</v>
      </c>
      <c r="E166" s="95" t="s">
        <v>921</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885</v>
      </c>
      <c r="C167" t="s">
        <v>963</v>
      </c>
      <c r="D167" s="38" t="s">
        <v>967</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885</v>
      </c>
      <c r="C168" t="s">
        <v>963</v>
      </c>
      <c r="D168" s="38" t="s">
        <v>967</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885</v>
      </c>
      <c r="C169" t="s">
        <v>963</v>
      </c>
      <c r="D169" s="38" t="s">
        <v>973</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885</v>
      </c>
      <c r="C170" t="s">
        <v>963</v>
      </c>
      <c r="D170" s="38" t="s">
        <v>988</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885</v>
      </c>
      <c r="C171" t="s">
        <v>963</v>
      </c>
      <c r="D171" s="38" t="s">
        <v>988</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885</v>
      </c>
      <c r="C172" t="s">
        <v>963</v>
      </c>
      <c r="D172" s="38" t="s">
        <v>988</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846</v>
      </c>
      <c r="C173" t="s">
        <v>854</v>
      </c>
      <c r="D173" s="38" t="s">
        <v>855</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885</v>
      </c>
      <c r="C174" t="s">
        <v>854</v>
      </c>
      <c r="D174" s="38" t="s">
        <v>855</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885</v>
      </c>
      <c r="C175" t="s">
        <v>963</v>
      </c>
      <c r="D175" s="38" t="s">
        <v>988</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885</v>
      </c>
      <c r="C176" t="s">
        <v>963</v>
      </c>
      <c r="D176" s="38" t="s">
        <v>988</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885</v>
      </c>
      <c r="C177" t="s">
        <v>963</v>
      </c>
      <c r="D177" s="38" t="s">
        <v>988</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885</v>
      </c>
      <c r="C178" t="s">
        <v>963</v>
      </c>
      <c r="D178" s="38" t="s">
        <v>988</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885</v>
      </c>
      <c r="C179" t="s">
        <v>951</v>
      </c>
      <c r="D179" s="38" t="s">
        <v>952</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885</v>
      </c>
      <c r="C180" t="s">
        <v>1014</v>
      </c>
      <c r="D180" s="38">
        <v>3817</v>
      </c>
      <c r="E180" s="95" t="s">
        <v>1016</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885</v>
      </c>
      <c r="C181" t="s">
        <v>1002</v>
      </c>
      <c r="D181" s="38" t="s">
        <v>1003</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885</v>
      </c>
      <c r="C182" t="s">
        <v>879</v>
      </c>
      <c r="D182" s="38" t="s">
        <v>902</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885</v>
      </c>
      <c r="C183" t="s">
        <v>1104</v>
      </c>
      <c r="D183" s="38" t="s">
        <v>1055</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885</v>
      </c>
      <c r="C184" t="s">
        <v>879</v>
      </c>
      <c r="D184" s="38" t="s">
        <v>1074</v>
      </c>
      <c r="E184" s="95" t="s">
        <v>1075</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885</v>
      </c>
      <c r="C185" t="s">
        <v>854</v>
      </c>
      <c r="D185" s="38" t="s">
        <v>903</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885</v>
      </c>
      <c r="C186" t="s">
        <v>879</v>
      </c>
      <c r="D186" s="38" t="s">
        <v>1059</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885</v>
      </c>
      <c r="C187" t="s">
        <v>963</v>
      </c>
      <c r="D187" s="38" t="s">
        <v>988</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885</v>
      </c>
      <c r="C188" t="s">
        <v>963</v>
      </c>
      <c r="D188" s="38" t="s">
        <v>967</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885</v>
      </c>
      <c r="C189" t="s">
        <v>879</v>
      </c>
      <c r="D189" s="38" t="s">
        <v>1046</v>
      </c>
      <c r="E189" s="95" t="s">
        <v>1047</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885</v>
      </c>
      <c r="C190" t="s">
        <v>854</v>
      </c>
      <c r="D190" s="38" t="s">
        <v>918</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885</v>
      </c>
      <c r="C191" t="s">
        <v>854</v>
      </c>
      <c r="D191" s="38" t="s">
        <v>905</v>
      </c>
      <c r="E191" s="95" t="s">
        <v>906</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885</v>
      </c>
      <c r="C192" t="s">
        <v>854</v>
      </c>
      <c r="D192" s="38" t="s">
        <v>905</v>
      </c>
      <c r="E192" s="95" t="s">
        <v>907</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885</v>
      </c>
      <c r="C193" t="s">
        <v>879</v>
      </c>
      <c r="D193" s="38" t="s">
        <v>1059</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846</v>
      </c>
      <c r="C194" t="s">
        <v>854</v>
      </c>
      <c r="D194" s="38" t="s">
        <v>855</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846</v>
      </c>
      <c r="C195" t="s">
        <v>854</v>
      </c>
      <c r="D195" s="38" t="s">
        <v>855</v>
      </c>
      <c r="E195" s="95" t="s">
        <v>869</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885</v>
      </c>
      <c r="C196" t="s">
        <v>879</v>
      </c>
      <c r="D196" s="38" t="s">
        <v>1078</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885</v>
      </c>
      <c r="C197" t="s">
        <v>879</v>
      </c>
      <c r="D197" s="38" t="s">
        <v>880</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846</v>
      </c>
      <c r="C198" t="s">
        <v>854</v>
      </c>
      <c r="D198" s="38" t="s">
        <v>855</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846</v>
      </c>
      <c r="C199" t="s">
        <v>854</v>
      </c>
      <c r="D199" s="38" t="s">
        <v>855</v>
      </c>
      <c r="E199" s="95" t="s">
        <v>863</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846</v>
      </c>
      <c r="C200" t="s">
        <v>854</v>
      </c>
      <c r="D200" s="38" t="s">
        <v>855</v>
      </c>
      <c r="E200" s="95" t="s">
        <v>864</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846</v>
      </c>
      <c r="C201" t="s">
        <v>854</v>
      </c>
      <c r="D201" s="38" t="s">
        <v>855</v>
      </c>
      <c r="E201" s="95" t="s">
        <v>867</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885</v>
      </c>
      <c r="C202" t="s">
        <v>854</v>
      </c>
      <c r="D202" s="38" t="s">
        <v>909</v>
      </c>
      <c r="E202" s="95" t="s">
        <v>910</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885</v>
      </c>
      <c r="C203" t="s">
        <v>854</v>
      </c>
      <c r="D203" s="38" t="s">
        <v>912</v>
      </c>
      <c r="E203" s="95" t="s">
        <v>914</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885</v>
      </c>
      <c r="C204" t="s">
        <v>879</v>
      </c>
      <c r="D204" s="38" t="s">
        <v>1051</v>
      </c>
      <c r="E204" s="95" t="s">
        <v>1052</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846</v>
      </c>
      <c r="C205" t="s">
        <v>854</v>
      </c>
      <c r="D205" s="38" t="s">
        <v>855</v>
      </c>
      <c r="E205" s="95" t="s">
        <v>868</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846</v>
      </c>
      <c r="C206" t="s">
        <v>879</v>
      </c>
      <c r="D206" s="38" t="s">
        <v>880</v>
      </c>
      <c r="E206" s="95" t="s">
        <v>881</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885</v>
      </c>
      <c r="C207" t="s">
        <v>879</v>
      </c>
      <c r="D207" s="38" t="s">
        <v>902</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885</v>
      </c>
      <c r="C208" t="s">
        <v>963</v>
      </c>
      <c r="D208" s="38" t="s">
        <v>880</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885</v>
      </c>
      <c r="C209" t="s">
        <v>992</v>
      </c>
      <c r="D209" s="38" t="s">
        <v>996</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885</v>
      </c>
      <c r="C210" t="s">
        <v>879</v>
      </c>
      <c r="D210" s="38" t="s">
        <v>1059</v>
      </c>
      <c r="E210" s="95" t="s">
        <v>1061</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885</v>
      </c>
      <c r="C211" t="s">
        <v>1104</v>
      </c>
      <c r="D211" s="38" t="s">
        <v>1105</v>
      </c>
      <c r="E211" s="95" t="s">
        <v>1106</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846</v>
      </c>
      <c r="C212" t="s">
        <v>854</v>
      </c>
      <c r="D212" s="38" t="s">
        <v>855</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846</v>
      </c>
      <c r="C213" t="s">
        <v>854</v>
      </c>
      <c r="D213" s="38" t="s">
        <v>855</v>
      </c>
      <c r="E213" s="95" t="s">
        <v>865</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885</v>
      </c>
      <c r="C214" t="s">
        <v>879</v>
      </c>
      <c r="D214" s="38" t="s">
        <v>1035</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846</v>
      </c>
      <c r="C215" t="s">
        <v>851</v>
      </c>
      <c r="D215" s="38" t="s">
        <v>852</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885</v>
      </c>
      <c r="C216" t="s">
        <v>879</v>
      </c>
      <c r="D216" s="38" t="s">
        <v>1059</v>
      </c>
      <c r="E216" s="95" t="s">
        <v>1063</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885</v>
      </c>
      <c r="C217" t="s">
        <v>879</v>
      </c>
      <c r="D217" s="38" t="s">
        <v>1074</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885</v>
      </c>
      <c r="C218" t="s">
        <v>879</v>
      </c>
      <c r="D218" s="38" t="s">
        <v>1094</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846</v>
      </c>
      <c r="C219" t="s">
        <v>854</v>
      </c>
      <c r="D219" s="38" t="s">
        <v>855</v>
      </c>
      <c r="E219" s="95" t="s">
        <v>860</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885</v>
      </c>
      <c r="C220" t="s">
        <v>1014</v>
      </c>
      <c r="D220" s="38">
        <v>3814</v>
      </c>
      <c r="E220" s="95" t="s">
        <v>1015</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885</v>
      </c>
      <c r="C221" t="s">
        <v>889</v>
      </c>
      <c r="D221" s="38" t="s">
        <v>890</v>
      </c>
      <c r="E221" s="95" t="s">
        <v>891</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885</v>
      </c>
      <c r="C222" t="s">
        <v>1023</v>
      </c>
      <c r="D222" s="38" t="s">
        <v>952</v>
      </c>
      <c r="E222" s="95" t="s">
        <v>1024</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885</v>
      </c>
      <c r="C223" t="s">
        <v>851</v>
      </c>
      <c r="D223" s="38" t="s">
        <v>895</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885</v>
      </c>
      <c r="C224" t="s">
        <v>879</v>
      </c>
      <c r="D224" s="38" t="s">
        <v>1051</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885</v>
      </c>
      <c r="C225" t="s">
        <v>879</v>
      </c>
      <c r="D225" s="38" t="s">
        <v>1059</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885</v>
      </c>
      <c r="C226" t="s">
        <v>1027</v>
      </c>
      <c r="D226" s="38" t="s">
        <v>1028</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885</v>
      </c>
      <c r="C227" t="s">
        <v>935</v>
      </c>
      <c r="D227" s="38" t="s">
        <v>936</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885</v>
      </c>
      <c r="C228" t="s">
        <v>879</v>
      </c>
      <c r="D228" s="38" t="s">
        <v>1059</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885</v>
      </c>
      <c r="C229" t="s">
        <v>1000</v>
      </c>
      <c r="D229" s="38" t="s">
        <v>1001</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885</v>
      </c>
      <c r="C230" t="s">
        <v>879</v>
      </c>
      <c r="D230" s="38" t="s">
        <v>1059</v>
      </c>
      <c r="E230" s="95" t="s">
        <v>1064</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846</v>
      </c>
      <c r="C231" t="s">
        <v>854</v>
      </c>
      <c r="D231" s="38" t="s">
        <v>855</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846</v>
      </c>
      <c r="C232" t="s">
        <v>854</v>
      </c>
      <c r="D232" s="38" t="s">
        <v>855</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885</v>
      </c>
      <c r="C233" t="s">
        <v>1014</v>
      </c>
      <c r="D233" s="38" t="s">
        <v>880</v>
      </c>
      <c r="E233" s="95" t="s">
        <v>1016</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885</v>
      </c>
      <c r="C234" t="s">
        <v>1104</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885</v>
      </c>
      <c r="C235" t="s">
        <v>854</v>
      </c>
      <c r="D235" s="38" t="s">
        <v>855</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885</v>
      </c>
      <c r="C236" t="s">
        <v>879</v>
      </c>
      <c r="D236" s="38" t="s">
        <v>1087</v>
      </c>
      <c r="E236" s="95" t="s">
        <v>1088</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885</v>
      </c>
      <c r="C237" t="s">
        <v>879</v>
      </c>
      <c r="D237" s="38" t="s">
        <v>902</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885</v>
      </c>
      <c r="C238" t="s">
        <v>879</v>
      </c>
      <c r="D238" s="38" t="s">
        <v>902</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846</v>
      </c>
      <c r="C239" t="s">
        <v>871</v>
      </c>
      <c r="D239" s="38" t="s">
        <v>872</v>
      </c>
      <c r="E239" s="95" t="s">
        <v>873</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846</v>
      </c>
      <c r="C240" t="s">
        <v>871</v>
      </c>
      <c r="D240" s="38" t="s">
        <v>872</v>
      </c>
      <c r="E240" s="95" t="s">
        <v>874</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846</v>
      </c>
      <c r="C241" t="s">
        <v>875</v>
      </c>
      <c r="D241" s="38" t="s">
        <v>872</v>
      </c>
      <c r="E241" s="95" t="s">
        <v>876</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846</v>
      </c>
      <c r="C242" t="s">
        <v>879</v>
      </c>
      <c r="D242" s="38" t="s">
        <v>882</v>
      </c>
      <c r="E242" s="95" t="s">
        <v>883</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885</v>
      </c>
      <c r="C243" t="s">
        <v>946</v>
      </c>
      <c r="D243" s="38" t="s">
        <v>948</v>
      </c>
      <c r="E243" s="95" t="s">
        <v>950</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885</v>
      </c>
      <c r="C244" t="s">
        <v>963</v>
      </c>
      <c r="D244" s="38" t="s">
        <v>964</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885</v>
      </c>
      <c r="C245" t="s">
        <v>963</v>
      </c>
      <c r="D245" s="38" t="s">
        <v>964</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885</v>
      </c>
      <c r="C246" t="s">
        <v>963</v>
      </c>
      <c r="D246" s="38" t="s">
        <v>967</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885</v>
      </c>
      <c r="C247" t="s">
        <v>963</v>
      </c>
      <c r="D247" s="38" t="s">
        <v>967</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885</v>
      </c>
      <c r="C248" t="s">
        <v>963</v>
      </c>
      <c r="D248" s="38" t="s">
        <v>967</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885</v>
      </c>
      <c r="C249" t="s">
        <v>963</v>
      </c>
      <c r="D249" s="38" t="s">
        <v>967</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885</v>
      </c>
      <c r="C250" t="s">
        <v>963</v>
      </c>
      <c r="D250" s="38" t="s">
        <v>967</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885</v>
      </c>
      <c r="C251" t="s">
        <v>963</v>
      </c>
      <c r="D251" s="38" t="s">
        <v>967</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885</v>
      </c>
      <c r="C252" t="s">
        <v>963</v>
      </c>
      <c r="D252" s="38" t="s">
        <v>967</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885</v>
      </c>
      <c r="C253" t="s">
        <v>963</v>
      </c>
      <c r="D253" s="38" t="s">
        <v>968</v>
      </c>
      <c r="E253" s="95" t="s">
        <v>969</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885</v>
      </c>
      <c r="C254" t="s">
        <v>963</v>
      </c>
      <c r="D254" s="38" t="s">
        <v>970</v>
      </c>
      <c r="E254" s="95" t="s">
        <v>971</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885</v>
      </c>
      <c r="C255" t="s">
        <v>963</v>
      </c>
      <c r="D255" s="38" t="s">
        <v>880</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885</v>
      </c>
      <c r="C256" t="s">
        <v>963</v>
      </c>
      <c r="D256" s="38" t="s">
        <v>880</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885</v>
      </c>
      <c r="C257" t="s">
        <v>963</v>
      </c>
      <c r="D257" s="38" t="s">
        <v>973</v>
      </c>
      <c r="E257" s="95" t="s">
        <v>974</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885</v>
      </c>
      <c r="C258" t="s">
        <v>963</v>
      </c>
      <c r="D258" s="38" t="s">
        <v>973</v>
      </c>
      <c r="E258" s="95" t="s">
        <v>975</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885</v>
      </c>
      <c r="C259" t="s">
        <v>963</v>
      </c>
      <c r="D259" s="38" t="s">
        <v>973</v>
      </c>
      <c r="E259" s="95" t="s">
        <v>976</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885</v>
      </c>
      <c r="C260" t="s">
        <v>963</v>
      </c>
      <c r="D260" s="38" t="s">
        <v>977</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885</v>
      </c>
      <c r="C261" t="s">
        <v>963</v>
      </c>
      <c r="D261" s="38" t="s">
        <v>977</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885</v>
      </c>
      <c r="C262" t="s">
        <v>963</v>
      </c>
      <c r="D262" s="38" t="s">
        <v>977</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885</v>
      </c>
      <c r="C263" t="s">
        <v>963</v>
      </c>
      <c r="D263" s="38" t="s">
        <v>977</v>
      </c>
      <c r="E263" s="95" t="s">
        <v>978</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885</v>
      </c>
      <c r="C264" t="s">
        <v>963</v>
      </c>
      <c r="D264" s="38" t="s">
        <v>980</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885</v>
      </c>
      <c r="C265" t="s">
        <v>963</v>
      </c>
      <c r="D265" s="38" t="s">
        <v>980</v>
      </c>
      <c r="E265" s="95" t="s">
        <v>981</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885</v>
      </c>
      <c r="C266" t="s">
        <v>963</v>
      </c>
      <c r="D266" s="38" t="s">
        <v>980</v>
      </c>
      <c r="E266" s="95" t="s">
        <v>982</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885</v>
      </c>
      <c r="C267" t="s">
        <v>963</v>
      </c>
      <c r="D267" s="38" t="s">
        <v>980</v>
      </c>
      <c r="E267" s="95" t="s">
        <v>983</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885</v>
      </c>
      <c r="C268" t="s">
        <v>963</v>
      </c>
      <c r="D268" s="38" t="s">
        <v>986</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885</v>
      </c>
      <c r="C269" t="s">
        <v>963</v>
      </c>
      <c r="D269" s="38" t="s">
        <v>986</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885</v>
      </c>
      <c r="C270" t="s">
        <v>963</v>
      </c>
      <c r="D270" s="38" t="s">
        <v>986</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885</v>
      </c>
      <c r="C271" t="s">
        <v>963</v>
      </c>
      <c r="D271" s="38" t="s">
        <v>986</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885</v>
      </c>
      <c r="C272" t="s">
        <v>963</v>
      </c>
      <c r="D272" s="38" t="s">
        <v>986</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885</v>
      </c>
      <c r="C273" t="s">
        <v>963</v>
      </c>
      <c r="D273" s="38" t="s">
        <v>986</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885</v>
      </c>
      <c r="C274" t="s">
        <v>963</v>
      </c>
      <c r="D274" s="38" t="s">
        <v>986</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885</v>
      </c>
      <c r="C275" t="s">
        <v>963</v>
      </c>
      <c r="D275" s="38" t="s">
        <v>986</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885</v>
      </c>
      <c r="C276" t="s">
        <v>1014</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885</v>
      </c>
      <c r="C277" t="s">
        <v>879</v>
      </c>
      <c r="D277" s="38">
        <v>574</v>
      </c>
      <c r="E277" s="95" t="s">
        <v>1031</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885</v>
      </c>
      <c r="C278" t="s">
        <v>879</v>
      </c>
      <c r="D278" s="38" t="s">
        <v>1037</v>
      </c>
      <c r="E278" s="95" t="s">
        <v>1038</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885</v>
      </c>
      <c r="C279" t="s">
        <v>879</v>
      </c>
      <c r="D279" s="38" t="s">
        <v>1039</v>
      </c>
      <c r="E279" s="95" t="s">
        <v>1042</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885</v>
      </c>
      <c r="C280" t="s">
        <v>879</v>
      </c>
      <c r="D280" s="38" t="s">
        <v>1076</v>
      </c>
      <c r="E280" s="95" t="s">
        <v>1077</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885</v>
      </c>
      <c r="C281" t="s">
        <v>879</v>
      </c>
      <c r="D281" s="38" t="s">
        <v>1079</v>
      </c>
      <c r="E281" s="95" t="s">
        <v>1080</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885</v>
      </c>
      <c r="C282" t="s">
        <v>879</v>
      </c>
      <c r="D282" s="38" t="s">
        <v>1083</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885</v>
      </c>
      <c r="C283" t="s">
        <v>879</v>
      </c>
      <c r="D283" s="38" t="s">
        <v>1084</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885</v>
      </c>
      <c r="C284" t="s">
        <v>1108</v>
      </c>
      <c r="D284" s="38" t="s">
        <v>1109</v>
      </c>
      <c r="E284" s="95" t="s">
        <v>1110</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885</v>
      </c>
      <c r="C285" t="s">
        <v>854</v>
      </c>
      <c r="D285" s="38" t="s">
        <v>912</v>
      </c>
      <c r="E285" s="95" t="s">
        <v>917</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885</v>
      </c>
      <c r="C286" t="s">
        <v>879</v>
      </c>
      <c r="D286" s="38" t="s">
        <v>1086</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885</v>
      </c>
      <c r="C287" t="s">
        <v>1007</v>
      </c>
      <c r="D287" s="38" t="s">
        <v>1008</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885</v>
      </c>
      <c r="C288" t="s">
        <v>897</v>
      </c>
      <c r="D288" s="38">
        <v>574</v>
      </c>
      <c r="E288" s="95" t="s">
        <v>898</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885</v>
      </c>
      <c r="C289" t="s">
        <v>937</v>
      </c>
      <c r="D289" s="38" t="s">
        <v>938</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885</v>
      </c>
      <c r="C290" t="s">
        <v>879</v>
      </c>
      <c r="D290" s="38" t="s">
        <v>1059</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885</v>
      </c>
      <c r="C291" t="s">
        <v>879</v>
      </c>
      <c r="D291" s="38" t="s">
        <v>1073</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846</v>
      </c>
      <c r="C292" t="s">
        <v>854</v>
      </c>
      <c r="D292" s="38" t="s">
        <v>855</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885</v>
      </c>
      <c r="C293" t="s">
        <v>879</v>
      </c>
      <c r="D293" s="38" t="s">
        <v>902</v>
      </c>
      <c r="E293" s="95" t="s">
        <v>1045</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846</v>
      </c>
      <c r="C294" t="s">
        <v>854</v>
      </c>
      <c r="D294" s="38" t="s">
        <v>855</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885</v>
      </c>
      <c r="C295" t="s">
        <v>854</v>
      </c>
      <c r="D295" s="38" t="s">
        <v>912</v>
      </c>
      <c r="E295" s="94" t="s">
        <v>915</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885</v>
      </c>
      <c r="C296" t="s">
        <v>879</v>
      </c>
      <c r="D296" s="38" t="s">
        <v>1074</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885</v>
      </c>
      <c r="C297" t="s">
        <v>879</v>
      </c>
      <c r="D297" s="38" t="s">
        <v>1089</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846</v>
      </c>
      <c r="C298" t="s">
        <v>849</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846</v>
      </c>
      <c r="C299" t="s">
        <v>854</v>
      </c>
      <c r="D299" s="38" t="s">
        <v>855</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885</v>
      </c>
      <c r="C300" t="s">
        <v>886</v>
      </c>
      <c r="D300" s="38" t="s">
        <v>887</v>
      </c>
      <c r="E300" s="95" t="s">
        <v>888</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885</v>
      </c>
      <c r="C301" t="s">
        <v>879</v>
      </c>
      <c r="D301" s="38" t="s">
        <v>1057</v>
      </c>
      <c r="E301" s="95" t="s">
        <v>1058</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885</v>
      </c>
      <c r="C302" t="s">
        <v>990</v>
      </c>
      <c r="D302" s="38" t="s">
        <v>991</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885</v>
      </c>
      <c r="C303" t="s">
        <v>990</v>
      </c>
      <c r="D303" s="38" t="s">
        <v>967</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885</v>
      </c>
      <c r="C304" t="s">
        <v>879</v>
      </c>
      <c r="D304" s="38" t="s">
        <v>1059</v>
      </c>
      <c r="E304" s="95" t="s">
        <v>1060</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885</v>
      </c>
      <c r="C305" t="s">
        <v>854</v>
      </c>
      <c r="D305" s="38" t="s">
        <v>926</v>
      </c>
      <c r="E305" s="95" t="s">
        <v>927</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846</v>
      </c>
      <c r="C306" t="s">
        <v>854</v>
      </c>
      <c r="D306" s="38" t="s">
        <v>870</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885</v>
      </c>
      <c r="C307" t="s">
        <v>879</v>
      </c>
      <c r="D307" s="38" t="s">
        <v>1085</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885</v>
      </c>
      <c r="C308" t="s">
        <v>879</v>
      </c>
      <c r="D308" s="38" t="s">
        <v>1085</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885</v>
      </c>
      <c r="C309" t="s">
        <v>1104</v>
      </c>
      <c r="D309" s="38" t="s">
        <v>902</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885</v>
      </c>
      <c r="C310" t="s">
        <v>879</v>
      </c>
      <c r="D310" s="38" t="s">
        <v>902</v>
      </c>
      <c r="E310" s="95" t="s">
        <v>1044</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885</v>
      </c>
      <c r="C311" t="s">
        <v>854</v>
      </c>
      <c r="D311" s="38" t="s">
        <v>909</v>
      </c>
      <c r="E311" s="95" t="s">
        <v>911</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846</v>
      </c>
      <c r="C312" t="s">
        <v>854</v>
      </c>
      <c r="D312" s="38" t="s">
        <v>855</v>
      </c>
      <c r="E312" s="95" t="s">
        <v>858</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885</v>
      </c>
      <c r="C313" t="s">
        <v>1014</v>
      </c>
      <c r="D313" s="38">
        <v>3831</v>
      </c>
      <c r="E313" s="95" t="s">
        <v>1017</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885</v>
      </c>
      <c r="C314" t="s">
        <v>946</v>
      </c>
      <c r="D314" s="38" t="s">
        <v>948</v>
      </c>
      <c r="E314" s="95" t="s">
        <v>949</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885</v>
      </c>
      <c r="C315" t="s">
        <v>1025</v>
      </c>
      <c r="D315" s="38" t="s">
        <v>1026</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885</v>
      </c>
      <c r="C316" t="s">
        <v>943</v>
      </c>
      <c r="D316" s="38" t="s">
        <v>880</v>
      </c>
      <c r="E316" s="95" t="s">
        <v>944</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7" priority="6">
      <formula>$K2=TRUE</formula>
    </cfRule>
    <cfRule type="expression" dxfId="16" priority="7">
      <formula>F2=TRUE</formula>
    </cfRule>
  </conditionalFormatting>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Worksheet</vt:lpstr>
      <vt:lpstr>Logo Page</vt:lpstr>
      <vt:lpstr>Filter Cert Data</vt:lpstr>
      <vt:lpstr>CERT AF</vt:lpstr>
      <vt:lpstr>CERT AL</vt:lpstr>
      <vt:lpstr>DropDowns</vt:lpstr>
      <vt:lpstr>MUG Table</vt:lpstr>
      <vt:lpstr>Tables</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2025-04-08T21:38:10Z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