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49DC7674-A56C-4211-BAA7-5B791B261CCE}"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veryHidden" r:id="rId8"/>
    <sheet name="Addresses" sheetId="15" r:id="rId9"/>
    <sheet name="UUTs" sheetId="14" r:id="rId10"/>
    <sheet name="ServiceOrderItems" sheetId="30" state="veryHidden" r:id="rId11"/>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AssetId">ServiceOrderItems[AssetId]</definedName>
    <definedName name="Blank">'Logo Page'!$C$2</definedName>
    <definedName name="Comments">DropDowns!$H$3:$H$7</definedName>
    <definedName name="CommentsAF">DropDowns!$H$13:$H$15</definedName>
    <definedName name="CommentsAL">DropDowns!$H$3:$H$8</definedName>
    <definedName name="Condition">DropDowns!$D$3:$D$4</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AF'!$A$1:$M$62</definedName>
    <definedName name="_xlnm.Print_Area" localSheetId="4">'CERT AL'!$A$1:$M$62</definedName>
    <definedName name="_xlnm.Print_Area" localSheetId="0">Worksheet!$A$1:$V$47</definedName>
    <definedName name="ResultsAF">DropDowns!$I$13:$I$15</definedName>
    <definedName name="ResultsAL">DropDowns!$I$3:$I$8</definedName>
    <definedName name="Scales">DropDowns!$B$11:$B$24</definedName>
    <definedName name="ServiceOrderItems_GetWorkItems" localSheetId="10" hidden="1">ServiceOrderItems!$A$1:$CC$2</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1" l="1" a="1"/>
  <c r="D8" i="1" s="1"/>
  <c r="L44" i="29"/>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O54" i="7" l="1"/>
  <c r="O46" i="1"/>
  <c r="O47" i="1"/>
  <c r="G66" i="14"/>
  <c r="H66" i="14"/>
  <c r="I66" i="14"/>
  <c r="J66" i="14"/>
  <c r="K66" i="14" l="1"/>
  <c r="G108" i="14"/>
  <c r="H108" i="14"/>
  <c r="I108" i="14"/>
  <c r="J108" i="14"/>
  <c r="B58" i="2"/>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K108" i="14"/>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F108" i="14" l="1"/>
  <c r="L108" i="14" s="1"/>
  <c r="F66" i="14"/>
  <c r="N108" i="14" l="1"/>
  <c r="M108" i="14"/>
  <c r="O108" i="14"/>
  <c r="O66" i="14"/>
  <c r="L66" i="14"/>
  <c r="M66" i="14"/>
  <c r="N66" i="14"/>
  <c r="K32" i="29"/>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J157" i="14"/>
  <c r="I157" i="14"/>
  <c r="H157" i="14"/>
  <c r="G157" i="14"/>
  <c r="J284" i="14"/>
  <c r="I284" i="14"/>
  <c r="H284" i="14"/>
  <c r="G284" i="14"/>
  <c r="J143" i="14"/>
  <c r="I143" i="14"/>
  <c r="H143" i="14"/>
  <c r="G143" i="14"/>
  <c r="J183" i="14"/>
  <c r="I183" i="14"/>
  <c r="H183" i="14"/>
  <c r="G183" i="14"/>
  <c r="J309" i="14"/>
  <c r="I309" i="14"/>
  <c r="H309" i="14"/>
  <c r="G309" i="14"/>
  <c r="J211" i="14"/>
  <c r="I211" i="14"/>
  <c r="H211" i="14"/>
  <c r="G211" i="14"/>
  <c r="J234" i="14"/>
  <c r="I234" i="14"/>
  <c r="H234" i="14"/>
  <c r="G234" i="14"/>
  <c r="J57" i="14"/>
  <c r="I57" i="14"/>
  <c r="H57" i="14"/>
  <c r="G57" i="14"/>
  <c r="J87" i="14"/>
  <c r="I87" i="14"/>
  <c r="H87" i="14"/>
  <c r="G87" i="14"/>
  <c r="J67" i="14"/>
  <c r="I67" i="14"/>
  <c r="H67" i="14"/>
  <c r="G67" i="14"/>
  <c r="J101" i="14"/>
  <c r="I101" i="14"/>
  <c r="H101" i="14"/>
  <c r="G101" i="14"/>
  <c r="J84" i="14"/>
  <c r="I84" i="14"/>
  <c r="H84" i="14"/>
  <c r="G84" i="14"/>
  <c r="J218" i="14"/>
  <c r="I218" i="14"/>
  <c r="H218" i="14"/>
  <c r="G218" i="14"/>
  <c r="J21" i="14"/>
  <c r="I21" i="14"/>
  <c r="H21" i="14"/>
  <c r="G21" i="14"/>
  <c r="J94" i="14"/>
  <c r="I94" i="14"/>
  <c r="H94" i="14"/>
  <c r="G94" i="14"/>
  <c r="J3" i="14"/>
  <c r="I3" i="14"/>
  <c r="H3" i="14"/>
  <c r="G3" i="14"/>
  <c r="J27" i="14"/>
  <c r="I27" i="14"/>
  <c r="H27" i="14"/>
  <c r="G27" i="14"/>
  <c r="J128" i="14"/>
  <c r="I128" i="14"/>
  <c r="H128" i="14"/>
  <c r="G128" i="14"/>
  <c r="J197" i="14"/>
  <c r="I197" i="14"/>
  <c r="H197" i="14"/>
  <c r="G197" i="14"/>
  <c r="J297" i="14"/>
  <c r="I297" i="14"/>
  <c r="H297" i="14"/>
  <c r="G297" i="14"/>
  <c r="J236" i="14"/>
  <c r="I236" i="14"/>
  <c r="H236" i="14"/>
  <c r="G236" i="14"/>
  <c r="J95" i="14"/>
  <c r="I95" i="14"/>
  <c r="H95" i="14"/>
  <c r="G95" i="14"/>
  <c r="J286" i="14"/>
  <c r="I286" i="14"/>
  <c r="H286" i="14"/>
  <c r="G286" i="14"/>
  <c r="J308" i="14"/>
  <c r="I308" i="14"/>
  <c r="H308" i="14"/>
  <c r="G308" i="14"/>
  <c r="J307" i="14"/>
  <c r="I307" i="14"/>
  <c r="H307" i="14"/>
  <c r="G307" i="14"/>
  <c r="J283" i="14"/>
  <c r="I283" i="14"/>
  <c r="H283" i="14"/>
  <c r="G283" i="14"/>
  <c r="J282" i="14"/>
  <c r="I282" i="14"/>
  <c r="H282" i="14"/>
  <c r="G282" i="14"/>
  <c r="J75" i="14"/>
  <c r="I75" i="14"/>
  <c r="H75" i="14"/>
  <c r="G75" i="14"/>
  <c r="J281" i="14"/>
  <c r="I281" i="14"/>
  <c r="H281" i="14"/>
  <c r="G281" i="14"/>
  <c r="J196" i="14"/>
  <c r="I196" i="14"/>
  <c r="H196" i="14"/>
  <c r="G196" i="14"/>
  <c r="J280" i="14"/>
  <c r="I280" i="14"/>
  <c r="H280" i="14"/>
  <c r="G280" i="14"/>
  <c r="J184" i="14"/>
  <c r="I184" i="14"/>
  <c r="H184" i="14"/>
  <c r="G184" i="14"/>
  <c r="J217" i="14"/>
  <c r="I217" i="14"/>
  <c r="H217" i="14"/>
  <c r="G217" i="14"/>
  <c r="J296" i="14"/>
  <c r="I296" i="14"/>
  <c r="H296" i="14"/>
  <c r="G296" i="14"/>
  <c r="J291" i="14"/>
  <c r="I291" i="14"/>
  <c r="H291" i="14"/>
  <c r="G291" i="14"/>
  <c r="J158" i="14"/>
  <c r="I158" i="14"/>
  <c r="H158" i="14"/>
  <c r="G158" i="14"/>
  <c r="J70" i="14"/>
  <c r="I70" i="14"/>
  <c r="H70" i="14"/>
  <c r="G70" i="14"/>
  <c r="J5" i="14"/>
  <c r="I5" i="14"/>
  <c r="H5" i="14"/>
  <c r="G5" i="14"/>
  <c r="J4" i="14"/>
  <c r="I4" i="14"/>
  <c r="H4" i="14"/>
  <c r="G4" i="14"/>
  <c r="J141" i="14"/>
  <c r="I141" i="14"/>
  <c r="H141" i="14"/>
  <c r="G141" i="14"/>
  <c r="J131" i="14"/>
  <c r="I131" i="14"/>
  <c r="H131" i="14"/>
  <c r="G131" i="14"/>
  <c r="J156" i="14"/>
  <c r="I156" i="14"/>
  <c r="H156" i="14"/>
  <c r="G156" i="14"/>
  <c r="J74" i="14"/>
  <c r="I74" i="14"/>
  <c r="H74" i="14"/>
  <c r="G74" i="14"/>
  <c r="J159" i="14"/>
  <c r="I159" i="14"/>
  <c r="H159" i="14"/>
  <c r="G159" i="14"/>
  <c r="J81" i="14"/>
  <c r="I81" i="14"/>
  <c r="H81" i="14"/>
  <c r="G81" i="14"/>
  <c r="J230" i="14"/>
  <c r="I230" i="14"/>
  <c r="H230" i="14"/>
  <c r="G230" i="14"/>
  <c r="J216" i="14"/>
  <c r="I216" i="14"/>
  <c r="H216" i="14"/>
  <c r="G216" i="14"/>
  <c r="J28" i="14"/>
  <c r="I28" i="14"/>
  <c r="H28" i="14"/>
  <c r="G28" i="14"/>
  <c r="J210" i="14"/>
  <c r="I210" i="14"/>
  <c r="H210" i="14"/>
  <c r="G210" i="14"/>
  <c r="J304" i="14"/>
  <c r="I304" i="14"/>
  <c r="H304" i="14"/>
  <c r="G304" i="14"/>
  <c r="J112" i="14"/>
  <c r="I112" i="14"/>
  <c r="H112" i="14"/>
  <c r="G112" i="14"/>
  <c r="J80" i="14"/>
  <c r="I80" i="14"/>
  <c r="H80" i="14"/>
  <c r="G80" i="14"/>
  <c r="J97" i="14"/>
  <c r="I97" i="14"/>
  <c r="H97" i="14"/>
  <c r="G97" i="14"/>
  <c r="J98" i="14"/>
  <c r="I98" i="14"/>
  <c r="H98" i="14"/>
  <c r="G98" i="14"/>
  <c r="J100" i="14"/>
  <c r="I100" i="14"/>
  <c r="H100" i="14"/>
  <c r="G100" i="14"/>
  <c r="J228" i="14"/>
  <c r="I228" i="14"/>
  <c r="H228" i="14"/>
  <c r="G228" i="14"/>
  <c r="J151" i="14"/>
  <c r="I151" i="14"/>
  <c r="H151" i="14"/>
  <c r="G151" i="14"/>
  <c r="J193" i="14"/>
  <c r="I193" i="14"/>
  <c r="H193" i="14"/>
  <c r="G193" i="14"/>
  <c r="J225" i="14"/>
  <c r="I225" i="14"/>
  <c r="H225" i="14"/>
  <c r="G225" i="14"/>
  <c r="J127" i="14"/>
  <c r="I127" i="14"/>
  <c r="H127" i="14"/>
  <c r="G127" i="14"/>
  <c r="J186" i="14"/>
  <c r="I186" i="14"/>
  <c r="H186" i="14"/>
  <c r="G186" i="14"/>
  <c r="J290" i="14"/>
  <c r="I290" i="14"/>
  <c r="H290" i="14"/>
  <c r="G290" i="14"/>
  <c r="J301" i="14"/>
  <c r="I301" i="14"/>
  <c r="H301" i="14"/>
  <c r="G301" i="14"/>
  <c r="J93" i="14"/>
  <c r="I93" i="14"/>
  <c r="H93" i="14"/>
  <c r="G93" i="14"/>
  <c r="J146" i="14"/>
  <c r="I146" i="14"/>
  <c r="H146" i="14"/>
  <c r="G146" i="14"/>
  <c r="J204" i="14"/>
  <c r="I204" i="14"/>
  <c r="H204" i="14"/>
  <c r="G204" i="14"/>
  <c r="J224" i="14"/>
  <c r="I224" i="14"/>
  <c r="H224" i="14"/>
  <c r="G224" i="14"/>
  <c r="J129" i="14"/>
  <c r="I129" i="14"/>
  <c r="H129" i="14"/>
  <c r="G129" i="14"/>
  <c r="J78" i="14"/>
  <c r="I78" i="14"/>
  <c r="H78" i="14"/>
  <c r="G78" i="14"/>
  <c r="J189" i="14"/>
  <c r="I189" i="14"/>
  <c r="H189" i="14"/>
  <c r="G189" i="14"/>
  <c r="J54" i="14"/>
  <c r="I54" i="14"/>
  <c r="H54" i="14"/>
  <c r="G54" i="14"/>
  <c r="J293" i="14"/>
  <c r="I293" i="14"/>
  <c r="H293" i="14"/>
  <c r="G293" i="14"/>
  <c r="J310" i="14"/>
  <c r="I310" i="14"/>
  <c r="H310" i="14"/>
  <c r="G310" i="14"/>
  <c r="J126" i="14"/>
  <c r="I126" i="14"/>
  <c r="H126" i="14"/>
  <c r="G126" i="14"/>
  <c r="J62" i="14"/>
  <c r="I62" i="14"/>
  <c r="H62" i="14"/>
  <c r="G62" i="14"/>
  <c r="J26" i="14"/>
  <c r="I26" i="14"/>
  <c r="H26" i="14"/>
  <c r="G26" i="14"/>
  <c r="J96" i="14"/>
  <c r="I96" i="14"/>
  <c r="H96" i="14"/>
  <c r="G96" i="14"/>
  <c r="J238" i="14"/>
  <c r="I238" i="14"/>
  <c r="H238" i="14"/>
  <c r="G238" i="14"/>
  <c r="J182" i="14"/>
  <c r="I182" i="14"/>
  <c r="H182" i="14"/>
  <c r="G182" i="14"/>
  <c r="J237" i="14"/>
  <c r="I237" i="14"/>
  <c r="H237" i="14"/>
  <c r="G237" i="14"/>
  <c r="J207" i="14"/>
  <c r="I207" i="14"/>
  <c r="H207" i="14"/>
  <c r="G207" i="14"/>
  <c r="J279" i="14"/>
  <c r="I279" i="14"/>
  <c r="H279" i="14"/>
  <c r="G279" i="14"/>
  <c r="J53" i="14"/>
  <c r="I53" i="14"/>
  <c r="H53" i="14"/>
  <c r="G53" i="14"/>
  <c r="J52" i="14"/>
  <c r="I52" i="14"/>
  <c r="H52" i="14"/>
  <c r="G52" i="14"/>
  <c r="J278" i="14"/>
  <c r="I278" i="14"/>
  <c r="H278" i="14"/>
  <c r="G278" i="14"/>
  <c r="J17" i="14"/>
  <c r="I17" i="14"/>
  <c r="H17" i="14"/>
  <c r="G17" i="14"/>
  <c r="J214" i="14"/>
  <c r="I214" i="14"/>
  <c r="H214" i="14"/>
  <c r="G214" i="14"/>
  <c r="J20" i="14"/>
  <c r="I20" i="14"/>
  <c r="H20" i="14"/>
  <c r="G20" i="14"/>
  <c r="J147" i="14"/>
  <c r="I147" i="14"/>
  <c r="H147" i="14"/>
  <c r="G147" i="14"/>
  <c r="J38" i="14"/>
  <c r="I38" i="14"/>
  <c r="H38" i="14"/>
  <c r="G38" i="14"/>
  <c r="J277" i="14"/>
  <c r="I277" i="14"/>
  <c r="H277" i="14"/>
  <c r="G277" i="14"/>
  <c r="J76" i="14"/>
  <c r="I76" i="14"/>
  <c r="H76" i="14"/>
  <c r="G76" i="14"/>
  <c r="J55" i="14"/>
  <c r="I55" i="14"/>
  <c r="H55" i="14"/>
  <c r="G55" i="14"/>
  <c r="J77" i="14"/>
  <c r="I77" i="14"/>
  <c r="H77" i="14"/>
  <c r="G77" i="14"/>
  <c r="J226" i="14"/>
  <c r="I226" i="14"/>
  <c r="H226" i="14"/>
  <c r="G226" i="14"/>
  <c r="J51" i="14"/>
  <c r="I51" i="14"/>
  <c r="H51" i="14"/>
  <c r="G51" i="14"/>
  <c r="J50" i="14"/>
  <c r="I50" i="14"/>
  <c r="H50" i="14"/>
  <c r="G50" i="14"/>
  <c r="J49" i="14"/>
  <c r="I49" i="14"/>
  <c r="H49" i="14"/>
  <c r="G49" i="14"/>
  <c r="J48" i="14"/>
  <c r="I48" i="14"/>
  <c r="H48" i="14"/>
  <c r="G48" i="14"/>
  <c r="J29" i="14"/>
  <c r="I29" i="14"/>
  <c r="H29" i="14"/>
  <c r="G29" i="14"/>
  <c r="J315" i="14"/>
  <c r="I315" i="14"/>
  <c r="H315" i="14"/>
  <c r="G315" i="14"/>
  <c r="J222" i="14"/>
  <c r="I222" i="14"/>
  <c r="H222" i="14"/>
  <c r="G222" i="14"/>
  <c r="J162" i="14"/>
  <c r="I162" i="14"/>
  <c r="H162" i="14"/>
  <c r="G162" i="14"/>
  <c r="J22" i="14"/>
  <c r="I22" i="14"/>
  <c r="H22" i="14"/>
  <c r="G22" i="14"/>
  <c r="J233" i="14"/>
  <c r="I233" i="14"/>
  <c r="H233" i="14"/>
  <c r="G233" i="14"/>
  <c r="J73" i="14"/>
  <c r="I73" i="14"/>
  <c r="H73" i="14"/>
  <c r="G73" i="14"/>
  <c r="J72" i="14"/>
  <c r="I72" i="14"/>
  <c r="H72" i="14"/>
  <c r="G72" i="14"/>
  <c r="J313" i="14"/>
  <c r="I313" i="14"/>
  <c r="H313" i="14"/>
  <c r="G313" i="14"/>
  <c r="J180" i="14"/>
  <c r="I180" i="14"/>
  <c r="H180" i="14"/>
  <c r="G180" i="14"/>
  <c r="J220" i="14"/>
  <c r="I220" i="14"/>
  <c r="H220" i="14"/>
  <c r="G220" i="14"/>
  <c r="J276" i="14"/>
  <c r="I276" i="14"/>
  <c r="H276" i="14"/>
  <c r="G276" i="14"/>
  <c r="J40" i="14"/>
  <c r="I40" i="14"/>
  <c r="H40" i="14"/>
  <c r="G40" i="14"/>
  <c r="J25" i="14"/>
  <c r="I25" i="14"/>
  <c r="H25" i="14"/>
  <c r="G25" i="14"/>
  <c r="J89" i="14"/>
  <c r="I89" i="14"/>
  <c r="H89" i="14"/>
  <c r="G89" i="14"/>
  <c r="J11" i="14"/>
  <c r="I11" i="14"/>
  <c r="H11" i="14"/>
  <c r="G11" i="14"/>
  <c r="J287" i="14"/>
  <c r="I287" i="14"/>
  <c r="H287" i="14"/>
  <c r="G287" i="14"/>
  <c r="J88" i="14"/>
  <c r="I88" i="14"/>
  <c r="H88" i="14"/>
  <c r="G88" i="14"/>
  <c r="J19" i="14"/>
  <c r="I19" i="14"/>
  <c r="H19" i="14"/>
  <c r="G19" i="14"/>
  <c r="J163" i="14"/>
  <c r="I163" i="14"/>
  <c r="H163" i="14"/>
  <c r="G163" i="14"/>
  <c r="J181" i="14"/>
  <c r="I181" i="14"/>
  <c r="H181" i="14"/>
  <c r="G181" i="14"/>
  <c r="J229" i="14"/>
  <c r="I229" i="14"/>
  <c r="H229" i="14"/>
  <c r="G229" i="14"/>
  <c r="J140" i="14"/>
  <c r="I140" i="14"/>
  <c r="H140" i="14"/>
  <c r="G140" i="14"/>
  <c r="J139" i="14"/>
  <c r="I139" i="14"/>
  <c r="H139" i="14"/>
  <c r="G139" i="14"/>
  <c r="J209" i="14"/>
  <c r="I209" i="14"/>
  <c r="H209" i="14"/>
  <c r="G209" i="14"/>
  <c r="J161" i="14"/>
  <c r="I161" i="14"/>
  <c r="H161" i="14"/>
  <c r="G161" i="14"/>
  <c r="J160" i="14"/>
  <c r="I160" i="14"/>
  <c r="H160" i="14"/>
  <c r="G160" i="14"/>
  <c r="J86" i="14"/>
  <c r="I86" i="14"/>
  <c r="H86" i="14"/>
  <c r="G86" i="14"/>
  <c r="J56" i="14"/>
  <c r="I56" i="14"/>
  <c r="H56" i="14"/>
  <c r="G56" i="14"/>
  <c r="J303" i="14"/>
  <c r="I303" i="14"/>
  <c r="H303" i="14"/>
  <c r="G303" i="14"/>
  <c r="J302" i="14"/>
  <c r="I302" i="14"/>
  <c r="H302" i="14"/>
  <c r="G302" i="14"/>
  <c r="J118" i="14"/>
  <c r="I118" i="14"/>
  <c r="H118" i="14"/>
  <c r="G118" i="14"/>
  <c r="J172" i="14"/>
  <c r="I172" i="14"/>
  <c r="H172" i="14"/>
  <c r="G172" i="14"/>
  <c r="J171" i="14"/>
  <c r="I171" i="14"/>
  <c r="H171" i="14"/>
  <c r="G171" i="14"/>
  <c r="J170" i="14"/>
  <c r="I170" i="14"/>
  <c r="H170" i="14"/>
  <c r="G170" i="14"/>
  <c r="J178" i="14"/>
  <c r="I178" i="14"/>
  <c r="H178" i="14"/>
  <c r="G178" i="14"/>
  <c r="J177" i="14"/>
  <c r="I177" i="14"/>
  <c r="H177" i="14"/>
  <c r="G177" i="14"/>
  <c r="J187" i="14"/>
  <c r="I187" i="14"/>
  <c r="H187" i="14"/>
  <c r="G187" i="14"/>
  <c r="J176" i="14"/>
  <c r="I176" i="14"/>
  <c r="H176" i="14"/>
  <c r="G176" i="14"/>
  <c r="J61" i="14"/>
  <c r="I61" i="14"/>
  <c r="H61" i="14"/>
  <c r="G61" i="14"/>
  <c r="J175" i="14"/>
  <c r="I175" i="14"/>
  <c r="H175" i="14"/>
  <c r="G175" i="14"/>
  <c r="J64" i="14"/>
  <c r="I64" i="14"/>
  <c r="H64" i="14"/>
  <c r="G64" i="14"/>
  <c r="J275" i="14"/>
  <c r="I275" i="14"/>
  <c r="H275" i="14"/>
  <c r="G275" i="14"/>
  <c r="J274" i="14"/>
  <c r="I274" i="14"/>
  <c r="H274" i="14"/>
  <c r="G274" i="14"/>
  <c r="J273" i="14"/>
  <c r="I273" i="14"/>
  <c r="H273" i="14"/>
  <c r="G273" i="14"/>
  <c r="J272" i="14"/>
  <c r="I272" i="14"/>
  <c r="H272" i="14"/>
  <c r="G272" i="14"/>
  <c r="J271" i="14"/>
  <c r="I271" i="14"/>
  <c r="H271" i="14"/>
  <c r="G271" i="14"/>
  <c r="J270" i="14"/>
  <c r="I270" i="14"/>
  <c r="H270" i="14"/>
  <c r="G270" i="14"/>
  <c r="J269" i="14"/>
  <c r="I269" i="14"/>
  <c r="H269" i="14"/>
  <c r="G269" i="14"/>
  <c r="J268" i="14"/>
  <c r="I268" i="14"/>
  <c r="H268" i="14"/>
  <c r="G268" i="14"/>
  <c r="J63" i="14"/>
  <c r="I63" i="14"/>
  <c r="H63" i="14"/>
  <c r="G63" i="14"/>
  <c r="J267" i="14"/>
  <c r="I267" i="14"/>
  <c r="H267" i="14"/>
  <c r="G267" i="14"/>
  <c r="J266" i="14"/>
  <c r="I266" i="14"/>
  <c r="H266" i="14"/>
  <c r="G266" i="14"/>
  <c r="J265" i="14"/>
  <c r="I265" i="14"/>
  <c r="H265" i="14"/>
  <c r="G265" i="14"/>
  <c r="J264" i="14"/>
  <c r="I264" i="14"/>
  <c r="H264" i="14"/>
  <c r="G264" i="14"/>
  <c r="J154" i="14"/>
  <c r="I154" i="14"/>
  <c r="H154" i="14"/>
  <c r="G154" i="14"/>
  <c r="J150" i="14"/>
  <c r="I150" i="14"/>
  <c r="H150" i="14"/>
  <c r="G150" i="14"/>
  <c r="J263" i="14"/>
  <c r="I263" i="14"/>
  <c r="H263" i="14"/>
  <c r="G263" i="14"/>
  <c r="J262" i="14"/>
  <c r="I262" i="14"/>
  <c r="H262" i="14"/>
  <c r="G262" i="14"/>
  <c r="J261" i="14"/>
  <c r="I261" i="14"/>
  <c r="H261" i="14"/>
  <c r="G261" i="14"/>
  <c r="J260" i="14"/>
  <c r="I260" i="14"/>
  <c r="H260" i="14"/>
  <c r="G260" i="14"/>
  <c r="J259" i="14"/>
  <c r="I259" i="14"/>
  <c r="H259" i="14"/>
  <c r="G259" i="14"/>
  <c r="J258" i="14"/>
  <c r="I258" i="14"/>
  <c r="H258" i="14"/>
  <c r="G258" i="14"/>
  <c r="J257" i="14"/>
  <c r="I257" i="14"/>
  <c r="H257" i="14"/>
  <c r="G257" i="14"/>
  <c r="J117" i="14"/>
  <c r="I117" i="14"/>
  <c r="H117" i="14"/>
  <c r="G117" i="14"/>
  <c r="J169" i="14"/>
  <c r="I169" i="14"/>
  <c r="H169" i="14"/>
  <c r="G169" i="14"/>
  <c r="J208" i="14"/>
  <c r="I208" i="14"/>
  <c r="H208" i="14"/>
  <c r="G208" i="14"/>
  <c r="J256" i="14"/>
  <c r="I256" i="14"/>
  <c r="H256" i="14"/>
  <c r="G256" i="14"/>
  <c r="J255" i="14"/>
  <c r="I255" i="14"/>
  <c r="H255" i="14"/>
  <c r="G255" i="14"/>
  <c r="J37" i="14"/>
  <c r="I37" i="14"/>
  <c r="H37" i="14"/>
  <c r="G37" i="14"/>
  <c r="J36" i="14"/>
  <c r="I36" i="14"/>
  <c r="H36" i="14"/>
  <c r="G36" i="14"/>
  <c r="J254" i="14"/>
  <c r="I254" i="14"/>
  <c r="H254" i="14"/>
  <c r="G254" i="14"/>
  <c r="J253" i="14"/>
  <c r="I253" i="14"/>
  <c r="H253" i="14"/>
  <c r="G253" i="14"/>
  <c r="J35" i="14"/>
  <c r="I35" i="14"/>
  <c r="H35" i="14"/>
  <c r="G35" i="14"/>
  <c r="J47" i="14"/>
  <c r="I47" i="14"/>
  <c r="H47" i="14"/>
  <c r="G47" i="14"/>
  <c r="J46" i="14"/>
  <c r="I46" i="14"/>
  <c r="H46" i="14"/>
  <c r="G46" i="14"/>
  <c r="J252" i="14"/>
  <c r="I252" i="14"/>
  <c r="H252" i="14"/>
  <c r="G252" i="14"/>
  <c r="J251" i="14"/>
  <c r="I251" i="14"/>
  <c r="H251" i="14"/>
  <c r="G251" i="14"/>
  <c r="J250" i="14"/>
  <c r="I250" i="14"/>
  <c r="H250" i="14"/>
  <c r="G250" i="14"/>
  <c r="J249" i="14"/>
  <c r="I249" i="14"/>
  <c r="H249" i="14"/>
  <c r="G249" i="14"/>
  <c r="J34" i="14"/>
  <c r="I34" i="14"/>
  <c r="H34" i="14"/>
  <c r="G34" i="14"/>
  <c r="J248" i="14"/>
  <c r="I248" i="14"/>
  <c r="H248" i="14"/>
  <c r="G248" i="14"/>
  <c r="J45" i="14"/>
  <c r="I45" i="14"/>
  <c r="H45" i="14"/>
  <c r="G45" i="14"/>
  <c r="J168" i="14"/>
  <c r="I168" i="14"/>
  <c r="H168" i="14"/>
  <c r="G168" i="14"/>
  <c r="J247" i="14"/>
  <c r="I247" i="14"/>
  <c r="H247" i="14"/>
  <c r="G247" i="14"/>
  <c r="J188" i="14"/>
  <c r="I188" i="14"/>
  <c r="H188" i="14"/>
  <c r="G188" i="14"/>
  <c r="J246" i="14"/>
  <c r="I246" i="14"/>
  <c r="H246" i="14"/>
  <c r="G246" i="14"/>
  <c r="J167" i="14"/>
  <c r="I167" i="14"/>
  <c r="H167" i="14"/>
  <c r="G167" i="14"/>
  <c r="J109" i="14"/>
  <c r="I109" i="14"/>
  <c r="H109" i="14"/>
  <c r="G109" i="14"/>
  <c r="J116" i="14"/>
  <c r="I116" i="14"/>
  <c r="H116" i="14"/>
  <c r="G116" i="14"/>
  <c r="J245" i="14"/>
  <c r="I245" i="14"/>
  <c r="H245" i="14"/>
  <c r="G245" i="14"/>
  <c r="J244" i="14"/>
  <c r="I244" i="14"/>
  <c r="H244" i="14"/>
  <c r="G244" i="14"/>
  <c r="J145" i="14"/>
  <c r="I145" i="14"/>
  <c r="H145" i="14"/>
  <c r="G145" i="14"/>
  <c r="J24" i="14"/>
  <c r="I24" i="14"/>
  <c r="H24" i="14"/>
  <c r="G24" i="14"/>
  <c r="J153" i="14"/>
  <c r="I153" i="14"/>
  <c r="H153" i="14"/>
  <c r="G153" i="14"/>
  <c r="J135" i="14"/>
  <c r="I135" i="14"/>
  <c r="H135" i="14"/>
  <c r="G135" i="14"/>
  <c r="J79" i="14"/>
  <c r="I79" i="14"/>
  <c r="H79" i="14"/>
  <c r="G79" i="14"/>
  <c r="J69" i="14"/>
  <c r="I69" i="14"/>
  <c r="H69" i="14"/>
  <c r="G69" i="14"/>
  <c r="J179" i="14"/>
  <c r="I179" i="14"/>
  <c r="H179" i="14"/>
  <c r="G179" i="14"/>
  <c r="J243" i="14"/>
  <c r="I243" i="14"/>
  <c r="H243" i="14"/>
  <c r="G243" i="14"/>
  <c r="J314" i="14"/>
  <c r="I314" i="14"/>
  <c r="H314" i="14"/>
  <c r="G314" i="14"/>
  <c r="J2" i="14"/>
  <c r="I2" i="14"/>
  <c r="H2" i="14"/>
  <c r="G2" i="14"/>
  <c r="J144" i="14"/>
  <c r="I144" i="14"/>
  <c r="H144" i="14"/>
  <c r="G144" i="14"/>
  <c r="J316" i="14"/>
  <c r="I316" i="14"/>
  <c r="H316" i="14"/>
  <c r="G316" i="14"/>
  <c r="J138" i="14"/>
  <c r="I138" i="14"/>
  <c r="H138" i="14"/>
  <c r="G138" i="14"/>
  <c r="J18" i="14"/>
  <c r="I18" i="14"/>
  <c r="H18" i="14"/>
  <c r="G18" i="14"/>
  <c r="J289" i="14"/>
  <c r="I289" i="14"/>
  <c r="H289" i="14"/>
  <c r="G289" i="14"/>
  <c r="J227" i="14"/>
  <c r="I227" i="14"/>
  <c r="H227" i="14"/>
  <c r="G227" i="14"/>
  <c r="J148" i="14"/>
  <c r="I148" i="14"/>
  <c r="H148" i="14"/>
  <c r="G148" i="14"/>
  <c r="J60" i="14"/>
  <c r="I60" i="14"/>
  <c r="H60" i="14"/>
  <c r="G60" i="14"/>
  <c r="J142" i="14"/>
  <c r="I142" i="14"/>
  <c r="H142" i="14"/>
  <c r="G142" i="14"/>
  <c r="J82" i="14"/>
  <c r="I82" i="14"/>
  <c r="H82" i="14"/>
  <c r="G82" i="14"/>
  <c r="J305" i="14"/>
  <c r="I305" i="14"/>
  <c r="H305" i="14"/>
  <c r="G305" i="14"/>
  <c r="J6" i="14"/>
  <c r="I6" i="14"/>
  <c r="H6" i="14"/>
  <c r="G6" i="14"/>
  <c r="J33" i="14"/>
  <c r="I33" i="14"/>
  <c r="H33" i="14"/>
  <c r="G33" i="14"/>
  <c r="J59" i="14"/>
  <c r="I59" i="14"/>
  <c r="H59" i="14"/>
  <c r="G59" i="14"/>
  <c r="J58" i="14"/>
  <c r="I58" i="14"/>
  <c r="H58" i="14"/>
  <c r="G58" i="14"/>
  <c r="J166" i="14"/>
  <c r="I166" i="14"/>
  <c r="H166" i="14"/>
  <c r="G166" i="14"/>
  <c r="J14" i="14"/>
  <c r="I14" i="14"/>
  <c r="H14" i="14"/>
  <c r="G14" i="14"/>
  <c r="J125" i="14"/>
  <c r="I125" i="14"/>
  <c r="H125" i="14"/>
  <c r="G125" i="14"/>
  <c r="J190" i="14"/>
  <c r="I190" i="14"/>
  <c r="H190" i="14"/>
  <c r="G190" i="14"/>
  <c r="J85" i="14"/>
  <c r="I85" i="14"/>
  <c r="H85" i="14"/>
  <c r="G85" i="14"/>
  <c r="J285" i="14"/>
  <c r="I285" i="14"/>
  <c r="H285" i="14"/>
  <c r="G285" i="14"/>
  <c r="J10" i="14"/>
  <c r="I10" i="14"/>
  <c r="H10" i="14"/>
  <c r="G10" i="14"/>
  <c r="J295" i="14"/>
  <c r="I295" i="14"/>
  <c r="H295" i="14"/>
  <c r="G295" i="14"/>
  <c r="J203" i="14"/>
  <c r="I203" i="14"/>
  <c r="H203" i="14"/>
  <c r="G203" i="14"/>
  <c r="J134" i="14"/>
  <c r="I134" i="14"/>
  <c r="H134" i="14"/>
  <c r="G134" i="14"/>
  <c r="J311" i="14"/>
  <c r="I311" i="14"/>
  <c r="H311" i="14"/>
  <c r="G311" i="14"/>
  <c r="J202" i="14"/>
  <c r="I202" i="14"/>
  <c r="H202" i="14"/>
  <c r="G202" i="14"/>
  <c r="J107" i="14"/>
  <c r="I107" i="14"/>
  <c r="H107" i="14"/>
  <c r="G107" i="14"/>
  <c r="J137" i="14"/>
  <c r="I137" i="14"/>
  <c r="H137" i="14"/>
  <c r="G137" i="14"/>
  <c r="J174" i="14"/>
  <c r="I174" i="14"/>
  <c r="H174" i="14"/>
  <c r="G174" i="14"/>
  <c r="J235" i="14"/>
  <c r="I235" i="14"/>
  <c r="H235" i="14"/>
  <c r="G235" i="14"/>
  <c r="J121" i="14"/>
  <c r="I121" i="14"/>
  <c r="H121" i="14"/>
  <c r="G121" i="14"/>
  <c r="J192" i="14"/>
  <c r="I192" i="14"/>
  <c r="H192" i="14"/>
  <c r="G192" i="14"/>
  <c r="J191" i="14"/>
  <c r="I191" i="14"/>
  <c r="H191" i="14"/>
  <c r="G191" i="14"/>
  <c r="J155" i="14"/>
  <c r="I155" i="14"/>
  <c r="H155" i="14"/>
  <c r="G155" i="14"/>
  <c r="J185" i="14"/>
  <c r="I185" i="14"/>
  <c r="H185" i="14"/>
  <c r="G185" i="14"/>
  <c r="J130" i="14"/>
  <c r="I130" i="14"/>
  <c r="H130" i="14"/>
  <c r="G130" i="14"/>
  <c r="J83" i="14"/>
  <c r="I83" i="14"/>
  <c r="H83" i="14"/>
  <c r="G83" i="14"/>
  <c r="J152" i="14"/>
  <c r="I152" i="14"/>
  <c r="H152" i="14"/>
  <c r="G152" i="14"/>
  <c r="J149" i="14"/>
  <c r="I149" i="14"/>
  <c r="H149" i="14"/>
  <c r="G149" i="14"/>
  <c r="J92" i="14"/>
  <c r="I92" i="14"/>
  <c r="H92" i="14"/>
  <c r="G92" i="14"/>
  <c r="J288" i="14"/>
  <c r="I288" i="14"/>
  <c r="H288" i="14"/>
  <c r="G288" i="14"/>
  <c r="J13" i="14"/>
  <c r="I13" i="14"/>
  <c r="H13" i="14"/>
  <c r="G13" i="14"/>
  <c r="J223" i="14"/>
  <c r="I223" i="14"/>
  <c r="H223" i="14"/>
  <c r="G223" i="14"/>
  <c r="J124" i="14"/>
  <c r="I124" i="14"/>
  <c r="H124" i="14"/>
  <c r="G124" i="14"/>
  <c r="J165" i="14"/>
  <c r="I165" i="14"/>
  <c r="H165" i="14"/>
  <c r="G165" i="14"/>
  <c r="J44" i="14"/>
  <c r="I44" i="14"/>
  <c r="H44" i="14"/>
  <c r="G44" i="14"/>
  <c r="J65" i="14"/>
  <c r="I65" i="14"/>
  <c r="H65" i="14"/>
  <c r="G65" i="14"/>
  <c r="J221" i="14"/>
  <c r="I221" i="14"/>
  <c r="H221" i="14"/>
  <c r="G221" i="14"/>
  <c r="J71" i="14"/>
  <c r="I71" i="14"/>
  <c r="H71" i="14"/>
  <c r="G71" i="14"/>
  <c r="J300" i="14"/>
  <c r="I300" i="14"/>
  <c r="H300" i="14"/>
  <c r="G300" i="14"/>
  <c r="J113" i="14"/>
  <c r="I113" i="14"/>
  <c r="H113" i="14"/>
  <c r="G113" i="14"/>
  <c r="J43" i="14"/>
  <c r="I43" i="14"/>
  <c r="H43" i="14"/>
  <c r="G43" i="14"/>
  <c r="J242" i="14"/>
  <c r="I242" i="14"/>
  <c r="H242" i="14"/>
  <c r="G242" i="14"/>
  <c r="J206" i="14"/>
  <c r="I206" i="14"/>
  <c r="H206" i="14"/>
  <c r="G206" i="14"/>
  <c r="J106" i="14"/>
  <c r="I106" i="14"/>
  <c r="H106" i="14"/>
  <c r="G106" i="14"/>
  <c r="J99" i="14"/>
  <c r="I99" i="14"/>
  <c r="H99" i="14"/>
  <c r="G99" i="14"/>
  <c r="J241" i="14"/>
  <c r="I241" i="14"/>
  <c r="H241" i="14"/>
  <c r="G241" i="14"/>
  <c r="J240" i="14"/>
  <c r="I240" i="14"/>
  <c r="H240" i="14"/>
  <c r="G240" i="14"/>
  <c r="J239" i="14"/>
  <c r="I239" i="14"/>
  <c r="H239" i="14"/>
  <c r="G239" i="14"/>
  <c r="J133" i="14"/>
  <c r="I133" i="14"/>
  <c r="H133" i="14"/>
  <c r="G133" i="14"/>
  <c r="J306" i="14"/>
  <c r="I306" i="14"/>
  <c r="H306" i="14"/>
  <c r="G306" i="14"/>
  <c r="J105" i="14"/>
  <c r="I105" i="14"/>
  <c r="H105" i="14"/>
  <c r="G105" i="14"/>
  <c r="J195" i="14"/>
  <c r="I195" i="14"/>
  <c r="H195" i="14"/>
  <c r="G195" i="14"/>
  <c r="J205" i="14"/>
  <c r="I205" i="14"/>
  <c r="H205" i="14"/>
  <c r="G205" i="14"/>
  <c r="J16" i="14"/>
  <c r="I16" i="14"/>
  <c r="H16" i="14"/>
  <c r="G16" i="14"/>
  <c r="J201" i="14"/>
  <c r="I201" i="14"/>
  <c r="H201" i="14"/>
  <c r="G201" i="14"/>
  <c r="J123" i="14"/>
  <c r="I123" i="14"/>
  <c r="H123" i="14"/>
  <c r="G123" i="14"/>
  <c r="J213" i="14"/>
  <c r="I213" i="14"/>
  <c r="H213" i="14"/>
  <c r="G213" i="14"/>
  <c r="J200" i="14"/>
  <c r="I200" i="14"/>
  <c r="H200" i="14"/>
  <c r="G200" i="14"/>
  <c r="J199" i="14"/>
  <c r="I199" i="14"/>
  <c r="H199" i="14"/>
  <c r="G199" i="14"/>
  <c r="J42" i="14"/>
  <c r="I42" i="14"/>
  <c r="H42" i="14"/>
  <c r="G42" i="14"/>
  <c r="J32" i="14"/>
  <c r="I32" i="14"/>
  <c r="H32" i="14"/>
  <c r="G32" i="14"/>
  <c r="J122" i="14"/>
  <c r="I122" i="14"/>
  <c r="H122" i="14"/>
  <c r="G122" i="14"/>
  <c r="J219" i="14"/>
  <c r="I219" i="14"/>
  <c r="H219" i="14"/>
  <c r="G219" i="14"/>
  <c r="J120" i="14"/>
  <c r="I120" i="14"/>
  <c r="H120" i="14"/>
  <c r="G120" i="14"/>
  <c r="J312" i="14"/>
  <c r="I312" i="14"/>
  <c r="H312" i="14"/>
  <c r="G312" i="14"/>
  <c r="J111" i="14"/>
  <c r="I111" i="14"/>
  <c r="H111" i="14"/>
  <c r="G111" i="14"/>
  <c r="J15" i="14"/>
  <c r="I15" i="14"/>
  <c r="H15" i="14"/>
  <c r="G15" i="14"/>
  <c r="J31" i="14"/>
  <c r="I31" i="14"/>
  <c r="H31" i="14"/>
  <c r="G31" i="14"/>
  <c r="J39" i="14"/>
  <c r="I39" i="14"/>
  <c r="H39" i="14"/>
  <c r="G39" i="14"/>
  <c r="J212" i="14"/>
  <c r="I212" i="14"/>
  <c r="H212" i="14"/>
  <c r="G212" i="14"/>
  <c r="J292" i="14"/>
  <c r="I292" i="14"/>
  <c r="H292" i="14"/>
  <c r="G292" i="14"/>
  <c r="J232" i="14"/>
  <c r="I232" i="14"/>
  <c r="H232" i="14"/>
  <c r="G232" i="14"/>
  <c r="J136" i="14"/>
  <c r="I136" i="14"/>
  <c r="H136" i="14"/>
  <c r="G136" i="14"/>
  <c r="J194" i="14"/>
  <c r="I194" i="14"/>
  <c r="H194" i="14"/>
  <c r="G194" i="14"/>
  <c r="J299" i="14"/>
  <c r="I299" i="14"/>
  <c r="H299" i="14"/>
  <c r="G299" i="14"/>
  <c r="J68" i="14"/>
  <c r="I68" i="14"/>
  <c r="H68" i="14"/>
  <c r="G68" i="14"/>
  <c r="J91" i="14"/>
  <c r="I91" i="14"/>
  <c r="H91" i="14"/>
  <c r="G91" i="14"/>
  <c r="J132" i="14"/>
  <c r="I132" i="14"/>
  <c r="H132" i="14"/>
  <c r="G132" i="14"/>
  <c r="J198" i="14"/>
  <c r="I198" i="14"/>
  <c r="H198" i="14"/>
  <c r="G198" i="14"/>
  <c r="J104" i="14"/>
  <c r="I104" i="14"/>
  <c r="H104" i="14"/>
  <c r="G104" i="14"/>
  <c r="J23" i="14"/>
  <c r="I23" i="14"/>
  <c r="H23" i="14"/>
  <c r="G23" i="14"/>
  <c r="J294" i="14"/>
  <c r="I294" i="14"/>
  <c r="H294" i="14"/>
  <c r="G294" i="14"/>
  <c r="J231" i="14"/>
  <c r="I231" i="14"/>
  <c r="H231" i="14"/>
  <c r="G231" i="14"/>
  <c r="J90" i="14"/>
  <c r="I90" i="14"/>
  <c r="H90" i="14"/>
  <c r="G90" i="14"/>
  <c r="J103" i="14"/>
  <c r="I103" i="14"/>
  <c r="H103" i="14"/>
  <c r="G103" i="14"/>
  <c r="J102" i="14"/>
  <c r="I102" i="14"/>
  <c r="H102" i="14"/>
  <c r="G102" i="14"/>
  <c r="J173" i="14"/>
  <c r="I173" i="14"/>
  <c r="H173" i="14"/>
  <c r="G173" i="14"/>
  <c r="J30" i="14"/>
  <c r="I30" i="14"/>
  <c r="H30" i="14"/>
  <c r="G30" i="14"/>
  <c r="J115" i="14"/>
  <c r="I115" i="14"/>
  <c r="H115" i="14"/>
  <c r="G115" i="14"/>
  <c r="J119" i="14"/>
  <c r="I119" i="14"/>
  <c r="H119" i="14"/>
  <c r="G119" i="14"/>
  <c r="J41" i="14"/>
  <c r="I41" i="14"/>
  <c r="H41" i="14"/>
  <c r="G41" i="14"/>
  <c r="J110" i="14"/>
  <c r="I110" i="14"/>
  <c r="H110" i="14"/>
  <c r="G110" i="14"/>
  <c r="J12" i="14"/>
  <c r="I12" i="14"/>
  <c r="H12" i="14"/>
  <c r="G12" i="14"/>
  <c r="J9" i="14"/>
  <c r="I9" i="14"/>
  <c r="H9" i="14"/>
  <c r="G9" i="14"/>
  <c r="J8" i="14"/>
  <c r="I8" i="14"/>
  <c r="H8" i="14"/>
  <c r="G8" i="14"/>
  <c r="J7" i="14"/>
  <c r="I7" i="14"/>
  <c r="H7" i="14"/>
  <c r="G7" i="14"/>
  <c r="J215" i="14"/>
  <c r="I215" i="14"/>
  <c r="H215" i="14"/>
  <c r="G215" i="14"/>
  <c r="J114" i="14"/>
  <c r="I114" i="14"/>
  <c r="H114" i="14"/>
  <c r="G114" i="14"/>
  <c r="J298" i="14"/>
  <c r="I298" i="14"/>
  <c r="H298" i="14"/>
  <c r="G298" i="14"/>
  <c r="J164" i="14"/>
  <c r="I164" i="14"/>
  <c r="H164" i="14"/>
  <c r="G164" i="14"/>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F123" i="14"/>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K304" i="14"/>
  <c r="K261" i="14"/>
  <c r="K262" i="14"/>
  <c r="K150" i="14"/>
  <c r="K265" i="14"/>
  <c r="K266" i="14"/>
  <c r="K63" i="14"/>
  <c r="K177" i="14"/>
  <c r="K209" i="14"/>
  <c r="K139" i="14"/>
  <c r="K181" i="14"/>
  <c r="F179" i="15" s="1" a="1"/>
  <c r="F179" i="15" s="1"/>
  <c r="K89" i="14"/>
  <c r="K40" i="14"/>
  <c r="K29" i="14"/>
  <c r="F129" i="15" s="1" a="1"/>
  <c r="F129" i="15" s="1"/>
  <c r="K49" i="14"/>
  <c r="K76" i="14"/>
  <c r="F135" i="15" s="1" a="1"/>
  <c r="F135" i="15" s="1"/>
  <c r="K20" i="14"/>
  <c r="K17" i="14"/>
  <c r="K237" i="14"/>
  <c r="K126" i="14"/>
  <c r="K129" i="14"/>
  <c r="F165" i="15" s="1" a="1"/>
  <c r="F165" i="15" s="1"/>
  <c r="K290" i="14"/>
  <c r="K228" i="14"/>
  <c r="K159" i="14"/>
  <c r="F197" i="15" s="1" a="1"/>
  <c r="F197" i="15" s="1"/>
  <c r="K5" i="14"/>
  <c r="K184" i="14"/>
  <c r="F56" i="15" s="1" a="1"/>
  <c r="F56" i="15" s="1"/>
  <c r="K75" i="14"/>
  <c r="K307" i="14"/>
  <c r="K197" i="14"/>
  <c r="F207" i="15" s="1" a="1"/>
  <c r="F207" i="15" s="1"/>
  <c r="K3" i="14"/>
  <c r="F114" i="15" s="1" a="1"/>
  <c r="F114" i="15" s="1"/>
  <c r="K21" i="14"/>
  <c r="K218" i="14"/>
  <c r="K57" i="14"/>
  <c r="K234" i="14"/>
  <c r="K183" i="14"/>
  <c r="F183" i="15" s="1" a="1"/>
  <c r="F183" i="15" s="1"/>
  <c r="K143" i="14"/>
  <c r="F44" i="15" s="1" a="1"/>
  <c r="F44" i="15" s="1"/>
  <c r="K157" i="14"/>
  <c r="F47" i="15" s="1" a="1"/>
  <c r="F47" i="15" s="1"/>
  <c r="A44" i="1"/>
  <c r="AI44" i="1" s="1"/>
  <c r="A22" i="1"/>
  <c r="AI22" i="1" s="1"/>
  <c r="O24" i="1"/>
  <c r="O31" i="1"/>
  <c r="O36" i="1"/>
  <c r="Y18" i="1"/>
  <c r="H6" i="29" s="1"/>
  <c r="Z18" i="1"/>
  <c r="O30" i="1"/>
  <c r="Q39" i="1"/>
  <c r="A40" i="1"/>
  <c r="AI40" i="1" s="1"/>
  <c r="K88" i="14"/>
  <c r="K91" i="14"/>
  <c r="K27" i="14"/>
  <c r="F127" i="15" s="1" a="1"/>
  <c r="F127" i="15" s="1"/>
  <c r="B13" i="2"/>
  <c r="K90" i="14"/>
  <c r="K231" i="14"/>
  <c r="K260" i="14"/>
  <c r="K50" i="14"/>
  <c r="K277" i="14"/>
  <c r="K104" i="14"/>
  <c r="K132" i="14"/>
  <c r="K269" i="14"/>
  <c r="K42" i="14"/>
  <c r="K92" i="14"/>
  <c r="K153" i="14"/>
  <c r="K208" i="14"/>
  <c r="F202" i="15" s="1" a="1"/>
  <c r="F202" i="15" s="1"/>
  <c r="K257" i="14"/>
  <c r="K111" i="14"/>
  <c r="F23" i="15" s="1" a="1"/>
  <c r="F23" i="15" s="1"/>
  <c r="K199" i="14"/>
  <c r="K205" i="14"/>
  <c r="K105" i="14"/>
  <c r="K240" i="14"/>
  <c r="K242" i="14"/>
  <c r="K300" i="14"/>
  <c r="K44" i="14"/>
  <c r="K165" i="14"/>
  <c r="K288" i="14"/>
  <c r="F224" i="15" s="1" a="1"/>
  <c r="F224" i="15" s="1"/>
  <c r="K191" i="14"/>
  <c r="K235" i="14"/>
  <c r="K137" i="14"/>
  <c r="K311" i="14"/>
  <c r="F141" i="15" s="1" a="1"/>
  <c r="F141" i="15" s="1"/>
  <c r="K10" i="14"/>
  <c r="F5" i="15" s="1" a="1"/>
  <c r="F5" i="15" s="1"/>
  <c r="K14" i="14"/>
  <c r="F108" i="15" s="1" a="1"/>
  <c r="F108" i="15" s="1"/>
  <c r="K58" i="14"/>
  <c r="K60" i="14"/>
  <c r="K227" i="14"/>
  <c r="K138" i="14"/>
  <c r="K314" i="14"/>
  <c r="F35" i="15" s="1" a="1"/>
  <c r="F35" i="15" s="1"/>
  <c r="K243" i="14"/>
  <c r="K79" i="14"/>
  <c r="K145" i="14"/>
  <c r="K167" i="14"/>
  <c r="K246" i="14"/>
  <c r="K247" i="14"/>
  <c r="K168" i="14"/>
  <c r="K45" i="14"/>
  <c r="K249" i="14"/>
  <c r="K252" i="14"/>
  <c r="K46" i="14"/>
  <c r="K253" i="14"/>
  <c r="K37" i="14"/>
  <c r="K169" i="14"/>
  <c r="K312" i="14"/>
  <c r="F63" i="15" s="1" a="1"/>
  <c r="F63" i="15" s="1"/>
  <c r="K123" i="14"/>
  <c r="K306" i="14"/>
  <c r="K106" i="14"/>
  <c r="K43" i="14"/>
  <c r="K71" i="14"/>
  <c r="F146" i="15" s="1" a="1"/>
  <c r="F146" i="15" s="1"/>
  <c r="K124" i="14"/>
  <c r="K13" i="14"/>
  <c r="K152" i="14"/>
  <c r="K174" i="14"/>
  <c r="K107" i="14"/>
  <c r="K295" i="14"/>
  <c r="K85" i="14"/>
  <c r="F154" i="15" s="1" a="1"/>
  <c r="F154" i="15" s="1"/>
  <c r="K305" i="14"/>
  <c r="F228" i="15" s="1" a="1"/>
  <c r="F228" i="15" s="1"/>
  <c r="K142" i="14"/>
  <c r="K289" i="14"/>
  <c r="F223" i="15" s="1" a="1"/>
  <c r="F223" i="15" s="1"/>
  <c r="K316" i="14"/>
  <c r="F221" i="15" s="1" a="1"/>
  <c r="F221" i="15" s="1"/>
  <c r="K69" i="14"/>
  <c r="K135" i="14"/>
  <c r="K292" i="14"/>
  <c r="K255" i="14"/>
  <c r="K114" i="14"/>
  <c r="K7" i="14"/>
  <c r="K8" i="14"/>
  <c r="K12" i="14"/>
  <c r="K115" i="14"/>
  <c r="K102" i="14"/>
  <c r="K232" i="14"/>
  <c r="K155" i="14"/>
  <c r="F174" i="15" s="1" a="1"/>
  <c r="F174" i="15" s="1"/>
  <c r="K125" i="14"/>
  <c r="K109" i="14"/>
  <c r="Z22" i="1"/>
  <c r="Y22" i="1"/>
  <c r="H10" i="29" s="1"/>
  <c r="Y20" i="1"/>
  <c r="H8" i="29" s="1"/>
  <c r="K122" i="14"/>
  <c r="K16" i="14"/>
  <c r="K99" i="14"/>
  <c r="K254" i="14"/>
  <c r="K263" i="14"/>
  <c r="K267" i="14"/>
  <c r="Z19" i="1"/>
  <c r="A24" i="1"/>
  <c r="AI24" i="1" s="1"/>
  <c r="O32" i="1"/>
  <c r="P35" i="1"/>
  <c r="I53" i="29" s="1"/>
  <c r="K239" i="14"/>
  <c r="K149" i="14"/>
  <c r="K6" i="14"/>
  <c r="F111" i="15" s="1" a="1"/>
  <c r="F111" i="15" s="1"/>
  <c r="K24" i="14"/>
  <c r="K35" i="14"/>
  <c r="K36" i="14"/>
  <c r="K258" i="14"/>
  <c r="K264" i="14"/>
  <c r="K272" i="14"/>
  <c r="K61" i="14"/>
  <c r="K146" i="14"/>
  <c r="F169" i="15" s="1" a="1"/>
  <c r="F169" i="15" s="1"/>
  <c r="K97" i="14"/>
  <c r="K131" i="14"/>
  <c r="K281" i="14"/>
  <c r="K283" i="14"/>
  <c r="K297" i="14"/>
  <c r="A30" i="1"/>
  <c r="AI30" i="1" s="1"/>
  <c r="K119" i="14"/>
  <c r="K275" i="14"/>
  <c r="K171" i="14"/>
  <c r="K86" i="14"/>
  <c r="F161" i="15" s="1" a="1"/>
  <c r="F161" i="15" s="1"/>
  <c r="O19" i="1"/>
  <c r="Z20" i="1"/>
  <c r="A31" i="1"/>
  <c r="AI31" i="1" s="1"/>
  <c r="K110" i="14"/>
  <c r="F152" i="15" s="1" a="1"/>
  <c r="F152" i="15" s="1"/>
  <c r="K59" i="14"/>
  <c r="K179" i="14"/>
  <c r="K270" i="14"/>
  <c r="K273" i="14"/>
  <c r="K64" i="14"/>
  <c r="K176" i="14"/>
  <c r="K302" i="14"/>
  <c r="K229" i="14"/>
  <c r="F212" i="15" s="1" a="1"/>
  <c r="F212" i="15" s="1"/>
  <c r="K11" i="14"/>
  <c r="K309" i="14"/>
  <c r="F95" i="15" s="1" a="1"/>
  <c r="F95" i="15" s="1"/>
  <c r="K284" i="14"/>
  <c r="A28" i="1"/>
  <c r="AI28" i="1" s="1"/>
  <c r="A38" i="1"/>
  <c r="AI38" i="1" s="1"/>
  <c r="K299" i="14"/>
  <c r="K32" i="14"/>
  <c r="K65" i="14"/>
  <c r="K2" i="14"/>
  <c r="F103" i="15" s="1" a="1"/>
  <c r="F103" i="15" s="1"/>
  <c r="K248" i="14"/>
  <c r="K117" i="14"/>
  <c r="K178" i="14"/>
  <c r="K172" i="14"/>
  <c r="K303" i="14"/>
  <c r="K160" i="14"/>
  <c r="K19" i="14"/>
  <c r="K180" i="14"/>
  <c r="K162" i="14"/>
  <c r="K278" i="14"/>
  <c r="K182" i="14"/>
  <c r="K310" i="14"/>
  <c r="F34" i="15" s="1" a="1"/>
  <c r="F34" i="15" s="1"/>
  <c r="K224" i="14"/>
  <c r="K186" i="14"/>
  <c r="K100" i="14"/>
  <c r="K210" i="14"/>
  <c r="K74" i="14"/>
  <c r="K70" i="14"/>
  <c r="K280" i="14"/>
  <c r="K215" i="14"/>
  <c r="K190" i="14"/>
  <c r="F188" i="15" s="1" a="1"/>
  <c r="F188" i="15" s="1"/>
  <c r="K73" i="14"/>
  <c r="O38" i="1"/>
  <c r="C17" i="2"/>
  <c r="K39" i="14"/>
  <c r="K200" i="14"/>
  <c r="K192" i="14"/>
  <c r="K276" i="14"/>
  <c r="K313" i="14"/>
  <c r="F180" i="15" s="1" a="1"/>
  <c r="F180" i="15" s="1"/>
  <c r="K233" i="14"/>
  <c r="K222" i="14"/>
  <c r="F216" i="15" s="1" a="1"/>
  <c r="F216" i="15" s="1"/>
  <c r="K77" i="14"/>
  <c r="O22" i="1"/>
  <c r="P31" i="1"/>
  <c r="I49" i="29" s="1"/>
  <c r="P19" i="1"/>
  <c r="I37" i="29" s="1"/>
  <c r="O23" i="1"/>
  <c r="Z24" i="1"/>
  <c r="O28" i="1"/>
  <c r="P38" i="1"/>
  <c r="I56" i="29" s="1"/>
  <c r="A43" i="1"/>
  <c r="AI43" i="1" s="1"/>
  <c r="K9" i="14"/>
  <c r="F118" i="15" s="1" a="1"/>
  <c r="F118" i="15" s="1"/>
  <c r="K41" i="14"/>
  <c r="K195" i="14"/>
  <c r="K223" i="14"/>
  <c r="K185" i="14"/>
  <c r="F195" i="15" s="1" a="1"/>
  <c r="F195" i="15" s="1"/>
  <c r="K166" i="14"/>
  <c r="K116" i="14"/>
  <c r="K271" i="14"/>
  <c r="K175" i="14"/>
  <c r="K48" i="14"/>
  <c r="K51" i="14"/>
  <c r="K55" i="14"/>
  <c r="K38" i="14"/>
  <c r="K279" i="14"/>
  <c r="K26" i="14"/>
  <c r="F13" i="15" s="1" a="1"/>
  <c r="F13" i="15" s="1"/>
  <c r="K189" i="14"/>
  <c r="K93" i="14"/>
  <c r="K193" i="14"/>
  <c r="K80" i="14"/>
  <c r="K230" i="14"/>
  <c r="K141" i="14"/>
  <c r="F162" i="15" s="1" a="1"/>
  <c r="F162" i="15" s="1"/>
  <c r="K296" i="14"/>
  <c r="K298" i="14"/>
  <c r="K194" i="14"/>
  <c r="K219" i="14"/>
  <c r="K241" i="14"/>
  <c r="K206" i="14"/>
  <c r="K202" i="14"/>
  <c r="K82" i="14"/>
  <c r="F131" i="15" s="1" a="1"/>
  <c r="F131" i="15" s="1"/>
  <c r="K148" i="14"/>
  <c r="K34" i="14"/>
  <c r="K170" i="14"/>
  <c r="K56" i="14"/>
  <c r="K214" i="14"/>
  <c r="K52" i="14"/>
  <c r="K207" i="14"/>
  <c r="F72" i="15" s="1" a="1"/>
  <c r="F72" i="15" s="1"/>
  <c r="K238" i="14"/>
  <c r="K62" i="14"/>
  <c r="F140" i="15" s="1" a="1"/>
  <c r="F140" i="15" s="1"/>
  <c r="K293" i="14"/>
  <c r="K78" i="14"/>
  <c r="K204" i="14"/>
  <c r="F205" i="15" s="1" a="1"/>
  <c r="F205" i="15" s="1"/>
  <c r="K301" i="14"/>
  <c r="K127" i="14"/>
  <c r="K151" i="14"/>
  <c r="F53" i="15" s="1" a="1"/>
  <c r="F53" i="15" s="1"/>
  <c r="K98" i="14"/>
  <c r="K112" i="14"/>
  <c r="F153" i="15" s="1" a="1"/>
  <c r="F153" i="15" s="1"/>
  <c r="K28" i="14"/>
  <c r="F130" i="15" s="1" a="1"/>
  <c r="F130" i="15" s="1"/>
  <c r="K81" i="14"/>
  <c r="K156" i="14"/>
  <c r="F173" i="15" s="1" a="1"/>
  <c r="F173" i="15" s="1"/>
  <c r="K4" i="14"/>
  <c r="K158" i="14"/>
  <c r="K217" i="14"/>
  <c r="K196" i="14"/>
  <c r="K95" i="14"/>
  <c r="F149" i="15" s="1" a="1"/>
  <c r="F149" i="15" s="1"/>
  <c r="A20" i="1"/>
  <c r="AI20" i="1" s="1"/>
  <c r="A27" i="1"/>
  <c r="AI27" i="1" s="1"/>
  <c r="A34" i="1"/>
  <c r="AI34" i="1" s="1"/>
  <c r="K294" i="14"/>
  <c r="K83" i="14"/>
  <c r="K285" i="14"/>
  <c r="K244" i="14"/>
  <c r="K47" i="14"/>
  <c r="K140" i="14"/>
  <c r="K287" i="14"/>
  <c r="F220" i="15" s="1" a="1"/>
  <c r="F220" i="15" s="1"/>
  <c r="K282" i="14"/>
  <c r="K308" i="14"/>
  <c r="K236" i="14"/>
  <c r="K128" i="14"/>
  <c r="F166" i="15" s="1" a="1"/>
  <c r="F166" i="15" s="1"/>
  <c r="K67" i="14"/>
  <c r="A32" i="1"/>
  <c r="AI32" i="1" s="1"/>
  <c r="A35" i="1"/>
  <c r="AI35" i="1" s="1"/>
  <c r="P43" i="1"/>
  <c r="I61" i="29" s="1"/>
  <c r="K31" i="14"/>
  <c r="K213" i="14"/>
  <c r="K113" i="14"/>
  <c r="F164" i="15" s="1" a="1"/>
  <c r="F164" i="15" s="1"/>
  <c r="K121" i="14"/>
  <c r="K203" i="14"/>
  <c r="K18" i="14"/>
  <c r="K188" i="14"/>
  <c r="K251" i="14"/>
  <c r="K220" i="14"/>
  <c r="K22" i="14"/>
  <c r="F110" i="15" s="1" a="1"/>
  <c r="F110" i="15" s="1"/>
  <c r="K94" i="14"/>
  <c r="F150" i="15" s="1" a="1"/>
  <c r="F150" i="15" s="1"/>
  <c r="K84" i="14"/>
  <c r="K87" i="14"/>
  <c r="K211" i="14"/>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O123" i="14"/>
  <c r="N123" i="14"/>
  <c r="M123" i="14"/>
  <c r="L123" i="14"/>
  <c r="P22" i="1"/>
  <c r="Q34" i="1"/>
  <c r="O40" i="1"/>
  <c r="A42" i="1"/>
  <c r="AI42" i="1" s="1"/>
  <c r="O44" i="1"/>
  <c r="O18" i="1"/>
  <c r="F110" i="14"/>
  <c r="O27" i="1"/>
  <c r="O43" i="1"/>
  <c r="K23" i="14"/>
  <c r="K198" i="14"/>
  <c r="F91" i="14"/>
  <c r="F292" i="14"/>
  <c r="F312" i="14"/>
  <c r="K30" i="14"/>
  <c r="F102" i="14"/>
  <c r="K136" i="14"/>
  <c r="K15" i="14"/>
  <c r="F306" i="14"/>
  <c r="F8" i="14"/>
  <c r="F104" i="14"/>
  <c r="O35" i="1"/>
  <c r="F309" i="14"/>
  <c r="F101" i="14"/>
  <c r="F27" i="14"/>
  <c r="F286" i="14"/>
  <c r="F281" i="14"/>
  <c r="F291" i="14"/>
  <c r="F131" i="14"/>
  <c r="F216" i="14"/>
  <c r="F97" i="14"/>
  <c r="F225" i="14"/>
  <c r="F146" i="14"/>
  <c r="F54" i="14"/>
  <c r="F96" i="14"/>
  <c r="F53" i="14"/>
  <c r="F147" i="14"/>
  <c r="F226" i="14"/>
  <c r="F315" i="14"/>
  <c r="F72" i="14"/>
  <c r="F25" i="14"/>
  <c r="F163" i="14"/>
  <c r="F161" i="14"/>
  <c r="F118" i="14"/>
  <c r="F187" i="14"/>
  <c r="F274" i="14"/>
  <c r="F268" i="14"/>
  <c r="F154" i="14"/>
  <c r="F259" i="14"/>
  <c r="F256" i="14"/>
  <c r="F183" i="14"/>
  <c r="F67" i="14"/>
  <c r="F3" i="14"/>
  <c r="F95" i="14"/>
  <c r="F75" i="14"/>
  <c r="F296" i="14"/>
  <c r="F141" i="14"/>
  <c r="F230" i="14"/>
  <c r="F80" i="14"/>
  <c r="F193" i="14"/>
  <c r="F93" i="14"/>
  <c r="F189" i="14"/>
  <c r="F26" i="14"/>
  <c r="F279" i="14"/>
  <c r="F20" i="14"/>
  <c r="F77" i="14"/>
  <c r="F29" i="14"/>
  <c r="F73" i="14"/>
  <c r="F40" i="14"/>
  <c r="F19" i="14"/>
  <c r="F209" i="14"/>
  <c r="F302" i="14"/>
  <c r="F177" i="14"/>
  <c r="F275" i="14"/>
  <c r="F269" i="14"/>
  <c r="F264" i="14"/>
  <c r="F260" i="14"/>
  <c r="F208" i="14"/>
  <c r="F143" i="14"/>
  <c r="F87" i="14"/>
  <c r="F94" i="14"/>
  <c r="F236" i="14"/>
  <c r="F282" i="14"/>
  <c r="F217" i="14"/>
  <c r="F4" i="14"/>
  <c r="F81" i="14"/>
  <c r="F112" i="14"/>
  <c r="F151" i="14"/>
  <c r="F301" i="14"/>
  <c r="F78" i="14"/>
  <c r="F62" i="14"/>
  <c r="F207" i="14"/>
  <c r="F214" i="14"/>
  <c r="F55" i="14"/>
  <c r="F48" i="14"/>
  <c r="F233" i="14"/>
  <c r="F276" i="14"/>
  <c r="F88" i="14"/>
  <c r="F139" i="14"/>
  <c r="F303" i="14"/>
  <c r="F178" i="14"/>
  <c r="F64" i="14"/>
  <c r="F270" i="14"/>
  <c r="F265" i="14"/>
  <c r="F261" i="14"/>
  <c r="F169" i="14"/>
  <c r="F254" i="14"/>
  <c r="F284" i="14"/>
  <c r="F57" i="14"/>
  <c r="F21" i="14"/>
  <c r="F297" i="14"/>
  <c r="F283" i="14"/>
  <c r="F184" i="14"/>
  <c r="F5" i="14"/>
  <c r="F159" i="14"/>
  <c r="F304" i="14"/>
  <c r="F228" i="14"/>
  <c r="F290" i="14"/>
  <c r="F129" i="14"/>
  <c r="F126" i="14"/>
  <c r="F237" i="14"/>
  <c r="F17" i="14"/>
  <c r="F76" i="14"/>
  <c r="F49" i="14"/>
  <c r="F22" i="14"/>
  <c r="F220" i="14"/>
  <c r="F287" i="14"/>
  <c r="F140" i="14"/>
  <c r="F56" i="14"/>
  <c r="F170" i="14"/>
  <c r="F175" i="14"/>
  <c r="F271" i="14"/>
  <c r="F266" i="14"/>
  <c r="F262" i="14"/>
  <c r="F117" i="14"/>
  <c r="F36" i="14"/>
  <c r="F157" i="14"/>
  <c r="F234" i="14"/>
  <c r="F218" i="14"/>
  <c r="F197" i="14"/>
  <c r="F307" i="14"/>
  <c r="F280" i="14"/>
  <c r="F70" i="14"/>
  <c r="F74" i="14"/>
  <c r="F210" i="14"/>
  <c r="F100" i="14"/>
  <c r="F186" i="14"/>
  <c r="F224" i="14"/>
  <c r="F310" i="14"/>
  <c r="F182" i="14"/>
  <c r="F278" i="14"/>
  <c r="F277" i="14"/>
  <c r="F50" i="14"/>
  <c r="F162" i="14"/>
  <c r="F180" i="14"/>
  <c r="F11" i="14"/>
  <c r="F229" i="14"/>
  <c r="F86" i="14"/>
  <c r="F171" i="14"/>
  <c r="F61" i="14"/>
  <c r="F272" i="14"/>
  <c r="F267" i="14"/>
  <c r="F263" i="14"/>
  <c r="F257" i="14"/>
  <c r="F37" i="14"/>
  <c r="F253" i="14"/>
  <c r="F250" i="14"/>
  <c r="F247" i="14"/>
  <c r="F245" i="14"/>
  <c r="F79" i="14"/>
  <c r="F144" i="14"/>
  <c r="F148" i="14"/>
  <c r="F33" i="14"/>
  <c r="F190" i="14"/>
  <c r="F134" i="14"/>
  <c r="F235" i="14"/>
  <c r="F130" i="14"/>
  <c r="F13" i="14"/>
  <c r="F221" i="14"/>
  <c r="F206" i="14"/>
  <c r="F133" i="14"/>
  <c r="F201" i="14"/>
  <c r="F32" i="14"/>
  <c r="F15" i="14"/>
  <c r="F136" i="14"/>
  <c r="F198" i="14"/>
  <c r="F103" i="14"/>
  <c r="F41" i="14"/>
  <c r="F215" i="14"/>
  <c r="F255" i="14"/>
  <c r="F251" i="14"/>
  <c r="F168" i="14"/>
  <c r="F116" i="14"/>
  <c r="F135" i="14"/>
  <c r="F2" i="14"/>
  <c r="F227" i="14"/>
  <c r="F6" i="14"/>
  <c r="F125" i="14"/>
  <c r="F203" i="14"/>
  <c r="F174" i="14"/>
  <c r="F185" i="14"/>
  <c r="F288" i="14"/>
  <c r="F65" i="14"/>
  <c r="F242" i="14"/>
  <c r="F239" i="14"/>
  <c r="F16" i="14"/>
  <c r="F42" i="14"/>
  <c r="F111" i="14"/>
  <c r="F232" i="14"/>
  <c r="F132" i="14"/>
  <c r="F90" i="14"/>
  <c r="F119" i="14"/>
  <c r="F7" i="14"/>
  <c r="F252" i="14"/>
  <c r="F45" i="14"/>
  <c r="F109" i="14"/>
  <c r="F153" i="14"/>
  <c r="F314" i="14"/>
  <c r="F289" i="14"/>
  <c r="F305" i="14"/>
  <c r="F14" i="14"/>
  <c r="F295" i="14"/>
  <c r="F137" i="14"/>
  <c r="F155" i="14"/>
  <c r="F92" i="14"/>
  <c r="F44" i="14"/>
  <c r="F43" i="14"/>
  <c r="F240" i="14"/>
  <c r="F205" i="14"/>
  <c r="F199" i="14"/>
  <c r="F211" i="14"/>
  <c r="F128" i="14"/>
  <c r="F196" i="14"/>
  <c r="F156" i="14"/>
  <c r="F98" i="14"/>
  <c r="F204" i="14"/>
  <c r="F238" i="14"/>
  <c r="F38" i="14"/>
  <c r="F222" i="14"/>
  <c r="F89" i="14"/>
  <c r="F160" i="14"/>
  <c r="F176" i="14"/>
  <c r="F63" i="14"/>
  <c r="F258" i="14"/>
  <c r="F46" i="14"/>
  <c r="F248" i="14"/>
  <c r="F167" i="14"/>
  <c r="F24" i="14"/>
  <c r="F243" i="14"/>
  <c r="F18" i="14"/>
  <c r="F82" i="14"/>
  <c r="F166" i="14"/>
  <c r="F10" i="14"/>
  <c r="F107" i="14"/>
  <c r="F191" i="14"/>
  <c r="F149" i="14"/>
  <c r="F165" i="14"/>
  <c r="F113" i="14"/>
  <c r="F241" i="14"/>
  <c r="F195" i="14"/>
  <c r="F200" i="14"/>
  <c r="F120" i="14"/>
  <c r="F212" i="14"/>
  <c r="F68" i="14"/>
  <c r="F294" i="14"/>
  <c r="F30" i="14"/>
  <c r="F9" i="14"/>
  <c r="F164" i="14"/>
  <c r="F47" i="14"/>
  <c r="F34" i="14"/>
  <c r="F246" i="14"/>
  <c r="F145" i="14"/>
  <c r="F179" i="14"/>
  <c r="F138" i="14"/>
  <c r="F142" i="14"/>
  <c r="F58" i="14"/>
  <c r="F285" i="14"/>
  <c r="F202" i="14"/>
  <c r="F192" i="14"/>
  <c r="F152" i="14"/>
  <c r="F124" i="14"/>
  <c r="F300" i="14"/>
  <c r="F99" i="14"/>
  <c r="F105" i="14"/>
  <c r="F213" i="14"/>
  <c r="F219" i="14"/>
  <c r="F39" i="14"/>
  <c r="F299" i="14"/>
  <c r="F23" i="14"/>
  <c r="F173" i="14"/>
  <c r="F12" i="14"/>
  <c r="F298" i="14"/>
  <c r="F35" i="14"/>
  <c r="F249" i="14"/>
  <c r="F188" i="14"/>
  <c r="F244" i="14"/>
  <c r="F69" i="14"/>
  <c r="F316" i="14"/>
  <c r="F60" i="14"/>
  <c r="F59" i="14"/>
  <c r="F85" i="14"/>
  <c r="F311" i="14"/>
  <c r="F121" i="14"/>
  <c r="F83" i="14"/>
  <c r="F223" i="14"/>
  <c r="F71" i="14"/>
  <c r="F106" i="14"/>
  <c r="F84" i="14"/>
  <c r="F308" i="14"/>
  <c r="F158" i="14"/>
  <c r="F28" i="14"/>
  <c r="F127" i="14"/>
  <c r="F293" i="14"/>
  <c r="F52" i="14"/>
  <c r="F51" i="14"/>
  <c r="F313" i="14"/>
  <c r="F181" i="14"/>
  <c r="F172" i="14"/>
  <c r="F273" i="14"/>
  <c r="F150" i="14"/>
  <c r="F115" i="14"/>
  <c r="K133" i="14"/>
  <c r="K164" i="14"/>
  <c r="F114" i="14"/>
  <c r="K68" i="14"/>
  <c r="F194" i="14"/>
  <c r="K212" i="14"/>
  <c r="F31" i="14"/>
  <c r="K120" i="14"/>
  <c r="F122" i="14"/>
  <c r="K173" i="14"/>
  <c r="K103" i="14"/>
  <c r="F231" i="14"/>
  <c r="K221" i="14"/>
  <c r="F217" i="15" s="1" a="1"/>
  <c r="F217" i="15" s="1"/>
  <c r="K130" i="14"/>
  <c r="K134" i="14"/>
  <c r="K33" i="14"/>
  <c r="K144" i="14"/>
  <c r="K245" i="14"/>
  <c r="K250" i="14"/>
  <c r="K201" i="14"/>
  <c r="K256" i="14"/>
  <c r="K154" i="14"/>
  <c r="K274" i="14"/>
  <c r="K163" i="14"/>
  <c r="F198" i="15" s="1" a="1"/>
  <c r="F198" i="15" s="1"/>
  <c r="K72" i="14"/>
  <c r="K226" i="14"/>
  <c r="F208" i="15" s="1" a="1"/>
  <c r="F208" i="15" s="1"/>
  <c r="K53" i="14"/>
  <c r="K118" i="14"/>
  <c r="K54" i="14"/>
  <c r="K225" i="14"/>
  <c r="K216" i="14"/>
  <c r="K291" i="14"/>
  <c r="K286" i="14"/>
  <c r="K101" i="14"/>
  <c r="K259" i="14"/>
  <c r="K268" i="14"/>
  <c r="K187" i="14"/>
  <c r="F192" i="15" s="1" a="1"/>
  <c r="F192" i="15" s="1"/>
  <c r="K161" i="14"/>
  <c r="K25" i="14"/>
  <c r="F128" i="15" s="1" a="1"/>
  <c r="F128" i="15" s="1"/>
  <c r="K315" i="14"/>
  <c r="F199" i="15" s="1" a="1"/>
  <c r="F199" i="15" s="1"/>
  <c r="K147" i="14"/>
  <c r="K96" i="14"/>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O293" i="14"/>
  <c r="N293" i="14"/>
  <c r="M293" i="14"/>
  <c r="L293" i="14"/>
  <c r="N23" i="14"/>
  <c r="M23" i="14"/>
  <c r="L23" i="14"/>
  <c r="O23" i="14"/>
  <c r="L294" i="14"/>
  <c r="N294" i="14"/>
  <c r="M294" i="14"/>
  <c r="O294" i="14"/>
  <c r="O160" i="14"/>
  <c r="N160" i="14"/>
  <c r="M160" i="14"/>
  <c r="L160" i="14"/>
  <c r="O239" i="14"/>
  <c r="N239" i="14"/>
  <c r="M239" i="14"/>
  <c r="L239" i="14"/>
  <c r="O133" i="14"/>
  <c r="N133" i="14"/>
  <c r="M133" i="14"/>
  <c r="L133" i="14"/>
  <c r="O210" i="14"/>
  <c r="N210" i="14"/>
  <c r="M210" i="14"/>
  <c r="L210" i="14"/>
  <c r="M237" i="14"/>
  <c r="L237" i="14"/>
  <c r="O237" i="14"/>
  <c r="N237" i="14"/>
  <c r="M57" i="14"/>
  <c r="L57" i="14"/>
  <c r="O57" i="14"/>
  <c r="N57" i="14"/>
  <c r="O4" i="14"/>
  <c r="N4" i="14"/>
  <c r="M4" i="14"/>
  <c r="L4" i="14"/>
  <c r="O93" i="14"/>
  <c r="N93" i="14"/>
  <c r="M93" i="14"/>
  <c r="L93" i="14"/>
  <c r="O259" i="14"/>
  <c r="N259" i="14"/>
  <c r="M259" i="14"/>
  <c r="L259" i="14"/>
  <c r="O102" i="14"/>
  <c r="N102" i="14"/>
  <c r="M102" i="14"/>
  <c r="L102" i="14"/>
  <c r="F8" i="15" a="1"/>
  <c r="F8" i="15" s="1"/>
  <c r="F9" i="15" a="1"/>
  <c r="F9" i="15" s="1"/>
  <c r="O114" i="14"/>
  <c r="N114" i="14"/>
  <c r="M114" i="14"/>
  <c r="L114" i="14"/>
  <c r="O127" i="14"/>
  <c r="N127" i="14"/>
  <c r="M127" i="14"/>
  <c r="L127" i="14"/>
  <c r="O59" i="14"/>
  <c r="N59" i="14"/>
  <c r="M59" i="14"/>
  <c r="L59" i="14"/>
  <c r="N299" i="14"/>
  <c r="M299" i="14"/>
  <c r="L299" i="14"/>
  <c r="O299" i="14"/>
  <c r="N58" i="14"/>
  <c r="M58" i="14"/>
  <c r="L58" i="14"/>
  <c r="O58" i="14"/>
  <c r="L68" i="14"/>
  <c r="O68" i="14"/>
  <c r="M68" i="14"/>
  <c r="N68" i="14"/>
  <c r="L166" i="14"/>
  <c r="N166" i="14"/>
  <c r="M166" i="14"/>
  <c r="O166" i="14"/>
  <c r="O89" i="14"/>
  <c r="N89" i="14"/>
  <c r="M89" i="14"/>
  <c r="L89" i="14"/>
  <c r="O240" i="14"/>
  <c r="N240" i="14"/>
  <c r="M240" i="14"/>
  <c r="L240" i="14"/>
  <c r="O109" i="14"/>
  <c r="N109" i="14"/>
  <c r="L109" i="14"/>
  <c r="M109" i="14"/>
  <c r="O242" i="14"/>
  <c r="N242" i="14"/>
  <c r="M242" i="14"/>
  <c r="L242" i="14"/>
  <c r="O168" i="14"/>
  <c r="N168" i="14"/>
  <c r="M168" i="14"/>
  <c r="L168" i="14"/>
  <c r="O206" i="14"/>
  <c r="N206" i="14"/>
  <c r="M206" i="14"/>
  <c r="L206" i="14"/>
  <c r="O247" i="14"/>
  <c r="N247" i="14"/>
  <c r="M247" i="14"/>
  <c r="L247" i="14"/>
  <c r="O11" i="14"/>
  <c r="N11" i="14"/>
  <c r="M11" i="14"/>
  <c r="L11" i="14"/>
  <c r="O74" i="14"/>
  <c r="N74" i="14"/>
  <c r="M74" i="14"/>
  <c r="L74" i="14"/>
  <c r="M271" i="14"/>
  <c r="L271" i="14"/>
  <c r="O271" i="14"/>
  <c r="N271" i="14"/>
  <c r="M126" i="14"/>
  <c r="L126" i="14"/>
  <c r="O126" i="14"/>
  <c r="N126" i="14"/>
  <c r="M284" i="14"/>
  <c r="L284" i="14"/>
  <c r="O284" i="14"/>
  <c r="N284" i="14"/>
  <c r="O233" i="14"/>
  <c r="N233" i="14"/>
  <c r="M233" i="14"/>
  <c r="L233" i="14"/>
  <c r="O217" i="14"/>
  <c r="N217" i="14"/>
  <c r="M217" i="14"/>
  <c r="L217" i="14"/>
  <c r="O302" i="14"/>
  <c r="N302" i="14"/>
  <c r="M302" i="14"/>
  <c r="L302" i="14"/>
  <c r="O193" i="14"/>
  <c r="N193" i="14"/>
  <c r="M193" i="14"/>
  <c r="L193" i="14"/>
  <c r="O154" i="14"/>
  <c r="N154" i="14"/>
  <c r="M154" i="14"/>
  <c r="L154" i="14"/>
  <c r="O53" i="14"/>
  <c r="N53" i="14"/>
  <c r="M53" i="14"/>
  <c r="L53" i="14"/>
  <c r="O101" i="14"/>
  <c r="N101" i="14"/>
  <c r="M101" i="14"/>
  <c r="L101" i="14"/>
  <c r="F12" i="15" a="1"/>
  <c r="F12" i="15" s="1"/>
  <c r="F11" i="15" a="1"/>
  <c r="F11" i="15" s="1"/>
  <c r="F10" i="15" a="1"/>
  <c r="F10" i="15" s="1"/>
  <c r="F76" i="15" a="1"/>
  <c r="F76" i="15" s="1"/>
  <c r="F77" i="15" a="1"/>
  <c r="F77" i="15" s="1"/>
  <c r="F75" i="15" a="1"/>
  <c r="F75" i="15" s="1"/>
  <c r="O158" i="14"/>
  <c r="N158" i="14"/>
  <c r="M158" i="14"/>
  <c r="L158" i="14"/>
  <c r="O316" i="14"/>
  <c r="N316" i="14"/>
  <c r="M316" i="14"/>
  <c r="L316" i="14"/>
  <c r="N219" i="14"/>
  <c r="M219" i="14"/>
  <c r="L219" i="14"/>
  <c r="O219" i="14"/>
  <c r="N138" i="14"/>
  <c r="M138" i="14"/>
  <c r="L138" i="14"/>
  <c r="O138" i="14"/>
  <c r="L120" i="14"/>
  <c r="O120" i="14"/>
  <c r="M120" i="14"/>
  <c r="N120" i="14"/>
  <c r="L18" i="14"/>
  <c r="N18" i="14"/>
  <c r="M18" i="14"/>
  <c r="O18" i="14"/>
  <c r="O38" i="14"/>
  <c r="N38" i="14"/>
  <c r="M38" i="14"/>
  <c r="L38" i="14"/>
  <c r="O44" i="14"/>
  <c r="N44" i="14"/>
  <c r="L44" i="14"/>
  <c r="M44" i="14"/>
  <c r="O252" i="14"/>
  <c r="N252" i="14"/>
  <c r="L252" i="14"/>
  <c r="M252" i="14"/>
  <c r="O288" i="14"/>
  <c r="N288" i="14"/>
  <c r="M288" i="14"/>
  <c r="L288" i="14"/>
  <c r="O255" i="14"/>
  <c r="N255" i="14"/>
  <c r="L255" i="14"/>
  <c r="M255" i="14"/>
  <c r="O13" i="14"/>
  <c r="N13" i="14"/>
  <c r="M13" i="14"/>
  <c r="L13" i="14"/>
  <c r="O253" i="14"/>
  <c r="N253" i="14"/>
  <c r="M253" i="14"/>
  <c r="L253" i="14"/>
  <c r="O162" i="14"/>
  <c r="N162" i="14"/>
  <c r="M162" i="14"/>
  <c r="L162" i="14"/>
  <c r="O280" i="14"/>
  <c r="N280" i="14"/>
  <c r="M280" i="14"/>
  <c r="L280" i="14"/>
  <c r="M170" i="14"/>
  <c r="L170" i="14"/>
  <c r="O170" i="14"/>
  <c r="N170" i="14"/>
  <c r="M290" i="14"/>
  <c r="L290" i="14"/>
  <c r="O290" i="14"/>
  <c r="N290" i="14"/>
  <c r="O169" i="14"/>
  <c r="N169" i="14"/>
  <c r="M169" i="14"/>
  <c r="L169" i="14"/>
  <c r="O55" i="14"/>
  <c r="N55" i="14"/>
  <c r="M55" i="14"/>
  <c r="L55" i="14"/>
  <c r="O236" i="14"/>
  <c r="N236" i="14"/>
  <c r="M236" i="14"/>
  <c r="L236" i="14"/>
  <c r="O19" i="14"/>
  <c r="N19" i="14"/>
  <c r="M19" i="14"/>
  <c r="L19" i="14"/>
  <c r="O230" i="14"/>
  <c r="N230" i="14"/>
  <c r="M230" i="14"/>
  <c r="L230" i="14"/>
  <c r="O274" i="14"/>
  <c r="N274" i="14"/>
  <c r="M274" i="14"/>
  <c r="L274" i="14"/>
  <c r="O54" i="14"/>
  <c r="N54" i="14"/>
  <c r="M54" i="14"/>
  <c r="L54" i="14"/>
  <c r="O312" i="14"/>
  <c r="N312" i="14"/>
  <c r="M312" i="14"/>
  <c r="L312" i="14"/>
  <c r="N39" i="14"/>
  <c r="M39" i="14"/>
  <c r="L39" i="14"/>
  <c r="O39" i="14"/>
  <c r="L82" i="14"/>
  <c r="N82" i="14"/>
  <c r="O82" i="14"/>
  <c r="M82" i="14"/>
  <c r="O45" i="14"/>
  <c r="N45" i="14"/>
  <c r="L45" i="14"/>
  <c r="M45" i="14"/>
  <c r="O221" i="14"/>
  <c r="N221" i="14"/>
  <c r="M221" i="14"/>
  <c r="L221" i="14"/>
  <c r="O70" i="14"/>
  <c r="N70" i="14"/>
  <c r="M70" i="14"/>
  <c r="L70" i="14"/>
  <c r="M129" i="14"/>
  <c r="L129" i="14"/>
  <c r="O129" i="14"/>
  <c r="N129" i="14"/>
  <c r="O282" i="14"/>
  <c r="N282" i="14"/>
  <c r="M282" i="14"/>
  <c r="L282" i="14"/>
  <c r="O80" i="14"/>
  <c r="N80" i="14"/>
  <c r="M80" i="14"/>
  <c r="L80" i="14"/>
  <c r="O309" i="14"/>
  <c r="N309" i="14"/>
  <c r="M309" i="14"/>
  <c r="L309" i="14"/>
  <c r="O231" i="14"/>
  <c r="N231" i="14"/>
  <c r="M231" i="14"/>
  <c r="L231" i="14"/>
  <c r="O115" i="14"/>
  <c r="N115" i="14"/>
  <c r="L115" i="14"/>
  <c r="M115" i="14"/>
  <c r="O308" i="14"/>
  <c r="N308" i="14"/>
  <c r="M308" i="14"/>
  <c r="L308" i="14"/>
  <c r="O69" i="14"/>
  <c r="N69" i="14"/>
  <c r="M69" i="14"/>
  <c r="L69" i="14"/>
  <c r="N213" i="14"/>
  <c r="M213" i="14"/>
  <c r="L213" i="14"/>
  <c r="O213" i="14"/>
  <c r="N179" i="14"/>
  <c r="M179" i="14"/>
  <c r="L179" i="14"/>
  <c r="O179" i="14"/>
  <c r="L200" i="14"/>
  <c r="N200" i="14"/>
  <c r="M200" i="14"/>
  <c r="O200" i="14"/>
  <c r="L243" i="14"/>
  <c r="N243" i="14"/>
  <c r="O243" i="14"/>
  <c r="M243" i="14"/>
  <c r="O238" i="14"/>
  <c r="N238" i="14"/>
  <c r="M238" i="14"/>
  <c r="L238" i="14"/>
  <c r="O92" i="14"/>
  <c r="N92" i="14"/>
  <c r="L92" i="14"/>
  <c r="M92" i="14"/>
  <c r="N7" i="14"/>
  <c r="M7" i="14"/>
  <c r="L7" i="14"/>
  <c r="O7" i="14"/>
  <c r="O185" i="14"/>
  <c r="N185" i="14"/>
  <c r="M185" i="14"/>
  <c r="L185" i="14"/>
  <c r="O215" i="14"/>
  <c r="L215" i="14"/>
  <c r="N215" i="14"/>
  <c r="M215" i="14"/>
  <c r="O130" i="14"/>
  <c r="N130" i="14"/>
  <c r="M130" i="14"/>
  <c r="L130" i="14"/>
  <c r="O37" i="14"/>
  <c r="N37" i="14"/>
  <c r="L37" i="14"/>
  <c r="M37" i="14"/>
  <c r="O50" i="14"/>
  <c r="N50" i="14"/>
  <c r="M50" i="14"/>
  <c r="L50" i="14"/>
  <c r="O307" i="14"/>
  <c r="N307" i="14"/>
  <c r="M307" i="14"/>
  <c r="L307" i="14"/>
  <c r="M56" i="14"/>
  <c r="L56" i="14"/>
  <c r="O56" i="14"/>
  <c r="N56" i="14"/>
  <c r="M228" i="14"/>
  <c r="L228" i="14"/>
  <c r="O228" i="14"/>
  <c r="N228" i="14"/>
  <c r="O261" i="14"/>
  <c r="N261" i="14"/>
  <c r="M261" i="14"/>
  <c r="L261" i="14"/>
  <c r="O214" i="14"/>
  <c r="N214" i="14"/>
  <c r="M214" i="14"/>
  <c r="L214" i="14"/>
  <c r="O94" i="14"/>
  <c r="N94" i="14"/>
  <c r="M94" i="14"/>
  <c r="L94" i="14"/>
  <c r="O40" i="14"/>
  <c r="N40" i="14"/>
  <c r="M40" i="14"/>
  <c r="L40" i="14"/>
  <c r="O141" i="14"/>
  <c r="N141" i="14"/>
  <c r="M141" i="14"/>
  <c r="L141" i="14"/>
  <c r="O187" i="14"/>
  <c r="N187" i="14"/>
  <c r="M187" i="14"/>
  <c r="L187" i="14"/>
  <c r="O146" i="14"/>
  <c r="N146" i="14"/>
  <c r="M146" i="14"/>
  <c r="L146" i="14"/>
  <c r="O292" i="14"/>
  <c r="N292" i="14"/>
  <c r="M292" i="14"/>
  <c r="L292" i="14"/>
  <c r="F58" i="15" a="1"/>
  <c r="F58" i="15" s="1"/>
  <c r="F57" i="15" a="1"/>
  <c r="F57" i="15" s="1"/>
  <c r="O60" i="14"/>
  <c r="N60" i="14"/>
  <c r="M60" i="14"/>
  <c r="L60" i="14"/>
  <c r="N142" i="14"/>
  <c r="M142" i="14"/>
  <c r="L142" i="14"/>
  <c r="O142" i="14"/>
  <c r="O222" i="14"/>
  <c r="N222" i="14"/>
  <c r="M222" i="14"/>
  <c r="L222" i="14"/>
  <c r="O65" i="14"/>
  <c r="N65" i="14"/>
  <c r="M65" i="14"/>
  <c r="L65" i="14"/>
  <c r="O250" i="14"/>
  <c r="N250" i="14"/>
  <c r="M250" i="14"/>
  <c r="L250" i="14"/>
  <c r="O254" i="14"/>
  <c r="N254" i="14"/>
  <c r="M254" i="14"/>
  <c r="L254" i="14"/>
  <c r="O96" i="14"/>
  <c r="N96" i="14"/>
  <c r="M96" i="14"/>
  <c r="L96" i="14"/>
  <c r="F25" i="15" a="1"/>
  <c r="F25" i="15" s="1"/>
  <c r="F24" i="15" a="1"/>
  <c r="F24" i="15" s="1"/>
  <c r="O150" i="14"/>
  <c r="N150" i="14"/>
  <c r="M150" i="14"/>
  <c r="L150" i="14"/>
  <c r="O84" i="14"/>
  <c r="N84" i="14"/>
  <c r="M84" i="14"/>
  <c r="L84" i="14"/>
  <c r="O244" i="14"/>
  <c r="N244" i="14"/>
  <c r="M244" i="14"/>
  <c r="L244" i="14"/>
  <c r="N105" i="14"/>
  <c r="M105" i="14"/>
  <c r="L105" i="14"/>
  <c r="O105" i="14"/>
  <c r="N145" i="14"/>
  <c r="M145" i="14"/>
  <c r="L145" i="14"/>
  <c r="O145" i="14"/>
  <c r="L195" i="14"/>
  <c r="O195" i="14"/>
  <c r="N195" i="14"/>
  <c r="M195" i="14"/>
  <c r="L24" i="14"/>
  <c r="N24" i="14"/>
  <c r="M24" i="14"/>
  <c r="O24" i="14"/>
  <c r="O204" i="14"/>
  <c r="N204" i="14"/>
  <c r="M204" i="14"/>
  <c r="L204" i="14"/>
  <c r="O155" i="14"/>
  <c r="N155" i="14"/>
  <c r="L155" i="14"/>
  <c r="M155" i="14"/>
  <c r="N119" i="14"/>
  <c r="M119" i="14"/>
  <c r="L119" i="14"/>
  <c r="O119" i="14"/>
  <c r="O174" i="14"/>
  <c r="N174" i="14"/>
  <c r="M174" i="14"/>
  <c r="L174" i="14"/>
  <c r="O41" i="14"/>
  <c r="L41" i="14"/>
  <c r="M41" i="14"/>
  <c r="N41" i="14"/>
  <c r="O235" i="14"/>
  <c r="N235" i="14"/>
  <c r="M235" i="14"/>
  <c r="L235" i="14"/>
  <c r="O257" i="14"/>
  <c r="N257" i="14"/>
  <c r="M257" i="14"/>
  <c r="L257" i="14"/>
  <c r="O277" i="14"/>
  <c r="N277" i="14"/>
  <c r="M277" i="14"/>
  <c r="L277" i="14"/>
  <c r="O197" i="14"/>
  <c r="N197" i="14"/>
  <c r="M197" i="14"/>
  <c r="L197" i="14"/>
  <c r="M140" i="14"/>
  <c r="L140" i="14"/>
  <c r="O140" i="14"/>
  <c r="N140" i="14"/>
  <c r="M304" i="14"/>
  <c r="L304" i="14"/>
  <c r="O304" i="14"/>
  <c r="N304" i="14"/>
  <c r="O265" i="14"/>
  <c r="N265" i="14"/>
  <c r="M265" i="14"/>
  <c r="L265" i="14"/>
  <c r="O207" i="14"/>
  <c r="N207" i="14"/>
  <c r="M207" i="14"/>
  <c r="L207" i="14"/>
  <c r="O87" i="14"/>
  <c r="N87" i="14"/>
  <c r="M87" i="14"/>
  <c r="L87" i="14"/>
  <c r="O73" i="14"/>
  <c r="N73" i="14"/>
  <c r="M73" i="14"/>
  <c r="L73" i="14"/>
  <c r="O296" i="14"/>
  <c r="N296" i="14"/>
  <c r="M296" i="14"/>
  <c r="L296" i="14"/>
  <c r="O118" i="14"/>
  <c r="N118" i="14"/>
  <c r="M118" i="14"/>
  <c r="L118" i="14"/>
  <c r="O225" i="14"/>
  <c r="N225" i="14"/>
  <c r="M225" i="14"/>
  <c r="L225" i="14"/>
  <c r="O104" i="14"/>
  <c r="N104" i="14"/>
  <c r="M104" i="14"/>
  <c r="L104" i="14"/>
  <c r="O91" i="14"/>
  <c r="N91" i="14"/>
  <c r="M91" i="14"/>
  <c r="L91" i="14"/>
  <c r="O27" i="14"/>
  <c r="N27" i="14"/>
  <c r="M27" i="14"/>
  <c r="L27" i="14"/>
  <c r="F52" i="15" a="1"/>
  <c r="F52" i="15" s="1"/>
  <c r="F51" i="15" a="1"/>
  <c r="F51" i="15" s="1"/>
  <c r="O106" i="14"/>
  <c r="N106" i="14"/>
  <c r="M106" i="14"/>
  <c r="L106" i="14"/>
  <c r="N246" i="14"/>
  <c r="M246" i="14"/>
  <c r="L246" i="14"/>
  <c r="O246" i="14"/>
  <c r="O98" i="14"/>
  <c r="N98" i="14"/>
  <c r="M98" i="14"/>
  <c r="L98" i="14"/>
  <c r="N90" i="14"/>
  <c r="M90" i="14"/>
  <c r="L90" i="14"/>
  <c r="O90" i="14"/>
  <c r="O134" i="14"/>
  <c r="N134" i="14"/>
  <c r="M134" i="14"/>
  <c r="L134" i="14"/>
  <c r="O278" i="14"/>
  <c r="N278" i="14"/>
  <c r="M278" i="14"/>
  <c r="L278" i="14"/>
  <c r="M159" i="14"/>
  <c r="L159" i="14"/>
  <c r="O159" i="14"/>
  <c r="N159" i="14"/>
  <c r="O62" i="14"/>
  <c r="N62" i="14"/>
  <c r="M62" i="14"/>
  <c r="L62" i="14"/>
  <c r="O29" i="14"/>
  <c r="N29" i="14"/>
  <c r="M29" i="14"/>
  <c r="L29" i="14"/>
  <c r="O75" i="14"/>
  <c r="N75" i="14"/>
  <c r="M75" i="14"/>
  <c r="L75" i="14"/>
  <c r="O97" i="14"/>
  <c r="N97" i="14"/>
  <c r="M97" i="14"/>
  <c r="L97" i="14"/>
  <c r="F38" i="15" a="1"/>
  <c r="F38" i="15" s="1"/>
  <c r="Q28" i="1"/>
  <c r="T28" i="1" s="1"/>
  <c r="F89" i="15" a="1"/>
  <c r="F89" i="15" s="1"/>
  <c r="N285" i="14"/>
  <c r="M285" i="14"/>
  <c r="L285" i="14"/>
  <c r="O285" i="14"/>
  <c r="O205" i="14"/>
  <c r="N205" i="14"/>
  <c r="L205" i="14"/>
  <c r="M205" i="14"/>
  <c r="O229" i="14"/>
  <c r="N229" i="14"/>
  <c r="M229" i="14"/>
  <c r="L229" i="14"/>
  <c r="O177" i="14"/>
  <c r="N177" i="14"/>
  <c r="M177" i="14"/>
  <c r="L177" i="14"/>
  <c r="O188" i="14"/>
  <c r="N188" i="14"/>
  <c r="M188" i="14"/>
  <c r="L188" i="14"/>
  <c r="L241" i="14"/>
  <c r="O241" i="14"/>
  <c r="N241" i="14"/>
  <c r="M241" i="14"/>
  <c r="O203" i="14"/>
  <c r="N203" i="14"/>
  <c r="M203" i="14"/>
  <c r="L203" i="14"/>
  <c r="O218" i="14"/>
  <c r="N218" i="14"/>
  <c r="M218" i="14"/>
  <c r="L218" i="14"/>
  <c r="O161" i="14"/>
  <c r="N161" i="14"/>
  <c r="M161" i="14"/>
  <c r="L161" i="14"/>
  <c r="O122" i="14"/>
  <c r="N122" i="14"/>
  <c r="M122" i="14"/>
  <c r="L122" i="14"/>
  <c r="O172" i="14"/>
  <c r="N172" i="14"/>
  <c r="M172" i="14"/>
  <c r="L172" i="14"/>
  <c r="O71" i="14"/>
  <c r="N71" i="14"/>
  <c r="M71" i="14"/>
  <c r="L71" i="14"/>
  <c r="O249" i="14"/>
  <c r="N249" i="14"/>
  <c r="M249" i="14"/>
  <c r="L249" i="14"/>
  <c r="N300" i="14"/>
  <c r="M300" i="14"/>
  <c r="L300" i="14"/>
  <c r="O300" i="14"/>
  <c r="N34" i="14"/>
  <c r="M34" i="14"/>
  <c r="L34" i="14"/>
  <c r="O34" i="14"/>
  <c r="L113" i="14"/>
  <c r="N113" i="14"/>
  <c r="M113" i="14"/>
  <c r="O113" i="14"/>
  <c r="L248" i="14"/>
  <c r="N248" i="14"/>
  <c r="M248" i="14"/>
  <c r="O248" i="14"/>
  <c r="O156" i="14"/>
  <c r="N156" i="14"/>
  <c r="M156" i="14"/>
  <c r="L156" i="14"/>
  <c r="O295" i="14"/>
  <c r="N295" i="14"/>
  <c r="L295" i="14"/>
  <c r="M295" i="14"/>
  <c r="N132" i="14"/>
  <c r="M132" i="14"/>
  <c r="L132" i="14"/>
  <c r="O132" i="14"/>
  <c r="O125" i="14"/>
  <c r="N125" i="14"/>
  <c r="M125" i="14"/>
  <c r="L125" i="14"/>
  <c r="O198" i="14"/>
  <c r="L198" i="14"/>
  <c r="N198" i="14"/>
  <c r="M198" i="14"/>
  <c r="O190" i="14"/>
  <c r="N190" i="14"/>
  <c r="M190" i="14"/>
  <c r="L190" i="14"/>
  <c r="O267" i="14"/>
  <c r="N267" i="14"/>
  <c r="M267" i="14"/>
  <c r="L267" i="14"/>
  <c r="O182" i="14"/>
  <c r="N182" i="14"/>
  <c r="M182" i="14"/>
  <c r="L182" i="14"/>
  <c r="O234" i="14"/>
  <c r="N234" i="14"/>
  <c r="M234" i="14"/>
  <c r="L234" i="14"/>
  <c r="M220" i="14"/>
  <c r="L220" i="14"/>
  <c r="O220" i="14"/>
  <c r="N220" i="14"/>
  <c r="M5" i="14"/>
  <c r="L5" i="14"/>
  <c r="O5" i="14"/>
  <c r="N5" i="14"/>
  <c r="O64" i="14"/>
  <c r="N64" i="14"/>
  <c r="M64" i="14"/>
  <c r="L64" i="14"/>
  <c r="O78" i="14"/>
  <c r="N78" i="14"/>
  <c r="M78" i="14"/>
  <c r="L78" i="14"/>
  <c r="O208" i="14"/>
  <c r="N208" i="14"/>
  <c r="M208" i="14"/>
  <c r="L208" i="14"/>
  <c r="O77" i="14"/>
  <c r="N77" i="14"/>
  <c r="M77" i="14"/>
  <c r="L77" i="14"/>
  <c r="O95" i="14"/>
  <c r="N95" i="14"/>
  <c r="M95" i="14"/>
  <c r="L95" i="14"/>
  <c r="O163" i="14"/>
  <c r="N163" i="14"/>
  <c r="M163" i="14"/>
  <c r="L163" i="14"/>
  <c r="O216" i="14"/>
  <c r="N216" i="14"/>
  <c r="M216" i="14"/>
  <c r="L216" i="14"/>
  <c r="F3" i="15" a="1"/>
  <c r="F3" i="15" s="1"/>
  <c r="F4" i="15" a="1"/>
  <c r="F4" i="15" s="1"/>
  <c r="O85" i="14"/>
  <c r="N85" i="14"/>
  <c r="M85" i="14"/>
  <c r="L85" i="14"/>
  <c r="L10" i="14"/>
  <c r="N10" i="14"/>
  <c r="O10" i="14"/>
  <c r="M10" i="14"/>
  <c r="O153" i="14"/>
  <c r="N153" i="14"/>
  <c r="L153" i="14"/>
  <c r="M153" i="14"/>
  <c r="O116" i="14"/>
  <c r="N116" i="14"/>
  <c r="M116" i="14"/>
  <c r="L116" i="14"/>
  <c r="O245" i="14"/>
  <c r="N245" i="14"/>
  <c r="M245" i="14"/>
  <c r="L245" i="14"/>
  <c r="M266" i="14"/>
  <c r="L266" i="14"/>
  <c r="O266" i="14"/>
  <c r="N266" i="14"/>
  <c r="O276" i="14"/>
  <c r="N276" i="14"/>
  <c r="M276" i="14"/>
  <c r="L276" i="14"/>
  <c r="O147" i="14"/>
  <c r="N147" i="14"/>
  <c r="M147" i="14"/>
  <c r="L147" i="14"/>
  <c r="F28" i="15" a="1"/>
  <c r="F28" i="15" s="1"/>
  <c r="F27" i="15" a="1"/>
  <c r="F27" i="15" s="1"/>
  <c r="O273" i="14"/>
  <c r="N273" i="14"/>
  <c r="M273" i="14"/>
  <c r="L273" i="14"/>
  <c r="N99" i="14"/>
  <c r="M99" i="14"/>
  <c r="L99" i="14"/>
  <c r="O99" i="14"/>
  <c r="L167" i="14"/>
  <c r="N167" i="14"/>
  <c r="O167" i="14"/>
  <c r="M167" i="14"/>
  <c r="O137" i="14"/>
  <c r="N137" i="14"/>
  <c r="L137" i="14"/>
  <c r="M137" i="14"/>
  <c r="O103" i="14"/>
  <c r="L103" i="14"/>
  <c r="N103" i="14"/>
  <c r="M103" i="14"/>
  <c r="O263" i="14"/>
  <c r="N263" i="14"/>
  <c r="M263" i="14"/>
  <c r="L263" i="14"/>
  <c r="M287" i="14"/>
  <c r="L287" i="14"/>
  <c r="O287" i="14"/>
  <c r="N287" i="14"/>
  <c r="O270" i="14"/>
  <c r="N270" i="14"/>
  <c r="M270" i="14"/>
  <c r="L270" i="14"/>
  <c r="O143" i="14"/>
  <c r="N143" i="14"/>
  <c r="M143" i="14"/>
  <c r="L143" i="14"/>
  <c r="O8" i="14"/>
  <c r="N8" i="14"/>
  <c r="M8" i="14"/>
  <c r="L8" i="14"/>
  <c r="O181" i="14"/>
  <c r="N181" i="14"/>
  <c r="M181" i="14"/>
  <c r="L181" i="14"/>
  <c r="O223" i="14"/>
  <c r="N223" i="14"/>
  <c r="M223" i="14"/>
  <c r="L223" i="14"/>
  <c r="O35" i="14"/>
  <c r="N35" i="14"/>
  <c r="M35" i="14"/>
  <c r="L35" i="14"/>
  <c r="N124" i="14"/>
  <c r="M124" i="14"/>
  <c r="L124" i="14"/>
  <c r="O124" i="14"/>
  <c r="N47" i="14"/>
  <c r="M47" i="14"/>
  <c r="L47" i="14"/>
  <c r="O47" i="14"/>
  <c r="L165" i="14"/>
  <c r="N165" i="14"/>
  <c r="O165" i="14"/>
  <c r="M165" i="14"/>
  <c r="L46" i="14"/>
  <c r="N46" i="14"/>
  <c r="O46" i="14"/>
  <c r="M46" i="14"/>
  <c r="O196" i="14"/>
  <c r="N196" i="14"/>
  <c r="M196" i="14"/>
  <c r="L196" i="14"/>
  <c r="O14" i="14"/>
  <c r="N14" i="14"/>
  <c r="L14" i="14"/>
  <c r="M14" i="14"/>
  <c r="O232" i="14"/>
  <c r="N232" i="14"/>
  <c r="M232" i="14"/>
  <c r="L232" i="14"/>
  <c r="O6" i="14"/>
  <c r="N6" i="14"/>
  <c r="M6" i="14"/>
  <c r="L6" i="14"/>
  <c r="O136" i="14"/>
  <c r="M136" i="14"/>
  <c r="L136" i="14"/>
  <c r="N136" i="14"/>
  <c r="O33" i="14"/>
  <c r="N33" i="14"/>
  <c r="M33" i="14"/>
  <c r="L33" i="14"/>
  <c r="O272" i="14"/>
  <c r="N272" i="14"/>
  <c r="M272" i="14"/>
  <c r="L272" i="14"/>
  <c r="O310" i="14"/>
  <c r="N310" i="14"/>
  <c r="M310" i="14"/>
  <c r="L310" i="14"/>
  <c r="O157" i="14"/>
  <c r="N157" i="14"/>
  <c r="M157" i="14"/>
  <c r="L157" i="14"/>
  <c r="M22" i="14"/>
  <c r="L22" i="14"/>
  <c r="O22" i="14"/>
  <c r="N22" i="14"/>
  <c r="M184" i="14"/>
  <c r="L184" i="14"/>
  <c r="O184" i="14"/>
  <c r="N184" i="14"/>
  <c r="O178" i="14"/>
  <c r="N178" i="14"/>
  <c r="M178" i="14"/>
  <c r="L178" i="14"/>
  <c r="O301" i="14"/>
  <c r="N301" i="14"/>
  <c r="M301" i="14"/>
  <c r="L301" i="14"/>
  <c r="O260" i="14"/>
  <c r="N260" i="14"/>
  <c r="M260" i="14"/>
  <c r="L260" i="14"/>
  <c r="O20" i="14"/>
  <c r="N20" i="14"/>
  <c r="M20" i="14"/>
  <c r="L20" i="14"/>
  <c r="O3" i="14"/>
  <c r="N3" i="14"/>
  <c r="M3" i="14"/>
  <c r="L3" i="14"/>
  <c r="O25" i="14"/>
  <c r="N25" i="14"/>
  <c r="M25" i="14"/>
  <c r="L25" i="14"/>
  <c r="O131" i="14"/>
  <c r="N131" i="14"/>
  <c r="M131" i="14"/>
  <c r="L131" i="14"/>
  <c r="O28" i="14"/>
  <c r="N28" i="14"/>
  <c r="M28" i="14"/>
  <c r="L28" i="14"/>
  <c r="L212" i="14"/>
  <c r="O212" i="14"/>
  <c r="M212" i="14"/>
  <c r="N212" i="14"/>
  <c r="O43" i="14"/>
  <c r="N43" i="14"/>
  <c r="L43" i="14"/>
  <c r="M43" i="14"/>
  <c r="O251" i="14"/>
  <c r="N251" i="14"/>
  <c r="M251" i="14"/>
  <c r="L251" i="14"/>
  <c r="O180" i="14"/>
  <c r="N180" i="14"/>
  <c r="M180" i="14"/>
  <c r="L180" i="14"/>
  <c r="M175" i="14"/>
  <c r="L175" i="14"/>
  <c r="O175" i="14"/>
  <c r="N175" i="14"/>
  <c r="O48" i="14"/>
  <c r="N48" i="14"/>
  <c r="M48" i="14"/>
  <c r="L48" i="14"/>
  <c r="O209" i="14"/>
  <c r="N209" i="14"/>
  <c r="M209" i="14"/>
  <c r="L209" i="14"/>
  <c r="O268" i="14"/>
  <c r="N268" i="14"/>
  <c r="M268" i="14"/>
  <c r="L268" i="14"/>
  <c r="O110" i="14"/>
  <c r="N110" i="14"/>
  <c r="M110" i="14"/>
  <c r="L110" i="14"/>
  <c r="F67" i="15" a="1"/>
  <c r="F67" i="15" s="1"/>
  <c r="F66" i="15" a="1"/>
  <c r="F66" i="15" s="1"/>
  <c r="F65" i="15" a="1"/>
  <c r="F65" i="15" s="1"/>
  <c r="O31" i="14"/>
  <c r="N31" i="14"/>
  <c r="M31" i="14"/>
  <c r="L31" i="14"/>
  <c r="O313" i="14"/>
  <c r="N313" i="14"/>
  <c r="M313" i="14"/>
  <c r="L313" i="14"/>
  <c r="O83" i="14"/>
  <c r="N83" i="14"/>
  <c r="M83" i="14"/>
  <c r="L83" i="14"/>
  <c r="N298" i="14"/>
  <c r="M298" i="14"/>
  <c r="L298" i="14"/>
  <c r="O298" i="14"/>
  <c r="N152" i="14"/>
  <c r="M152" i="14"/>
  <c r="L152" i="14"/>
  <c r="O152" i="14"/>
  <c r="L164" i="14"/>
  <c r="O164" i="14"/>
  <c r="M164" i="14"/>
  <c r="N164" i="14"/>
  <c r="L149" i="14"/>
  <c r="N149" i="14"/>
  <c r="M149" i="14"/>
  <c r="O149" i="14"/>
  <c r="O258" i="14"/>
  <c r="N258" i="14"/>
  <c r="M258" i="14"/>
  <c r="L258" i="14"/>
  <c r="O128" i="14"/>
  <c r="N128" i="14"/>
  <c r="M128" i="14"/>
  <c r="L128" i="14"/>
  <c r="O305" i="14"/>
  <c r="N305" i="14"/>
  <c r="L305" i="14"/>
  <c r="M305" i="14"/>
  <c r="O111" i="14"/>
  <c r="N111" i="14"/>
  <c r="M111" i="14"/>
  <c r="L111" i="14"/>
  <c r="O227" i="14"/>
  <c r="N227" i="14"/>
  <c r="M227" i="14"/>
  <c r="L227" i="14"/>
  <c r="O15" i="14"/>
  <c r="M15" i="14"/>
  <c r="L15" i="14"/>
  <c r="N15" i="14"/>
  <c r="O148" i="14"/>
  <c r="N148" i="14"/>
  <c r="M148" i="14"/>
  <c r="L148" i="14"/>
  <c r="O61" i="14"/>
  <c r="N61" i="14"/>
  <c r="M61" i="14"/>
  <c r="L61" i="14"/>
  <c r="O224" i="14"/>
  <c r="N224" i="14"/>
  <c r="M224" i="14"/>
  <c r="L224" i="14"/>
  <c r="L36" i="14"/>
  <c r="N36" i="14"/>
  <c r="M36" i="14"/>
  <c r="O36" i="14"/>
  <c r="M49" i="14"/>
  <c r="L49" i="14"/>
  <c r="O49" i="14"/>
  <c r="N49" i="14"/>
  <c r="M283" i="14"/>
  <c r="L283" i="14"/>
  <c r="O283" i="14"/>
  <c r="N283" i="14"/>
  <c r="O303" i="14"/>
  <c r="N303" i="14"/>
  <c r="M303" i="14"/>
  <c r="L303" i="14"/>
  <c r="O151" i="14"/>
  <c r="N151" i="14"/>
  <c r="M151" i="14"/>
  <c r="L151" i="14"/>
  <c r="O264" i="14"/>
  <c r="N264" i="14"/>
  <c r="M264" i="14"/>
  <c r="L264" i="14"/>
  <c r="O279" i="14"/>
  <c r="N279" i="14"/>
  <c r="M279" i="14"/>
  <c r="L279" i="14"/>
  <c r="O67" i="14"/>
  <c r="N67" i="14"/>
  <c r="M67" i="14"/>
  <c r="L67" i="14"/>
  <c r="O72" i="14"/>
  <c r="N72" i="14"/>
  <c r="M72" i="14"/>
  <c r="L72" i="14"/>
  <c r="O291" i="14"/>
  <c r="N291" i="14"/>
  <c r="M291" i="14"/>
  <c r="L291" i="14"/>
  <c r="O306" i="14"/>
  <c r="N306" i="14"/>
  <c r="M306" i="14"/>
  <c r="L306" i="14"/>
  <c r="F211" i="15" a="1"/>
  <c r="F211" i="15" s="1"/>
  <c r="F209" i="15" a="1"/>
  <c r="F209" i="15" s="1"/>
  <c r="F210" i="15" a="1"/>
  <c r="F210" i="15" s="1"/>
  <c r="O51" i="14"/>
  <c r="N51" i="14"/>
  <c r="M51" i="14"/>
  <c r="L51" i="14"/>
  <c r="O121" i="14"/>
  <c r="N121" i="14"/>
  <c r="M121" i="14"/>
  <c r="L121" i="14"/>
  <c r="N12" i="14"/>
  <c r="M12" i="14"/>
  <c r="L12" i="14"/>
  <c r="O12" i="14"/>
  <c r="N192" i="14"/>
  <c r="M192" i="14"/>
  <c r="L192" i="14"/>
  <c r="O192" i="14"/>
  <c r="L9" i="14"/>
  <c r="O9" i="14"/>
  <c r="N9" i="14"/>
  <c r="M9" i="14"/>
  <c r="L191" i="14"/>
  <c r="N191" i="14"/>
  <c r="O191" i="14"/>
  <c r="M191" i="14"/>
  <c r="O63" i="14"/>
  <c r="N63" i="14"/>
  <c r="M63" i="14"/>
  <c r="L63" i="14"/>
  <c r="O211" i="14"/>
  <c r="N211" i="14"/>
  <c r="M211" i="14"/>
  <c r="L211" i="14"/>
  <c r="O289" i="14"/>
  <c r="N289" i="14"/>
  <c r="L289" i="14"/>
  <c r="M289" i="14"/>
  <c r="O42" i="14"/>
  <c r="N42" i="14"/>
  <c r="M42" i="14"/>
  <c r="L42" i="14"/>
  <c r="O2" i="14"/>
  <c r="N2" i="14"/>
  <c r="M2" i="14"/>
  <c r="L2" i="14"/>
  <c r="O32" i="14"/>
  <c r="N32" i="14"/>
  <c r="M32" i="14"/>
  <c r="L32" i="14"/>
  <c r="O144" i="14"/>
  <c r="N144" i="14"/>
  <c r="M144" i="14"/>
  <c r="L144" i="14"/>
  <c r="O171" i="14"/>
  <c r="N171" i="14"/>
  <c r="M171" i="14"/>
  <c r="L171" i="14"/>
  <c r="O186" i="14"/>
  <c r="N186" i="14"/>
  <c r="M186" i="14"/>
  <c r="L186" i="14"/>
  <c r="M117" i="14"/>
  <c r="L117" i="14"/>
  <c r="N117" i="14"/>
  <c r="O117" i="14"/>
  <c r="M76" i="14"/>
  <c r="L76" i="14"/>
  <c r="O76" i="14"/>
  <c r="N76" i="14"/>
  <c r="M297" i="14"/>
  <c r="L297" i="14"/>
  <c r="O297" i="14"/>
  <c r="N297" i="14"/>
  <c r="O139" i="14"/>
  <c r="N139" i="14"/>
  <c r="M139" i="14"/>
  <c r="L139" i="14"/>
  <c r="O112" i="14"/>
  <c r="N112" i="14"/>
  <c r="M112" i="14"/>
  <c r="L112" i="14"/>
  <c r="O269" i="14"/>
  <c r="N269" i="14"/>
  <c r="M269" i="14"/>
  <c r="L269" i="14"/>
  <c r="O26" i="14"/>
  <c r="N26" i="14"/>
  <c r="M26" i="14"/>
  <c r="L26" i="14"/>
  <c r="O183" i="14"/>
  <c r="N183" i="14"/>
  <c r="M183" i="14"/>
  <c r="L183" i="14"/>
  <c r="O315" i="14"/>
  <c r="N315" i="14"/>
  <c r="M315" i="14"/>
  <c r="L315" i="14"/>
  <c r="O281" i="14"/>
  <c r="N281" i="14"/>
  <c r="M281" i="14"/>
  <c r="L281" i="14"/>
  <c r="T24" i="1"/>
  <c r="F84" i="15" a="1"/>
  <c r="F84" i="15" s="1"/>
  <c r="F168" i="15" a="1"/>
  <c r="F168" i="15" s="1"/>
  <c r="F167" i="15" a="1"/>
  <c r="F167" i="15" s="1"/>
  <c r="F172" i="15" a="1"/>
  <c r="F172" i="15" s="1"/>
  <c r="F171" i="15" a="1"/>
  <c r="F171" i="15" s="1"/>
  <c r="F170" i="15" a="1"/>
  <c r="F170" i="15" s="1"/>
  <c r="O194" i="14"/>
  <c r="N194" i="14"/>
  <c r="M194" i="14"/>
  <c r="L194" i="14"/>
  <c r="O52" i="14"/>
  <c r="N52" i="14"/>
  <c r="M52" i="14"/>
  <c r="L52" i="14"/>
  <c r="O311" i="14"/>
  <c r="N311" i="14"/>
  <c r="M311" i="14"/>
  <c r="L311" i="14"/>
  <c r="N173" i="14"/>
  <c r="M173" i="14"/>
  <c r="L173" i="14"/>
  <c r="O173" i="14"/>
  <c r="N202" i="14"/>
  <c r="M202" i="14"/>
  <c r="L202" i="14"/>
  <c r="O202" i="14"/>
  <c r="L30" i="14"/>
  <c r="O30" i="14"/>
  <c r="N30" i="14"/>
  <c r="M30" i="14"/>
  <c r="L107" i="14"/>
  <c r="N107" i="14"/>
  <c r="M107" i="14"/>
  <c r="O107" i="14"/>
  <c r="O176" i="14"/>
  <c r="N176" i="14"/>
  <c r="M176" i="14"/>
  <c r="L176" i="14"/>
  <c r="O199" i="14"/>
  <c r="N199" i="14"/>
  <c r="M199" i="14"/>
  <c r="L199" i="14"/>
  <c r="O314" i="14"/>
  <c r="N314" i="14"/>
  <c r="L314" i="14"/>
  <c r="M314" i="14"/>
  <c r="O16" i="14"/>
  <c r="N16" i="14"/>
  <c r="M16" i="14"/>
  <c r="L16" i="14"/>
  <c r="O135" i="14"/>
  <c r="N135" i="14"/>
  <c r="M135" i="14"/>
  <c r="L135" i="14"/>
  <c r="O201" i="14"/>
  <c r="N201" i="14"/>
  <c r="M201" i="14"/>
  <c r="L201" i="14"/>
  <c r="O79" i="14"/>
  <c r="N79" i="14"/>
  <c r="M79" i="14"/>
  <c r="L79" i="14"/>
  <c r="O86" i="14"/>
  <c r="N86" i="14"/>
  <c r="M86" i="14"/>
  <c r="L86" i="14"/>
  <c r="O100" i="14"/>
  <c r="N100" i="14"/>
  <c r="M100" i="14"/>
  <c r="L100" i="14"/>
  <c r="M262" i="14"/>
  <c r="L262" i="14"/>
  <c r="O262" i="14"/>
  <c r="N262" i="14"/>
  <c r="M17" i="14"/>
  <c r="L17" i="14"/>
  <c r="O17" i="14"/>
  <c r="N17" i="14"/>
  <c r="M21" i="14"/>
  <c r="L21" i="14"/>
  <c r="O21" i="14"/>
  <c r="N21" i="14"/>
  <c r="O88" i="14"/>
  <c r="N88" i="14"/>
  <c r="M88" i="14"/>
  <c r="L88" i="14"/>
  <c r="O81" i="14"/>
  <c r="N81" i="14"/>
  <c r="M81" i="14"/>
  <c r="L81" i="14"/>
  <c r="O275" i="14"/>
  <c r="N275" i="14"/>
  <c r="M275" i="14"/>
  <c r="L275" i="14"/>
  <c r="O189" i="14"/>
  <c r="N189" i="14"/>
  <c r="M189" i="14"/>
  <c r="L189" i="14"/>
  <c r="O256" i="14"/>
  <c r="N256" i="14"/>
  <c r="M256" i="14"/>
  <c r="L256" i="14"/>
  <c r="O226" i="14"/>
  <c r="N226" i="14"/>
  <c r="M226" i="14"/>
  <c r="L226" i="14"/>
  <c r="O286" i="14"/>
  <c r="N286" i="14"/>
  <c r="M286" i="14"/>
  <c r="L286" i="14"/>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D20" i="3" a="1"/>
  <c r="D20" i="3" s="1"/>
  <c r="F21" i="3" a="1"/>
  <c r="F21" i="3" s="1"/>
  <c r="E21" i="3" a="1"/>
  <c r="E21"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1811D6-AE2F-405D-A2B0-FDAC52EED1EE}" keepAlive="1" name="Query - ServiceOrderItems_GetWorkItems" description="Connection to the 'ServiceOrderItems_GetWorkItems' query in the workbook." type="5" refreshedVersion="8" background="1" saveData="1">
    <dbPr connection="Provider=Microsoft.Mashup.OleDb.1;Data Source=$Workbook$;Location=ServiceOrderItems_GetWorkItems;Extended Properties=&quot;&quot;" command="SELECT * FROM [ServiceOrderItems_GetWorkItems]"/>
  </connection>
  <connection id="2"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3"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<sst xmlns="http://schemas.openxmlformats.org/spreadsheetml/2006/main" count="2541" uniqueCount="1229">
  <si>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</si>
  <si>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</si>
  <si>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</si>
  <si>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</si>
  <si>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</si>
  <si>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</si>
  <si>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</si>
  <si>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</si>
  <si>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</si>
  <si>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</si>
  <si>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</si>
  <si>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</si>
  <si>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</si>
  <si>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</si>
  <si>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</si>
  <si>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</si>
  <si>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</si>
  <si>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</si>
  <si>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</si>
  <si>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</si>
  <si>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</si>
  <si>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</si>
  <si>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</si>
  <si>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</si>
  <si>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</si>
  <si>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</si>
  <si>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</si>
  <si>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</si>
  <si>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</si>
  <si>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</si>
  <si>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</si>
  <si>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</si>
  <si>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</si>
  <si>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</si>
  <si>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</si>
  <si>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</si>
  <si>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</si>
  <si>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</si>
  <si>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</si>
  <si>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</si>
  <si>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</si>
  <si>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</si>
  <si>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</si>
  <si>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</si>
  <si>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</si>
  <si>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</si>
  <si>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</si>
  <si>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</si>
  <si>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</si>
  <si>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</si>
  <si>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</si>
  <si>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</si>
  <si>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</si>
  <si>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</si>
  <si>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</si>
  <si>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</si>
  <si>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</si>
  <si>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</si>
  <si>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</si>
  <si>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</si>
  <si>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</si>
  <si>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</si>
  <si>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</si>
  <si>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</si>
  <si>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</si>
  <si>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</si>
  <si>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</si>
  <si>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</si>
  <si>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</si>
  <si>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</si>
  <si>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</si>
  <si>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</si>
  <si>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</si>
  <si>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</si>
  <si>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</si>
  <si>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</si>
  <si>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</si>
  <si>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</si>
  <si>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</si>
  <si>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</si>
  <si>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</si>
  <si>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</si>
  <si>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</si>
  <si>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</si>
  <si>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</si>
  <si>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</si>
  <si>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</si>
  <si>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</si>
  <si>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</si>
  <si>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</si>
  <si>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</si>
  <si>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</si>
  <si>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</si>
  <si>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</si>
  <si>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</si>
  <si>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</si>
  <si>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</si>
  <si>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</si>
  <si>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</si>
  <si>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</si>
  <si>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</si>
  <si>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</si>
  <si>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</si>
  <si>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</si>
  <si>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</si>
  <si>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</si>
  <si>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</si>
  <si>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</si>
  <si>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</si>
  <si>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</si>
  <si>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</si>
  <si>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</si>
  <si>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</si>
  <si>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</si>
  <si>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</si>
  <si>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</si>
  <si>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</si>
  <si>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</si>
  <si>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</si>
  <si>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</si>
  <si>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</si>
  <si>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</si>
  <si>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</si>
  <si>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</si>
  <si>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</si>
  <si>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</si>
  <si>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</si>
  <si>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</si>
  <si>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</si>
  <si>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</si>
  <si>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</si>
  <si>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</si>
  <si>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</si>
  <si>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</si>
  <si>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</si>
  <si>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</si>
  <si>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</si>
  <si>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</si>
  <si>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</si>
  <si>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</si>
  <si>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</si>
  <si>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</si>
  <si>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</si>
  <si>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</si>
  <si>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</si>
  <si>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</si>
  <si>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</si>
  <si>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</si>
  <si>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</si>
  <si>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</si>
  <si>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</si>
  <si>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</si>
  <si>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</si>
  <si>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filtered UUT dropdowns</t>
  </si>
  <si>
    <t>categoryname</t>
  </si>
  <si>
    <t>Manufacturer</t>
  </si>
  <si>
    <t>Model No.</t>
  </si>
  <si>
    <t>Serial No.</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</si>
  <si>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</si>
  <si>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</si>
  <si>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</si>
  <si>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</si>
  <si>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</si>
  <si>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</si>
  <si>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</si>
  <si>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</si>
  <si>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</si>
  <si>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</si>
  <si>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</si>
  <si>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</si>
  <si>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</si>
  <si>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</si>
  <si>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</si>
  <si>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</si>
  <si>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</si>
  <si>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</si>
  <si>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</si>
  <si>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</si>
  <si>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</si>
  <si>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</si>
  <si>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</si>
  <si>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</si>
  <si>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</si>
  <si>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</si>
  <si>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</si>
  <si>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</si>
  <si>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</si>
  <si>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</si>
  <si>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</si>
  <si>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</si>
  <si>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</si>
  <si>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</si>
  <si>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</si>
  <si>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</si>
  <si>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</si>
  <si>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</si>
  <si>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</si>
  <si>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</si>
  <si>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</si>
  <si>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</si>
  <si>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</si>
  <si>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</si>
  <si>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</si>
  <si>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</si>
  <si>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</si>
  <si>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</si>
  <si>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</si>
  <si>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</si>
  <si>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</si>
  <si>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</si>
  <si>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</si>
  <si>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</si>
  <si>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</si>
  <si>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</si>
  <si>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</si>
  <si>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</si>
  <si>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</si>
  <si>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</si>
  <si>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</si>
  <si>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</si>
  <si>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</si>
  <si>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</si>
  <si>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</si>
  <si>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</si>
  <si>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</si>
  <si>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</si>
  <si>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</si>
  <si>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</si>
  <si>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</si>
  <si>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</si>
  <si>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</si>
  <si>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</si>
  <si>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</si>
  <si>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</si>
  <si>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</si>
  <si>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</si>
  <si>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</si>
  <si>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</si>
  <si>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</si>
  <si>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</si>
  <si>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</si>
  <si>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</si>
  <si>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</si>
  <si>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</si>
  <si>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</si>
  <si>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</si>
  <si>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</si>
  <si>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</si>
  <si>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</si>
  <si>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</si>
  <si>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</si>
  <si>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</si>
  <si>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</si>
  <si>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</si>
  <si>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</si>
  <si>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</si>
  <si>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</si>
  <si>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</si>
  <si>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</si>
  <si>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</si>
  <si>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</si>
  <si>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</si>
  <si>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</si>
  <si>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</si>
  <si>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</si>
  <si>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</si>
  <si>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</si>
  <si>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</si>
  <si>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</si>
  <si>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</si>
  <si>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</si>
  <si>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</si>
  <si>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</si>
  <si>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</si>
  <si>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</si>
  <si>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</si>
  <si>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</si>
  <si>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</si>
  <si>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</si>
  <si>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</si>
  <si>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</si>
  <si>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</si>
  <si>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</si>
  <si>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</si>
  <si>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</si>
  <si>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</si>
  <si>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</si>
  <si>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</si>
  <si>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</si>
  <si>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</si>
  <si>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</si>
  <si>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</si>
  <si>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</si>
  <si>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</si>
  <si>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</si>
  <si>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</si>
  <si>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</si>
  <si>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</si>
  <si>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</si>
  <si>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</si>
  <si>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</si>
  <si>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</si>
  <si>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</si>
  <si>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</si>
  <si>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</si>
  <si>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</si>
  <si>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</si>
  <si>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</si>
  <si>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</si>
  <si>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</si>
  <si>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</si>
  <si>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</si>
  <si>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</si>
  <si>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</si>
  <si>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</si>
  <si>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</si>
  <si>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</si>
  <si>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</si>
  <si>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</si>
  <si>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</si>
  <si>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</si>
  <si>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</si>
  <si>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</si>
  <si>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</si>
  <si>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</si>
  <si>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</si>
  <si>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</si>
  <si>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</si>
  <si>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</si>
  <si>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</si>
  <si>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</si>
  <si>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</si>
  <si>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</si>
  <si>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</si>
  <si>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</si>
  <si>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</si>
  <si>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</si>
  <si>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</si>
  <si>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</si>
  <si>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</si>
  <si>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</si>
  <si>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</si>
  <si>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</si>
  <si>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</si>
  <si>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</si>
  <si>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</si>
  <si>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</si>
  <si>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</si>
  <si>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</si>
  <si>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</si>
  <si>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</si>
  <si>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</si>
  <si>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</si>
  <si>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</si>
  <si>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</si>
  <si>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</si>
  <si>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</si>
  <si>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</si>
  <si>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</si>
  <si>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</si>
  <si>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</si>
  <si>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</si>
  <si>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</si>
  <si>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</si>
  <si>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</si>
  <si>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</si>
  <si>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</si>
  <si>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</si>
  <si>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</si>
  <si>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</si>
  <si>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</si>
  <si>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</si>
  <si>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</si>
  <si>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</si>
  <si>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</si>
  <si>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</si>
  <si>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</si>
  <si>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</si>
  <si>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</si>
  <si>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</si>
  <si>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</si>
  <si>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</si>
  <si>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</si>
  <si>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</si>
  <si>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</si>
  <si>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</si>
  <si>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</si>
  <si>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</si>
  <si>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</si>
  <si>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</si>
  <si>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</si>
  <si>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</si>
  <si>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</si>
  <si>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</si>
  <si>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</si>
  <si>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</si>
  <si>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</si>
  <si>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</si>
  <si>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</si>
  <si>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</si>
  <si>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</si>
  <si>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</si>
  <si>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</si>
  <si>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</si>
  <si>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</si>
  <si>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</si>
  <si>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</si>
  <si>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</si>
  <si>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</si>
  <si>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</si>
  <si>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</si>
  <si>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</si>
  <si>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</si>
  <si>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</si>
  <si>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</si>
  <si>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</si>
  <si>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</si>
  <si>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</si>
  <si>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</si>
  <si>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</si>
  <si>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</si>
  <si>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</si>
  <si>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</si>
  <si>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</si>
  <si>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</si>
  <si>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</si>
  <si>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</si>
  <si>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</si>
  <si>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</si>
  <si>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</si>
  <si>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</si>
  <si>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</si>
  <si>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</si>
  <si>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</si>
  <si>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</si>
  <si>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</si>
  <si>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</si>
  <si>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</si>
  <si>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</si>
  <si>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</si>
  <si>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</si>
  <si>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</si>
  <si>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</si>
  <si>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</si>
  <si>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</si>
  <si>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</si>
  <si>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</si>
  <si>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</si>
  <si>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</si>
  <si>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</si>
  <si>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</si>
  <si>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</si>
  <si>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</si>
  <si>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</si>
  <si>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</si>
  <si>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</si>
  <si>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</si>
  <si>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</si>
  <si>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</si>
  <si>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</si>
  <si>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</si>
  <si>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</si>
  <si>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</si>
  <si>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</si>
  <si>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</si>
  <si>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</si>
  <si>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</si>
  <si>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</si>
  <si>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</si>
  <si>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</si>
  <si>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</si>
  <si>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</si>
  <si>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</si>
  <si>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</si>
  <si>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</si>
  <si>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</si>
  <si>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</si>
  <si>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</si>
  <si>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</si>
  <si>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</si>
  <si>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</si>
  <si>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</si>
  <si>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</si>
  <si>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</si>
  <si>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</si>
  <si>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</si>
  <si>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</si>
  <si>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</si>
  <si>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</si>
  <si>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</si>
  <si>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</si>
  <si>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</si>
  <si>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</si>
  <si>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</si>
  <si>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</si>
  <si>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</si>
  <si>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</si>
  <si>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</si>
  <si>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</si>
  <si>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</si>
  <si>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</si>
  <si>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</si>
  <si>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</si>
  <si>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</si>
  <si>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</si>
  <si>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</si>
  <si>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</si>
  <si>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</si>
  <si>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</si>
  <si>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</si>
  <si>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</si>
  <si>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</si>
  <si>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</si>
  <si>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</si>
  <si>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</si>
  <si>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</si>
  <si>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</si>
  <si>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</si>
  <si>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</si>
  <si>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</si>
  <si>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</si>
  <si>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</si>
  <si>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</si>
  <si>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</si>
  <si>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</si>
  <si>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</si>
  <si>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</si>
  <si>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</si>
  <si>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</si>
  <si>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</si>
  <si>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</si>
  <si>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</si>
  <si>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</si>
  <si>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</si>
  <si>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</si>
  <si>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</si>
  <si>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</si>
  <si>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</si>
  <si>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</si>
  <si>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</si>
  <si>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</si>
  <si>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</si>
  <si>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</si>
  <si>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</si>
  <si>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</si>
  <si>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</si>
  <si>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</si>
  <si>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</si>
  <si>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</si>
  <si>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</si>
  <si>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</si>
  <si>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</si>
  <si>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</si>
  <si>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</si>
  <si>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</si>
  <si>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</si>
  <si>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</si>
  <si>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</si>
  <si>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</si>
  <si>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</si>
  <si>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</si>
  <si>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</si>
  <si>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</si>
  <si>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</si>
  <si>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</si>
  <si>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</si>
  <si>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</si>
  <si>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</si>
  <si>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</si>
  <si>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</si>
  <si>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</si>
  <si>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</si>
  <si>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</si>
  <si>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</si>
  <si>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</si>
  <si>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</si>
  <si>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</si>
  <si>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</si>
  <si>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</si>
  <si>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</si>
  <si>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</si>
  <si>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</si>
  <si>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</si>
  <si>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</si>
  <si>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</si>
  <si>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</si>
  <si>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</si>
  <si>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</si>
  <si>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</si>
  <si>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</si>
  <si>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</si>
  <si>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</si>
  <si>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</si>
  <si>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</si>
  <si>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</si>
  <si>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</si>
  <si>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</si>
  <si>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</si>
  <si>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</si>
  <si>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</si>
  <si>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</si>
  <si>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</si>
  <si>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</si>
  <si>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</si>
  <si>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</si>
  <si>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</si>
  <si>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</si>
  <si>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</si>
  <si>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</si>
  <si>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</si>
  <si>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</si>
  <si>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</si>
  <si>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</si>
  <si>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</si>
  <si>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</si>
  <si>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</si>
  <si>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</si>
  <si>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</si>
  <si>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</si>
  <si>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</si>
  <si>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</si>
  <si>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</si>
  <si>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</si>
  <si>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</si>
  <si>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</si>
  <si>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</si>
  <si>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</si>
  <si>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</si>
  <si>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</si>
  <si>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</si>
  <si>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</si>
  <si>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</si>
  <si>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</si>
  <si>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</si>
  <si>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</si>
  <si>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</si>
  <si>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</si>
  <si>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</si>
  <si>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</si>
  <si>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</si>
  <si>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</si>
  <si>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</si>
  <si>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</si>
  <si>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</si>
  <si>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</si>
  <si>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</si>
  <si>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</si>
  <si>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</si>
  <si>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</si>
  <si>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</si>
  <si>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</si>
  <si>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</si>
  <si>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</si>
  <si>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</si>
  <si>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</si>
  <si>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</si>
  <si>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</si>
  <si>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</si>
  <si>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</si>
  <si>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</si>
  <si>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</si>
  <si>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</si>
  <si>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</si>
  <si>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</si>
  <si>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</si>
  <si>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</si>
  <si>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</si>
  <si>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</si>
  <si>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</si>
  <si>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</si>
  <si>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</si>
  <si>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</si>
  <si>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</si>
  <si>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</si>
  <si>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</si>
  <si>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</si>
  <si>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</si>
  <si>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</si>
  <si>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</si>
  <si>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</si>
  <si>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</si>
  <si>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</si>
  <si>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</si>
  <si>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</si>
  <si>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</si>
  <si>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</si>
  <si>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</si>
  <si>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</si>
  <si>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</si>
  <si>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</si>
  <si>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</si>
  <si>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</si>
  <si>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</si>
  <si>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</si>
  <si>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</si>
  <si>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</si>
  <si>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</si>
  <si>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</si>
  <si>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</si>
  <si>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</si>
  <si>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</si>
  <si>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</si>
  <si>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</si>
  <si>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</si>
  <si>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</si>
  <si>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</si>
  <si>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</si>
  <si>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</si>
  <si>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</si>
  <si>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</si>
  <si>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</si>
  <si>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</si>
  <si>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</si>
  <si>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</si>
  <si>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</si>
  <si>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</si>
  <si>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</si>
  <si>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</si>
  <si>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</si>
  <si>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</si>
  <si>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</si>
  <si>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</si>
  <si>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</si>
  <si>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</si>
  <si>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</si>
  <si>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</si>
  <si>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</si>
  <si>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</si>
  <si>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</si>
  <si>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</si>
  <si>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</si>
  <si>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</si>
  <si>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</si>
  <si>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</si>
  <si>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</si>
  <si>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</si>
  <si>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</si>
  <si>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</si>
  <si>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</si>
  <si>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</si>
  <si>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</si>
  <si>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</si>
  <si>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</si>
  <si>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</si>
  <si>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</si>
  <si>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</si>
  <si>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</si>
  <si>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</si>
  <si>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</si>
  <si>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</si>
  <si>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</si>
  <si>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</si>
  <si>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</si>
  <si>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</si>
  <si>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</si>
  <si>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</si>
  <si>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</si>
  <si>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</si>
  <si>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</si>
  <si>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</si>
  <si>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</si>
  <si>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</si>
  <si>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</si>
  <si>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</si>
  <si>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</si>
  <si>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</si>
  <si>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</si>
  <si>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</si>
  <si>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</si>
  <si>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</si>
  <si>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</si>
  <si>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</si>
  <si>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</si>
  <si>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</si>
  <si>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</si>
  <si>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</si>
  <si>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</si>
  <si>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</si>
  <si>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</si>
  <si>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</si>
  <si>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</si>
  <si>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</si>
  <si>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</si>
  <si>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</si>
  <si>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</si>
  <si>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</si>
  <si>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</si>
  <si>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</si>
  <si>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</si>
  <si>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</si>
  <si>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</si>
  <si>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</si>
  <si>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</si>
  <si>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</si>
  <si>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</si>
  <si>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</si>
  <si>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</si>
  <si>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</si>
  <si>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</si>
  <si>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</si>
  <si>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</si>
  <si>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</si>
  <si>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</si>
  <si>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</si>
  <si>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</si>
  <si>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</si>
  <si>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</si>
  <si>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</si>
  <si>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</si>
  <si>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</si>
  <si>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</si>
  <si>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</si>
  <si>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</si>
  <si>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</si>
  <si>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</si>
  <si>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</si>
  <si>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</si>
  <si>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</si>
  <si>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</si>
  <si>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</si>
  <si>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</si>
  <si>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</si>
  <si>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</si>
  <si>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</si>
  <si>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</si>
  <si>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</si>
  <si>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</si>
  <si>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</si>
  <si>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</si>
  <si>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</si>
  <si>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</si>
  <si>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</si>
  <si>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</si>
  <si>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</si>
  <si>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</si>
  <si>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companyid2</t>
  </si>
  <si>
    <t>categoryname2</t>
  </si>
  <si>
    <t>Manufacturer2</t>
  </si>
  <si>
    <t>Model2</t>
  </si>
  <si>
    <t>SN2</t>
  </si>
  <si>
    <t>companyid FILTER</t>
  </si>
  <si>
    <t>categoryname FILTER</t>
  </si>
  <si>
    <t>Manufacturer FILTER</t>
  </si>
  <si>
    <t>Model FILTER</t>
  </si>
  <si>
    <t>SN FILTER</t>
  </si>
  <si>
    <t>Portable Hardness Tester</t>
  </si>
  <si>
    <t>Affri</t>
  </si>
  <si>
    <t>670H</t>
  </si>
  <si>
    <t>Ames</t>
  </si>
  <si>
    <t>I-4S</t>
  </si>
  <si>
    <t>Antonik</t>
  </si>
  <si>
    <t>RPT1</t>
  </si>
  <si>
    <t>RPT2</t>
  </si>
  <si>
    <t>Clark</t>
  </si>
  <si>
    <t>CPT</t>
  </si>
  <si>
    <t>01351</t>
  </si>
  <si>
    <t>01367</t>
  </si>
  <si>
    <t>03448</t>
  </si>
  <si>
    <t>05523</t>
  </si>
  <si>
    <t>06611</t>
  </si>
  <si>
    <t>06616</t>
  </si>
  <si>
    <t>07664</t>
  </si>
  <si>
    <t>07677</t>
  </si>
  <si>
    <t>07731</t>
  </si>
  <si>
    <t>08801</t>
  </si>
  <si>
    <t>08815</t>
  </si>
  <si>
    <t>09853</t>
  </si>
  <si>
    <t>34197R</t>
  </si>
  <si>
    <t>PMI-0438</t>
  </si>
  <si>
    <t>CPTXL</t>
  </si>
  <si>
    <t>G &amp; R Technology Inc.</t>
  </si>
  <si>
    <t>RH-45</t>
  </si>
  <si>
    <t>40-100179   800007252</t>
  </si>
  <si>
    <t>40-100195</t>
  </si>
  <si>
    <t>G&amp;R Labs</t>
  </si>
  <si>
    <t>40-100177</t>
  </si>
  <si>
    <t>Sun-Tec</t>
  </si>
  <si>
    <t>Portable</t>
  </si>
  <si>
    <t>Wilson</t>
  </si>
  <si>
    <t>GENERIC 164</t>
  </si>
  <si>
    <t>HT-0264</t>
  </si>
  <si>
    <t>M-51ST</t>
  </si>
  <si>
    <t>09834</t>
  </si>
  <si>
    <t>MZ</t>
  </si>
  <si>
    <t>Rockwell Hardness Tester</t>
  </si>
  <si>
    <t>Accupro</t>
  </si>
  <si>
    <t>06534051</t>
  </si>
  <si>
    <t>0001671</t>
  </si>
  <si>
    <t>Accupro Gold</t>
  </si>
  <si>
    <t>CE3R</t>
  </si>
  <si>
    <t>0001664</t>
  </si>
  <si>
    <t>206 RSD</t>
  </si>
  <si>
    <t>RSD Mag</t>
  </si>
  <si>
    <t>4-2</t>
  </si>
  <si>
    <t>AERM</t>
  </si>
  <si>
    <t xml:space="preserve">Antonik </t>
  </si>
  <si>
    <t>Buehler</t>
  </si>
  <si>
    <t>R574-00-1650</t>
  </si>
  <si>
    <t>China</t>
  </si>
  <si>
    <t>DN103</t>
  </si>
  <si>
    <t>100R</t>
  </si>
  <si>
    <t>3JR</t>
  </si>
  <si>
    <t>C12A</t>
  </si>
  <si>
    <t>C12AR</t>
  </si>
  <si>
    <t>Clark CR-1</t>
  </si>
  <si>
    <t>CR 16390</t>
  </si>
  <si>
    <t>CR 9939</t>
  </si>
  <si>
    <t>CR0184</t>
  </si>
  <si>
    <t>CR-3a</t>
  </si>
  <si>
    <t>CR0066</t>
  </si>
  <si>
    <t>CR-08204</t>
  </si>
  <si>
    <t>CR-3e</t>
  </si>
  <si>
    <t>CR0182</t>
  </si>
  <si>
    <t>CR0205</t>
  </si>
  <si>
    <t>CR04137</t>
  </si>
  <si>
    <t>CR13312</t>
  </si>
  <si>
    <t>CR17401</t>
  </si>
  <si>
    <t>CR-8</t>
  </si>
  <si>
    <t>HTC-001</t>
  </si>
  <si>
    <t>CRX-3</t>
  </si>
  <si>
    <t>CR18439</t>
  </si>
  <si>
    <t>CR21530 W-CPI-7003</t>
  </si>
  <si>
    <t>CR21545 W-CPI-1600</t>
  </si>
  <si>
    <t>CR24614</t>
  </si>
  <si>
    <t>DCR-12</t>
  </si>
  <si>
    <t>DCR-8</t>
  </si>
  <si>
    <t>DC7894</t>
  </si>
  <si>
    <t>DRM8</t>
  </si>
  <si>
    <t>81D185</t>
  </si>
  <si>
    <t>Dsr-8</t>
  </si>
  <si>
    <t>81349 IV</t>
  </si>
  <si>
    <t>GENERIC 574</t>
  </si>
  <si>
    <t>CV Instruments</t>
  </si>
  <si>
    <t>CV-600A</t>
  </si>
  <si>
    <t>ENCO</t>
  </si>
  <si>
    <t>NRSL</t>
  </si>
  <si>
    <t>Fowler</t>
  </si>
  <si>
    <t>CV-600MBDL</t>
  </si>
  <si>
    <t>TH550</t>
  </si>
  <si>
    <t>A130701090</t>
  </si>
  <si>
    <t>G &amp; R Technology</t>
  </si>
  <si>
    <t>RH-150</t>
  </si>
  <si>
    <t>Insize</t>
  </si>
  <si>
    <t>03753</t>
  </si>
  <si>
    <t>ISH-BRV-U</t>
  </si>
  <si>
    <t>Instron</t>
  </si>
  <si>
    <t>C3083</t>
  </si>
  <si>
    <t>Wilson Rockwell 2002T Automated</t>
  </si>
  <si>
    <t>R2000P9932</t>
  </si>
  <si>
    <t>R2K0001</t>
  </si>
  <si>
    <t>Laizhon</t>
  </si>
  <si>
    <t>HR-150A</t>
  </si>
  <si>
    <t>Misawa Seiki</t>
  </si>
  <si>
    <t>Mitutoyo</t>
  </si>
  <si>
    <t>940-131</t>
  </si>
  <si>
    <t>HR-100</t>
  </si>
  <si>
    <t>01981404</t>
  </si>
  <si>
    <t>HR-200</t>
  </si>
  <si>
    <t>0063302</t>
  </si>
  <si>
    <t>HR-300</t>
  </si>
  <si>
    <t>0080302</t>
  </si>
  <si>
    <t>HR-521</t>
  </si>
  <si>
    <t>Newage</t>
  </si>
  <si>
    <t>AT130</t>
  </si>
  <si>
    <t>6844/6668</t>
  </si>
  <si>
    <t>7678/7690</t>
  </si>
  <si>
    <t>AT130RDS</t>
  </si>
  <si>
    <t>AT130SRDS</t>
  </si>
  <si>
    <t>6633/41-7684</t>
  </si>
  <si>
    <t>ATS130HD</t>
  </si>
  <si>
    <t>65074 (10031817)</t>
  </si>
  <si>
    <t>BT130R</t>
  </si>
  <si>
    <t>Indentron</t>
  </si>
  <si>
    <t>083654</t>
  </si>
  <si>
    <t>083657</t>
  </si>
  <si>
    <t>083752</t>
  </si>
  <si>
    <t>Indentron NI-300C</t>
  </si>
  <si>
    <t>083656</t>
  </si>
  <si>
    <t>ME-2</t>
  </si>
  <si>
    <t>NI-300C</t>
  </si>
  <si>
    <t>022697</t>
  </si>
  <si>
    <t>083751</t>
  </si>
  <si>
    <t>083754</t>
  </si>
  <si>
    <t>NI-400C</t>
  </si>
  <si>
    <t>063284</t>
  </si>
  <si>
    <t>NI-600</t>
  </si>
  <si>
    <t>NI-600C</t>
  </si>
  <si>
    <t>Versitron</t>
  </si>
  <si>
    <t>9391/9392</t>
  </si>
  <si>
    <t>Newage Versitron</t>
  </si>
  <si>
    <t>AT130R</t>
  </si>
  <si>
    <t>Phase II</t>
  </si>
  <si>
    <t>900-387 DNT</t>
  </si>
  <si>
    <t>018</t>
  </si>
  <si>
    <t>0420</t>
  </si>
  <si>
    <t>HRM-45DT</t>
  </si>
  <si>
    <t>PHT-6005</t>
  </si>
  <si>
    <t>FW-M-0430</t>
  </si>
  <si>
    <t>FW-M-0539</t>
  </si>
  <si>
    <t>ProCheck</t>
  </si>
  <si>
    <t>4639-2030</t>
  </si>
  <si>
    <t>Rams</t>
  </si>
  <si>
    <t>10A-R10</t>
  </si>
  <si>
    <t>10A-T10</t>
  </si>
  <si>
    <t>Rams Rockford</t>
  </si>
  <si>
    <t>12-50130</t>
  </si>
  <si>
    <t>Service Diamond</t>
  </si>
  <si>
    <t>12A</t>
  </si>
  <si>
    <t>12SSA</t>
  </si>
  <si>
    <t>Shars</t>
  </si>
  <si>
    <t>12-50082</t>
  </si>
  <si>
    <t>Spi</t>
  </si>
  <si>
    <t>15-143-1</t>
  </si>
  <si>
    <t>Starrett</t>
  </si>
  <si>
    <t>WMI-HTST1</t>
  </si>
  <si>
    <t>020901</t>
  </si>
  <si>
    <t>PH41010270037</t>
  </si>
  <si>
    <t>SEK050</t>
  </si>
  <si>
    <t>SEK1515</t>
  </si>
  <si>
    <t xml:space="preserve">Starrett </t>
  </si>
  <si>
    <t>Tru-Blue</t>
  </si>
  <si>
    <t>II</t>
  </si>
  <si>
    <t>Unidentified</t>
  </si>
  <si>
    <t>0693</t>
  </si>
  <si>
    <t>United</t>
  </si>
  <si>
    <t>Tru-Blue II</t>
  </si>
  <si>
    <t>Unspecified</t>
  </si>
  <si>
    <t>HR-150</t>
  </si>
  <si>
    <t>TBD2</t>
  </si>
  <si>
    <t>R500AQ3466</t>
  </si>
  <si>
    <t>R574-00-0580</t>
  </si>
  <si>
    <t>R574-00-1246</t>
  </si>
  <si>
    <t>C2995</t>
  </si>
  <si>
    <t>103R</t>
  </si>
  <si>
    <t>1R</t>
  </si>
  <si>
    <t>2000R</t>
  </si>
  <si>
    <t>2001T</t>
  </si>
  <si>
    <t>C2946</t>
  </si>
  <si>
    <t>2002T</t>
  </si>
  <si>
    <t>C2642</t>
  </si>
  <si>
    <t>C2643</t>
  </si>
  <si>
    <t>R2000P1541</t>
  </si>
  <si>
    <t>23-0100</t>
  </si>
  <si>
    <t>3JR-4058</t>
  </si>
  <si>
    <t>3JR-97</t>
  </si>
  <si>
    <t>3JS</t>
  </si>
  <si>
    <t>3JS-898</t>
  </si>
  <si>
    <t>TBD3</t>
  </si>
  <si>
    <t>3PR</t>
  </si>
  <si>
    <t>3PR2710</t>
  </si>
  <si>
    <t>3R</t>
  </si>
  <si>
    <t>SRA700</t>
  </si>
  <si>
    <t>3RJ</t>
  </si>
  <si>
    <t>3JR-7342</t>
  </si>
  <si>
    <t>3TTBB</t>
  </si>
  <si>
    <t>DN597</t>
  </si>
  <si>
    <t>3YR</t>
  </si>
  <si>
    <t>L-10042A</t>
  </si>
  <si>
    <t>4JR</t>
  </si>
  <si>
    <t>4JR-3307</t>
  </si>
  <si>
    <t>4JR-3952</t>
  </si>
  <si>
    <t>4JR-4067</t>
  </si>
  <si>
    <t>4JR-4171</t>
  </si>
  <si>
    <t>4JR-4491</t>
  </si>
  <si>
    <t>4JR4833</t>
  </si>
  <si>
    <t>4JR634</t>
  </si>
  <si>
    <t>SEK011</t>
  </si>
  <si>
    <t>4JRaRB</t>
  </si>
  <si>
    <t>4JS</t>
  </si>
  <si>
    <t>4JS@RB</t>
  </si>
  <si>
    <t>4JSBB</t>
  </si>
  <si>
    <t>4JSBB-578</t>
  </si>
  <si>
    <t>4OUR</t>
  </si>
  <si>
    <t>4TT</t>
  </si>
  <si>
    <t>344R</t>
  </si>
  <si>
    <t>4TTBB</t>
  </si>
  <si>
    <t>C770</t>
  </si>
  <si>
    <t>504-T</t>
  </si>
  <si>
    <t>5JR</t>
  </si>
  <si>
    <t>BBC1835</t>
  </si>
  <si>
    <t>5TTARB</t>
  </si>
  <si>
    <t>SEK060</t>
  </si>
  <si>
    <t>A644T</t>
  </si>
  <si>
    <t>A656T</t>
  </si>
  <si>
    <t>B503-R</t>
  </si>
  <si>
    <t>B523T</t>
  </si>
  <si>
    <t>C505R</t>
  </si>
  <si>
    <t>97352503  LSM-5-053</t>
  </si>
  <si>
    <t>C523-S</t>
  </si>
  <si>
    <t>3JR52</t>
  </si>
  <si>
    <t>3JSBB1416</t>
  </si>
  <si>
    <t>3R1990</t>
  </si>
  <si>
    <t>4JR302</t>
  </si>
  <si>
    <t>M51ST 9120-251</t>
  </si>
  <si>
    <t>P526T</t>
  </si>
  <si>
    <t>J15-4-40</t>
  </si>
  <si>
    <t>R2150-1</t>
  </si>
  <si>
    <t>W2K-0059</t>
  </si>
  <si>
    <t>RB2000</t>
  </si>
  <si>
    <t>R1317</t>
  </si>
  <si>
    <t>S909701</t>
  </si>
  <si>
    <t>WH2002T</t>
  </si>
  <si>
    <t>R2K-0099</t>
  </si>
  <si>
    <t xml:space="preserve">Wilson </t>
  </si>
  <si>
    <t>2003T</t>
  </si>
  <si>
    <t>R2K-0152</t>
  </si>
  <si>
    <t>4JRARB</t>
  </si>
  <si>
    <t>Wilson/Instron</t>
  </si>
  <si>
    <t>524T</t>
  </si>
  <si>
    <t>R500DQ8062</t>
  </si>
  <si>
    <t>KMC-61</t>
  </si>
  <si>
    <t>Wilson/Buehler</t>
  </si>
  <si>
    <t>R574T</t>
  </si>
  <si>
    <t>574T-10-242149</t>
  </si>
  <si>
    <t>W2K-0190</t>
  </si>
  <si>
    <t>RH2150</t>
  </si>
  <si>
    <t>Comments AF (Long)</t>
  </si>
  <si>
    <t>Comments AL (Long)</t>
  </si>
  <si>
    <t>filtered Addr</t>
  </si>
  <si>
    <t>Is Portable:</t>
  </si>
  <si>
    <t>Substring:</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</si>
  <si>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</si>
  <si>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</si>
  <si>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</si>
  <si>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</si>
  <si>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</si>
  <si>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</si>
  <si>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</si>
  <si>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</si>
  <si>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</si>
  <si>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</si>
  <si>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</si>
  <si>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</si>
  <si>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</si>
  <si>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</si>
  <si>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</si>
  <si>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</si>
  <si>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</si>
  <si>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</si>
  <si>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</si>
  <si>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</si>
  <si>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</si>
  <si>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</si>
  <si>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</si>
  <si>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</si>
  <si>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</si>
  <si>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</si>
  <si>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</si>
  <si>
    <t>AssetOwnership</t>
  </si>
  <si>
    <t>LegacyId</t>
  </si>
  <si>
    <t>VendorTag</t>
  </si>
  <si>
    <t>ServiceOptions</t>
  </si>
  <si>
    <t>MaintenancePlan</t>
  </si>
  <si>
    <t>MaintenanceTask</t>
  </si>
  <si>
    <t>NextServiceDate</t>
  </si>
  <si>
    <t>DueDate</t>
  </si>
  <si>
    <t>ServiceDate</t>
  </si>
  <si>
    <t>CertificateNumber</t>
  </si>
  <si>
    <t>CustomOrderNumber</t>
  </si>
  <si>
    <t>PartsChargeBeforeDiscount</t>
  </si>
  <si>
    <t>PartsCharge</t>
  </si>
  <si>
    <t>RepairsCharge</t>
  </si>
  <si>
    <t>ServiceCharge</t>
  </si>
  <si>
    <t>ProviderCompany</t>
  </si>
  <si>
    <t>ProviderPhone</t>
  </si>
  <si>
    <t>ProviderTechnician</t>
  </si>
  <si>
    <t>ServiceNotes</t>
  </si>
  <si>
    <t>VendorCompanyId</t>
  </si>
  <si>
    <t>ClientCompanyId</t>
  </si>
  <si>
    <t>AssetCompanyId</t>
  </si>
  <si>
    <t>AssetCompanyName</t>
  </si>
  <si>
    <t>AssetSiteId</t>
  </si>
  <si>
    <t>AssetSiteName</t>
  </si>
  <si>
    <t>AssetDescription</t>
  </si>
  <si>
    <t>AssetName</t>
  </si>
  <si>
    <t>AssetId</t>
  </si>
  <si>
    <t>AssetUserChange</t>
  </si>
  <si>
    <t>AssetTagChange</t>
  </si>
  <si>
    <t>AssetUser</t>
  </si>
  <si>
    <t>AssetTag</t>
  </si>
  <si>
    <t>SerialNumberChange</t>
  </si>
  <si>
    <t>SerialNumber</t>
  </si>
  <si>
    <t>AsLeftResult</t>
  </si>
  <si>
    <t>AsFoundResult</t>
  </si>
  <si>
    <t>ResultStatus</t>
  </si>
  <si>
    <t>NextServiceLevelCode</t>
  </si>
  <si>
    <t>NextServiceLevel</t>
  </si>
  <si>
    <t>ServiceLevelDocumentSection</t>
  </si>
  <si>
    <t>ServiceLevelDocumentNumber</t>
  </si>
  <si>
    <t>ServiceLevelCode</t>
  </si>
  <si>
    <t>ServiceLevel</t>
  </si>
  <si>
    <t>EquipmentId</t>
  </si>
  <si>
    <t>UpdatedOnUtc</t>
  </si>
  <si>
    <t>CreatedOnUtc</t>
  </si>
  <si>
    <t>AsLeftSpecification</t>
  </si>
  <si>
    <t>AsFoundSpecification</t>
  </si>
  <si>
    <t>ItemAsLeftResult</t>
  </si>
  <si>
    <t>ItemAsFoundResult</t>
  </si>
  <si>
    <t>ItemResultStatus</t>
  </si>
  <si>
    <t>AsLeftCheck</t>
  </si>
  <si>
    <t>AsFoundCheck</t>
  </si>
  <si>
    <t>UpdatedBy</t>
  </si>
  <si>
    <t>UpdatedById</t>
  </si>
  <si>
    <t>CompletedById</t>
  </si>
  <si>
    <t>CompletedByName</t>
  </si>
  <si>
    <t>CompletedOn</t>
  </si>
  <si>
    <t>CheckedById</t>
  </si>
  <si>
    <t>CheckedByName</t>
  </si>
  <si>
    <t>CheckedOn</t>
  </si>
  <si>
    <t>IsLimited</t>
  </si>
  <si>
    <t>CustomWorkStatus</t>
  </si>
  <si>
    <t>WorkStatus</t>
  </si>
  <si>
    <t>DocumentSection</t>
  </si>
  <si>
    <t>DocumentNumber</t>
  </si>
  <si>
    <t>ServiceType</t>
  </si>
  <si>
    <t>OverridePartsTotal</t>
  </si>
  <si>
    <t>OverrideRepairsTotal</t>
  </si>
  <si>
    <t>OverrideServiceTotal</t>
  </si>
  <si>
    <t>PartsTotalBeforeDiscount</t>
  </si>
  <si>
    <t>PartsTotal</t>
  </si>
  <si>
    <t>RepairsTotal</t>
  </si>
  <si>
    <t>ServiceTotal</t>
  </si>
  <si>
    <t>ChannelCount</t>
  </si>
  <si>
    <t>ServiceOrderId</t>
  </si>
  <si>
    <t>OrderItemNumber</t>
  </si>
  <si>
    <t>PrivateComments</t>
  </si>
  <si>
    <t>ServiceComments</t>
  </si>
  <si>
    <t>ClientNotes</t>
  </si>
  <si>
    <t>WorkItemId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</si>
</sst>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8">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14"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0" fillId="0" borderId="0" xfId="0" applyAlignment="1">
      <alignment wrapText="1"/>
    </xf>
    <xf numFmtId="0" fontId="30" fillId="6" borderId="19" xfId="0" applyFont="1" applyFill="1" applyBorder="1"/>
    <xf numFmtId="0" fontId="30" fillId="6" borderId="20" xfId="0" applyFont="1" applyFill="1" applyBorder="1"/>
    <xf numFmtId="0" fontId="30" fillId="6" borderId="20" xfId="0" applyFont="1" applyFill="1" applyBorder="1" applyAlignment="1">
      <alignment horizontal="right"/>
    </xf>
    <xf numFmtId="0" fontId="30" fillId="6" borderId="21" xfId="0" applyFont="1" applyFill="1" applyBorder="1"/>
    <xf numFmtId="0" fontId="30" fillId="6" borderId="20" xfId="0" applyFont="1" applyFill="1" applyBorder="1" applyAlignment="1">
      <alignment horizontal="left"/>
    </xf>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49" fontId="30" fillId="6" borderId="20" xfId="0" applyNumberFormat="1" applyFont="1" applyFill="1" applyBorder="1" applyAlignment="1">
      <alignment horizontal="left"/>
    </xf>
    <xf numFmtId="49" fontId="0" fillId="0" borderId="0" xfId="0" quotePrefix="1" applyNumberFormat="1" applyAlignment="1">
      <alignment horizontal="left"/>
    </xf>
    <xf numFmtId="49" fontId="0" fillId="0" borderId="0" xfId="0" applyNumberFormat="1" applyAlignment="1">
      <alignment horizontal="left"/>
    </xf>
    <xf numFmtId="49" fontId="0" fillId="0" borderId="0" xfId="0" quotePrefix="1" applyNumberFormat="1"/>
    <xf numFmtId="0" fontId="30" fillId="6" borderId="19" xfId="0" applyFont="1" applyFill="1" applyBorder="1" applyAlignment="1">
      <alignment horizontal="left"/>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xf numFmtId="0" fontId="11" fillId="2" borderId="1" xfId="0" applyNumberFormat="1" applyFont="1" applyFill="1" applyBorder="1" applyAlignment="1" applyProtection="1">
      <alignment horizontal="left"/>
    </xf>
  </cellXfs>
  <cellStyles count="4">
    <cellStyle name="Accent1" xfId="3" builtinId="29"/>
    <cellStyle name="Normal" xfId="0" builtinId="0"/>
    <cellStyle name="Normal 2" xfId="2" xr:uid="{00000000-0005-0000-0000-000001000000}"/>
    <cellStyle name="Normal 3" xfId="1" xr:uid="{00000000-0005-0000-0000-000002000000}"/>
  </cellStyles>
  <dxfs count="33">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72"/>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19460"/>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3"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erviceOrderItems_GetWorkItems" connectionId="1" xr16:uid="{C343F3A2-E34C-45FC-9810-4C0289910862}"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2">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31">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30"/>
    <tableColumn id="3" xr3:uid="{3C2AA4EE-2EA3-4E39-96BE-88D7CD62515A}" name="MID" dataDxfId="29"/>
    <tableColumn id="4" xr3:uid="{040AEA25-6926-41E6-8F6C-D2ACD028C50A}" name="HIGH" dataDxfId="2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27"/>
    <tableColumn id="2" xr3:uid="{8DDC443A-F464-4586-BFBC-A283955AD65B}" uniqueName="2" name="LOW" queryTableFieldId="5" dataDxfId="26"/>
    <tableColumn id="3" xr3:uid="{12C80642-7065-4132-9FAE-8DCBB91FB621}" uniqueName="3" name="MID" queryTableFieldId="6" dataDxfId="25"/>
    <tableColumn id="4" xr3:uid="{7A720683-61F0-475F-B332-B3C7D41A03C7}" uniqueName="4" name="HIGH" queryTableFieldId="7" dataDxfId="2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23">
      <calculatedColumnFormula array="1">IFERROR(OR(_xlfn._xlws.FILTER(Table6[companyid FILTER],Table6[companyid]=Table1[[#This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D881628-7282-4D77-BAFA-649AE65F969F}" name="Table6" displayName="Table6" ref="A1:O316" totalsRowShown="0" headerRowDxfId="22">
  <autoFilter ref="A1:O316" xr:uid="{ED881628-7282-4D77-BAFA-649AE65F969F}"/>
  <sortState xmlns:xlrd2="http://schemas.microsoft.com/office/spreadsheetml/2017/richdata2" ref="A2:O316">
    <sortCondition ref="A1:A316"/>
  </sortState>
  <tableColumns count="15">
    <tableColumn id="1" xr3:uid="{13FA22EF-FC47-40DB-A2FF-5D50E755C594}" name="companyid"/>
    <tableColumn id="2" xr3:uid="{CAFDED62-1421-4E73-B6F4-1E35C46D0739}" name="categoryname"/>
    <tableColumn id="3" xr3:uid="{BDFB3B72-511A-4C7A-84FE-1DFA94BF1EBB}" name="Manufacturer"/>
    <tableColumn id="4" xr3:uid="{F4465E40-97E0-4F36-83F6-23E4F946CC65}" name="Model No." dataDxfId="21"/>
    <tableColumn id="5" xr3:uid="{51C18AEB-AFA1-40C6-99F7-31918CDAD643}" name="Serial No." dataDxfId="20"/>
    <tableColumn id="16" xr3:uid="{FFB7175C-ED75-4B9F-BEC5-83968A309C8A}" name="companyid2" dataDxfId="19">
      <calculatedColumnFormula>IFERROR(Table6[[#This Row],[companyid]]=DropDowns!$N$20,TRUE)</calculatedColumnFormula>
    </tableColumn>
    <tableColumn id="13" xr3:uid="{CC10DF6B-814B-4265-B224-9576F82CE6C8}" name="categoryname2" dataDxfId="18">
      <calculatedColumnFormula>OR(Worksheet!$D$5="",Worksheet!$D$5=Table6[[#This Row],[categoryname]])</calculatedColumnFormula>
    </tableColumn>
    <tableColumn id="12" xr3:uid="{98E27DFC-7E03-45B7-94AF-FB45BF292C56}" name="Manufacturer2" dataDxfId="17">
      <calculatedColumnFormula>OR(Worksheet!$D$7="",Worksheet!$D$7=Table6[[#This Row],[Manufacturer]])</calculatedColumnFormula>
    </tableColumn>
    <tableColumn id="14" xr3:uid="{CA054403-3098-4B4E-8A8D-C8CAFEC2B7C3}" name="Model2" dataDxfId="16">
      <calculatedColumnFormula>OR(Worksheet!$G$7="",Worksheet!$G$7=Table6[[#This Row],[Model No.]])</calculatedColumnFormula>
    </tableColumn>
    <tableColumn id="15" xr3:uid="{518BC2A9-019F-42EB-A45C-C4CF4B038E5F}" name="SN2" dataDxfId="15">
      <calculatedColumnFormula>OR(Worksheet!$D$8="",Worksheet!$D$8=Table6[[#This Row],[Serial No.]])</calculatedColumnFormula>
    </tableColumn>
    <tableColumn id="6" xr3:uid="{5C77DBEA-26A2-4AC0-8265-0418C3F4F4C5}" name="companyid FILTER" dataDxfId="14">
      <calculatedColumnFormula>AND(Table6[[#This Row],[categoryname2]:[SN2]])</calculatedColumnFormula>
    </tableColumn>
    <tableColumn id="7" xr3:uid="{03409555-2DFD-41BD-AA31-CEEE3C506752}" name="categoryname FILTER" dataDxfId="13">
      <calculatedColumnFormula>AND(Table6[[#This Row],[companyid2]],Table6[[#This Row],[Manufacturer2]:[SN2]])</calculatedColumnFormula>
    </tableColumn>
    <tableColumn id="8" xr3:uid="{D61C1540-467D-4DAB-A0EE-6046A4ABA245}" name="Manufacturer FILTER" dataDxfId="12">
      <calculatedColumnFormula>AND(Table6[[#This Row],[companyid2]:[categoryname2]],Table6[[#This Row],[Model2]:[SN2]])</calculatedColumnFormula>
    </tableColumn>
    <tableColumn id="9" xr3:uid="{22D13A03-D734-4738-ADD3-2DDC6F38CEBF}" name="Model FILTER" dataDxfId="11">
      <calculatedColumnFormula>AND(Table6[[#This Row],[companyid2]:[Manufacturer2]],Table6[[#This Row],[SN2]])</calculatedColumnFormula>
    </tableColumn>
    <tableColumn id="10" xr3:uid="{22EA9B94-FD09-42B7-BBB1-F8CAC3A70E43}" name="SN FILTER" dataDxfId="10">
      <calculatedColumnFormula>AND(Table6[[#This Row],[companyid2]:[Model2]])</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F10654-F6E9-4C41-9848-B85671957007}" name="ServiceOrderItems" displayName="ServiceOrderItems" ref="A1:CC2" tableType="queryTable" insertRow="1" totalsRowShown="0">
  <autoFilter ref="A1:CC2" xr:uid="{29F10654-F6E9-4C41-9848-B85671957007}"/>
  <tableColumns count="81">
    <tableColumn id="1" xr3:uid="{17D1F4A8-9E37-44DD-B22E-9F72B7525E97}" uniqueName="1" name="WorkItemId" queryTableFieldId="1"/>
    <tableColumn id="2" xr3:uid="{F229CD35-D5AC-47B2-8ED6-DBD6E41DB43C}" uniqueName="2" name="ClientNotes" queryTableFieldId="2"/>
    <tableColumn id="3" xr3:uid="{F4591BF3-F2F4-4738-8247-D43B10AA42E4}" uniqueName="3" name="ServiceComments" queryTableFieldId="3"/>
    <tableColumn id="4" xr3:uid="{C717E576-C4B0-4841-8171-481E7D883CFF}" uniqueName="4" name="PrivateComments" queryTableFieldId="4"/>
    <tableColumn id="5" xr3:uid="{84711850-5AAD-4D3E-9365-5EA486F8477F}" uniqueName="5" name="OrderItemNumber" queryTableFieldId="5"/>
    <tableColumn id="6" xr3:uid="{023333A8-B2D7-4CEB-9F88-3D2B394D4CF2}" uniqueName="6" name="ServiceOrderId" queryTableFieldId="6"/>
    <tableColumn id="7" xr3:uid="{99390338-52F4-43CF-852E-384696EF8ED7}" uniqueName="7" name="ChannelCount" queryTableFieldId="7"/>
    <tableColumn id="8" xr3:uid="{E9F83AA8-90B7-44A9-A97D-836E1C5B9814}" uniqueName="8" name="ServiceTotal" queryTableFieldId="8"/>
    <tableColumn id="9" xr3:uid="{3CEF2FB9-16B5-4E01-819C-18AC91EC4DC2}" uniqueName="9" name="RepairsTotal" queryTableFieldId="9"/>
    <tableColumn id="10" xr3:uid="{0DD83421-E0E6-4618-9F6D-6D4BB80BF264}" uniqueName="10" name="PartsTotal" queryTableFieldId="10"/>
    <tableColumn id="11" xr3:uid="{DFD62280-1C31-40B7-9881-66B86F91FDDB}" uniqueName="11" name="PartsTotalBeforeDiscount" queryTableFieldId="11"/>
    <tableColumn id="12" xr3:uid="{A58F307C-A84B-45D5-A520-49CEE0F34885}" uniqueName="12" name="OverrideServiceTotal" queryTableFieldId="12"/>
    <tableColumn id="13" xr3:uid="{43CF9FC8-2F71-49D8-AEB2-1354A799EF95}" uniqueName="13" name="OverrideRepairsTotal" queryTableFieldId="13"/>
    <tableColumn id="14" xr3:uid="{3FAE26B1-6E62-4DAF-8E23-291924F6C157}" uniqueName="14" name="OverridePartsTotal" queryTableFieldId="14"/>
    <tableColumn id="15" xr3:uid="{D66BC245-3AAB-4412-8E8B-CAE067F19F83}" uniqueName="15" name="ServiceType" queryTableFieldId="15"/>
    <tableColumn id="16" xr3:uid="{6111D41B-F69C-41F4-979B-C04373976B02}" uniqueName="16" name="DocumentNumber" queryTableFieldId="16"/>
    <tableColumn id="17" xr3:uid="{5E3F1E89-1400-4FE6-861C-A8EE6FFA145E}" uniqueName="17" name="DocumentSection" queryTableFieldId="17"/>
    <tableColumn id="18" xr3:uid="{43219C98-D889-4F74-8EFF-DD0310A61CA4}" uniqueName="18" name="WorkStatus" queryTableFieldId="18"/>
    <tableColumn id="19" xr3:uid="{6C777E67-F056-4ADE-9AC0-BD7093EED05D}" uniqueName="19" name="CustomWorkStatus" queryTableFieldId="19"/>
    <tableColumn id="20" xr3:uid="{2357FAD0-5845-44E6-9429-4B8BF35BB35B}" uniqueName="20" name="IsLimited" queryTableFieldId="20"/>
    <tableColumn id="21" xr3:uid="{2C97DB4F-CA89-411D-BFE7-798F2B6B4925}" uniqueName="21" name="CheckedOn" queryTableFieldId="21"/>
    <tableColumn id="22" xr3:uid="{0FFD63B5-ECE7-472D-9D7D-52D742995B0A}" uniqueName="22" name="CheckedByName" queryTableFieldId="22"/>
    <tableColumn id="23" xr3:uid="{82D9140F-9235-4CC3-8754-9D3C806B0DBF}" uniqueName="23" name="CheckedById" queryTableFieldId="23"/>
    <tableColumn id="24" xr3:uid="{26E46E67-B7F8-4FEB-96D1-95874817CF09}" uniqueName="24" name="CompletedOn" queryTableFieldId="24"/>
    <tableColumn id="25" xr3:uid="{9497D375-602A-4BF2-A7A0-EDFACD0AEF5B}" uniqueName="25" name="CompletedByName" queryTableFieldId="25"/>
    <tableColumn id="26" xr3:uid="{BBBB3B78-BCF3-430E-A49E-27C20B7BE8F6}" uniqueName="26" name="CompletedById" queryTableFieldId="26"/>
    <tableColumn id="27" xr3:uid="{DEEAE3A6-0D68-4032-9325-34E2085ED385}" uniqueName="27" name="UpdatedById" queryTableFieldId="27"/>
    <tableColumn id="28" xr3:uid="{710BF2E0-DF36-4EC6-BC64-1918621478FA}" uniqueName="28" name="UpdatedBy" queryTableFieldId="28"/>
    <tableColumn id="29" xr3:uid="{B11CA1DD-3735-4931-AC62-73BEEB1F4A23}" uniqueName="29" name="AsFoundCheck" queryTableFieldId="29"/>
    <tableColumn id="30" xr3:uid="{4B25E414-1559-441F-B67E-EEA3B615F764}" uniqueName="30" name="AsLeftCheck" queryTableFieldId="30"/>
    <tableColumn id="31" xr3:uid="{3F0EC5F1-70AA-4D46-A11E-DB9ECDB983FA}" uniqueName="31" name="ItemResultStatus" queryTableFieldId="31"/>
    <tableColumn id="32" xr3:uid="{FD7F18FD-0157-4FF9-B42E-2285A60FEDBC}" uniqueName="32" name="ItemAsFoundResult" queryTableFieldId="32"/>
    <tableColumn id="33" xr3:uid="{AB327D90-AAD9-4B7E-975F-E7A49F1364EE}" uniqueName="33" name="ItemAsLeftResult" queryTableFieldId="33"/>
    <tableColumn id="34" xr3:uid="{17EBD652-F46B-480C-837D-7E3F28A92998}" uniqueName="34" name="AsFoundSpecification" queryTableFieldId="34"/>
    <tableColumn id="35" xr3:uid="{1A318284-3AAA-4C47-9DB6-AA58DCF47C66}" uniqueName="35" name="AsLeftSpecification" queryTableFieldId="35"/>
    <tableColumn id="36" xr3:uid="{64260EF3-EB03-485B-9EE2-CCA7061386FB}" uniqueName="36" name="CreatedOnUtc" queryTableFieldId="36"/>
    <tableColumn id="37" xr3:uid="{C9A10DC9-8E90-4370-88DD-6A827B8CC79F}" uniqueName="37" name="UpdatedOnUtc" queryTableFieldId="37"/>
    <tableColumn id="38" xr3:uid="{B5D527EE-407E-43B4-B732-80AA735F95E6}" uniqueName="38" name="EquipmentId" queryTableFieldId="38"/>
    <tableColumn id="39" xr3:uid="{D59E9BFB-DEBE-4E4D-9BE2-824A6F713901}" uniqueName="39" name="ServiceLevel" queryTableFieldId="39"/>
    <tableColumn id="40" xr3:uid="{EBEDF94E-6A81-41B0-B2D9-D451D94A33D1}" uniqueName="40" name="ServiceLevelCode" queryTableFieldId="40"/>
    <tableColumn id="41" xr3:uid="{C201762A-4101-4364-93D0-7E88E08A54B2}" uniqueName="41" name="ServiceLevelDocumentNumber" queryTableFieldId="41"/>
    <tableColumn id="42" xr3:uid="{901C81E0-47CD-439D-8CB3-5B366A7FBF3E}" uniqueName="42" name="ServiceLevelDocumentSection" queryTableFieldId="42"/>
    <tableColumn id="43" xr3:uid="{775B315B-6725-485A-A8AC-26B91D5B06E0}" uniqueName="43" name="NextServiceLevel" queryTableFieldId="43"/>
    <tableColumn id="44" xr3:uid="{638CF923-95D9-43DB-9E84-CAE8F33334F9}" uniqueName="44" name="NextServiceLevelCode" queryTableFieldId="44"/>
    <tableColumn id="45" xr3:uid="{B3EF4F3A-BE73-4081-B5BB-45358B8CA5DB}" uniqueName="45" name="ResultStatus" queryTableFieldId="45"/>
    <tableColumn id="46" xr3:uid="{1ECA652A-016B-4C2A-88DD-111680B30DCA}" uniqueName="46" name="AsFoundResult" queryTableFieldId="46"/>
    <tableColumn id="47" xr3:uid="{A917CF85-5DAF-422C-98C6-5DBC1A225BDB}" uniqueName="47" name="AsLeftResult" queryTableFieldId="47"/>
    <tableColumn id="48" xr3:uid="{D0E439A6-2275-4C33-A95A-DAFDDE0956AF}" uniqueName="48" name="SerialNumber" queryTableFieldId="48"/>
    <tableColumn id="49" xr3:uid="{BE704A59-AA30-4C6D-96FE-0FE2EA573DA6}" uniqueName="49" name="SerialNumberChange" queryTableFieldId="49"/>
    <tableColumn id="50" xr3:uid="{F0A9222B-0000-419D-98F5-F464BAD234DC}" uniqueName="50" name="AssetTag" queryTableFieldId="50"/>
    <tableColumn id="51" xr3:uid="{C0E57F08-BCBF-4A27-8A26-39590BE95749}" uniqueName="51" name="AssetUser" queryTableFieldId="51"/>
    <tableColumn id="52" xr3:uid="{DAC63763-2F6A-4114-9F51-5F26D0975D01}" uniqueName="52" name="AssetTagChange" queryTableFieldId="52"/>
    <tableColumn id="53" xr3:uid="{21968569-9D01-4D63-AD45-A9B5DE6431CD}" uniqueName="53" name="AssetUserChange" queryTableFieldId="53"/>
    <tableColumn id="54" xr3:uid="{CC40D5BF-B8A1-47D7-A04C-102AF83BC4A5}" uniqueName="54" name="AssetId" queryTableFieldId="54"/>
    <tableColumn id="55" xr3:uid="{C5C40621-5D79-4B7C-8521-D206E74B3D79}" uniqueName="55" name="AssetName" queryTableFieldId="55"/>
    <tableColumn id="56" xr3:uid="{29BE9DBD-AFA2-40AC-AA72-7F8DCD64442F}" uniqueName="56" name="AssetDescription" queryTableFieldId="56"/>
    <tableColumn id="57" xr3:uid="{1D360961-77B1-4E70-BBFB-40C8F1B67435}" uniqueName="57" name="AssetSiteName" queryTableFieldId="57"/>
    <tableColumn id="58" xr3:uid="{5F5E924C-7B26-4528-B861-9221EA97D5F2}" uniqueName="58" name="AssetSiteId" queryTableFieldId="58"/>
    <tableColumn id="59" xr3:uid="{985F9096-A3A6-499C-9B7D-40CCC405993C}" uniqueName="59" name="AssetCompanyName" queryTableFieldId="59"/>
    <tableColumn id="60" xr3:uid="{33869B11-37EF-48B4-A9E4-6116517A6F3D}" uniqueName="60" name="AssetCompanyId" queryTableFieldId="60"/>
    <tableColumn id="61" xr3:uid="{58C18D99-ED50-4E4E-A9BA-8EEC00C4373C}" uniqueName="61" name="ClientCompanyId" queryTableFieldId="61"/>
    <tableColumn id="62" xr3:uid="{4B330B60-6D4C-49EF-903D-7FEE5719FCD7}" uniqueName="62" name="VendorCompanyId" queryTableFieldId="62"/>
    <tableColumn id="63" xr3:uid="{D11DAAC4-6F0D-46EC-8003-1B4BCF2C60D5}" uniqueName="63" name="ServiceNotes" queryTableFieldId="63"/>
    <tableColumn id="64" xr3:uid="{C2C25933-D2B9-4EEF-875A-91F0A39EA0D9}" uniqueName="64" name="ProviderTechnician" queryTableFieldId="64"/>
    <tableColumn id="65" xr3:uid="{07FE6D2E-A7EC-48CD-BC1E-3CCB985D48DC}" uniqueName="65" name="ProviderPhone" queryTableFieldId="65"/>
    <tableColumn id="66" xr3:uid="{4524F472-AAAA-477C-87ED-F0BB23FDFF7C}" uniqueName="66" name="ProviderCompany" queryTableFieldId="66"/>
    <tableColumn id="67" xr3:uid="{6107A64D-C66F-421B-B66B-A498E23EFB12}" uniqueName="67" name="ServiceCharge" queryTableFieldId="67"/>
    <tableColumn id="68" xr3:uid="{FA86076A-D7C2-4918-90F3-46DAC5E54D9A}" uniqueName="68" name="RepairsCharge" queryTableFieldId="68"/>
    <tableColumn id="69" xr3:uid="{6EB53B50-A90E-431B-A2C9-CA7E1B1455D0}" uniqueName="69" name="PartsCharge" queryTableFieldId="69"/>
    <tableColumn id="70" xr3:uid="{22C5AE1E-8C00-47FC-9676-C7790432CEC6}" uniqueName="70" name="PartsChargeBeforeDiscount" queryTableFieldId="70"/>
    <tableColumn id="71" xr3:uid="{66E79A2E-E44F-4DD7-9137-D3565B595B44}" uniqueName="71" name="CustomOrderNumber" queryTableFieldId="71"/>
    <tableColumn id="72" xr3:uid="{28EE0052-A7A1-45CA-9087-B48131F58748}" uniqueName="72" name="CertificateNumber" queryTableFieldId="72"/>
    <tableColumn id="73" xr3:uid="{0235FF1F-A577-490C-97DF-BF5B8CA035DD}" uniqueName="73" name="ServiceDate" queryTableFieldId="73"/>
    <tableColumn id="74" xr3:uid="{CC0600F3-E9E3-4026-865B-31F84A5898FD}" uniqueName="74" name="DueDate" queryTableFieldId="74"/>
    <tableColumn id="75" xr3:uid="{1B4750D3-A57D-46EE-8632-A018ADC47D20}" uniqueName="75" name="NextServiceDate" queryTableFieldId="75"/>
    <tableColumn id="76" xr3:uid="{E281C5E7-CE9B-44C1-B8E5-0D886F1FCAEA}" uniqueName="76" name="MaintenanceTask" queryTableFieldId="76"/>
    <tableColumn id="77" xr3:uid="{BC6FAE86-850F-4336-8525-1780156F4B8B}" uniqueName="77" name="MaintenancePlan" queryTableFieldId="77"/>
    <tableColumn id="78" xr3:uid="{02FC9C30-84B5-444E-AF07-29C5F58F61B9}" uniqueName="78" name="ServiceOptions" queryTableFieldId="78"/>
    <tableColumn id="79" xr3:uid="{C8E4B5B2-8FA0-4401-AC2B-18436E811EFB}" uniqueName="79" name="VendorTag" queryTableFieldId="79"/>
    <tableColumn id="80" xr3:uid="{85532542-ED23-4404-A452-3FE75A99A1F6}" uniqueName="80" name="LegacyId" queryTableFieldId="80"/>
    <tableColumn id="81" xr3:uid="{8B560688-3C6D-4E98-B695-08A1AA10BDF1}" uniqueName="81" name="AssetOwnership" queryTableFieldId="8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18" t="s">
        <v>1147</v>
      </c>
      <c r="B1" s="130" t="s">
        <v>0</v>
      </c>
      <c r="C1" s="130"/>
      <c r="D1" s="130"/>
      <c r="E1" s="130"/>
      <c r="F1" s="130"/>
      <c r="G1" s="130"/>
      <c r="H1" s="130"/>
      <c r="I1" s="130"/>
      <c r="J1" s="130"/>
      <c r="K1" s="130"/>
      <c r="L1" s="130"/>
      <c r="M1" s="130"/>
      <c r="N1" s="130"/>
      <c r="O1" s="130"/>
      <c r="P1" s="126" t="s">
        <v>1</v>
      </c>
      <c r="Q1" s="126"/>
      <c r="R1" s="126"/>
      <c r="S1" s="126"/>
      <c r="W1" t="s">
        <v>2</v>
      </c>
    </row>
    <row r="2" spans="1:28" ht="26.25" x14ac:dyDescent="0.4">
      <c r="A2" s="79"/>
      <c r="B2" s="131" t="s">
        <v>3</v>
      </c>
      <c r="C2" s="131"/>
      <c r="D2" s="131"/>
      <c r="E2" s="131"/>
      <c r="F2" s="131"/>
      <c r="G2" s="131"/>
      <c r="H2" s="131"/>
      <c r="I2" s="131"/>
      <c r="J2" s="131"/>
      <c r="K2" s="131"/>
      <c r="L2" s="131"/>
      <c r="M2" s="131"/>
      <c r="N2" s="131"/>
      <c r="O2" s="131"/>
      <c r="P2" s="78" t="s">
        <v>4</v>
      </c>
      <c r="Q2" s="37"/>
      <c r="R2" s="37"/>
      <c r="U2" s="16" t="s">
        <v>5</v>
      </c>
      <c r="V2" s="17" t="s">
        <v>6</v>
      </c>
      <c r="W2" s="17"/>
      <c r="X2" s="17"/>
      <c r="Y2" s="17"/>
      <c r="Z2" s="17"/>
    </row>
    <row r="3" spans="1:28" ht="15.75" x14ac:dyDescent="0.25">
      <c r="C3" s="4" t="s">
        <v>7</v>
      </c>
      <c r="D3" s="139"/>
      <c r="E3" s="139"/>
      <c r="F3" s="91" t="s">
        <v>8</v>
      </c>
      <c r="G3" s="142"/>
      <c r="H3" s="142"/>
      <c r="K3" s="4" t="s">
        <v>9</v>
      </c>
      <c r="L3" s="114" t="s">
        <v>10</v>
      </c>
      <c r="N3" s="132"/>
      <c r="O3" s="132"/>
      <c r="P3" s="63" t="s">
        <v>11</v>
      </c>
      <c r="U3" s="4" t="s">
        <v>12</v>
      </c>
      <c r="V3" s="57"/>
      <c r="W3" s="48"/>
      <c r="X3" s="48"/>
      <c r="Y3" s="48"/>
      <c r="Z3" s="48"/>
    </row>
    <row r="4" spans="1:28" ht="15.75" x14ac:dyDescent="0.25">
      <c r="C4" s="4" t="s">
        <v>13</v>
      </c>
      <c r="D4" s="140"/>
      <c r="E4" s="140"/>
      <c r="F4" s="90" t="s">
        <v>14</v>
      </c>
      <c r="G4" s="142"/>
      <c r="H4" s="142"/>
      <c r="K4" s="92" t="str">
        <f>IFERROR(VLOOKUP($D$4,Table1[],2,FALSE),"")</f>
        <v/>
      </c>
      <c r="L4" s="19"/>
      <c r="N4" s="133"/>
      <c r="O4" s="133"/>
      <c r="P4" s="64" t="s">
        <v>15</v>
      </c>
      <c r="U4" s="4" t="s">
        <v>16</v>
      </c>
      <c r="V4" s="57"/>
      <c r="W4" s="48" t="b">
        <v>1</v>
      </c>
      <c r="X4" s="48"/>
      <c r="Y4" s="48"/>
      <c r="Z4" s="48"/>
      <c r="AA4" s="112"/>
    </row>
    <row r="5" spans="1:28" ht="15.75" x14ac:dyDescent="0.25">
      <c r="C5" s="4" t="s">
        <v>17</v>
      </c>
      <c r="D5" s="137"/>
      <c r="E5" s="137"/>
      <c r="F5" s="90" t="s">
        <v>18</v>
      </c>
      <c r="G5" s="142"/>
      <c r="H5" s="142"/>
      <c r="K5" s="92" t="str">
        <f>IFERROR(VLOOKUP($D$4,Table1[],3,FALSE),"")</f>
        <v/>
      </c>
      <c r="M5" s="4" t="s">
        <v>19</v>
      </c>
      <c r="N5" s="56"/>
      <c r="P5" s="64" t="s">
        <v>20</v>
      </c>
      <c r="U5" s="4" t="s">
        <v>21</v>
      </c>
      <c r="V5" s="57"/>
      <c r="W5" s="48"/>
      <c r="X5" s="48"/>
      <c r="Y5" s="48"/>
      <c r="Z5" s="48"/>
    </row>
    <row r="6" spans="1:28" ht="15.75" x14ac:dyDescent="0.25">
      <c r="C6" s="4" t="s">
        <v>22</v>
      </c>
      <c r="D6" s="141"/>
      <c r="E6" s="141"/>
      <c r="F6" s="90" t="s">
        <v>23</v>
      </c>
      <c r="G6" s="142"/>
      <c r="H6" s="142"/>
      <c r="I6" t="s">
        <v>24</v>
      </c>
      <c r="K6" s="92" t="str">
        <f>IFERROR(VLOOKUP($D$4,Table1[],4,FALSE),"")</f>
        <v/>
      </c>
      <c r="M6" s="4" t="s">
        <v>25</v>
      </c>
      <c r="N6" s="58"/>
      <c r="P6" s="64" t="s">
        <v>26</v>
      </c>
      <c r="U6" s="4" t="s">
        <v>27</v>
      </c>
      <c r="V6" s="57"/>
      <c r="W6" s="48"/>
      <c r="X6" s="48"/>
      <c r="Y6" s="48"/>
      <c r="Z6" s="48"/>
    </row>
    <row r="7" spans="1:28" ht="15.75" x14ac:dyDescent="0.25">
      <c r="C7" s="4" t="s">
        <v>28</v>
      </c>
      <c r="D7" s="141"/>
      <c r="E7" s="141"/>
      <c r="F7" s="4" t="s">
        <v>29</v>
      </c>
      <c r="G7" s="142"/>
      <c r="H7" s="142"/>
      <c r="I7" s="83" t="str">
        <f>D7 &amp; " " &amp; G7</f>
        <v xml:space="preserve"> </v>
      </c>
      <c r="M7" s="4" t="s">
        <v>30</v>
      </c>
      <c r="N7" s="58"/>
      <c r="P7" s="64" t="s">
        <v>31</v>
      </c>
      <c r="U7" s="4" t="s">
        <v>32</v>
      </c>
      <c r="V7" s="57"/>
      <c r="W7" s="48"/>
      <c r="X7" s="48"/>
      <c r="Y7" s="48"/>
      <c r="Z7" s="48"/>
    </row>
    <row r="8" spans="1:28" ht="15.75" x14ac:dyDescent="0.25">
      <c r="C8" s="4" t="s">
        <v>33</v>
      </c>
      <c r="D8" s="157" cm="1">
        <f t="array" ref="D8">ServiceOrderItems[SerialNumber]</f>
        <v>0</v>
      </c>
      <c r="E8" s="157"/>
      <c r="M8" s="4" t="s">
        <v>34</v>
      </c>
      <c r="N8" s="59"/>
      <c r="P8" s="64" t="s">
        <v>35</v>
      </c>
      <c r="U8" s="4" t="s">
        <v>36</v>
      </c>
      <c r="V8" s="57"/>
      <c r="W8" s="48"/>
      <c r="X8" s="48"/>
      <c r="Y8" s="48"/>
      <c r="Z8" s="48"/>
    </row>
    <row r="9" spans="1:28" ht="15.75" x14ac:dyDescent="0.25">
      <c r="C9" s="4" t="s">
        <v>37</v>
      </c>
      <c r="D9" s="137"/>
      <c r="E9" s="137"/>
      <c r="H9" t="s">
        <v>38</v>
      </c>
      <c r="J9" s="114" t="s">
        <v>145</v>
      </c>
      <c r="M9" s="4" t="s">
        <v>39</v>
      </c>
      <c r="N9" s="60"/>
      <c r="P9" s="64" t="s">
        <v>40</v>
      </c>
      <c r="U9" s="4"/>
    </row>
    <row r="10" spans="1:28" x14ac:dyDescent="0.25">
      <c r="B10" s="122" t="s">
        <v>41</v>
      </c>
      <c r="C10" s="122"/>
      <c r="D10" s="122"/>
      <c r="E10" s="122"/>
      <c r="F10" s="122"/>
      <c r="G10" s="122"/>
      <c r="H10" s="122"/>
      <c r="I10" s="122"/>
      <c r="J10" s="122"/>
      <c r="K10" s="122"/>
      <c r="L10" s="122"/>
      <c r="M10" s="122"/>
      <c r="N10" s="122"/>
      <c r="O10" s="122"/>
      <c r="P10" s="18"/>
      <c r="Q10" s="18"/>
      <c r="R10" s="18"/>
      <c r="U10" s="69" t="s">
        <v>42</v>
      </c>
      <c r="V10" s="17" t="s">
        <v>6</v>
      </c>
      <c r="W10" s="17"/>
      <c r="X10" s="17"/>
      <c r="Y10" s="17"/>
      <c r="Z10" s="17"/>
    </row>
    <row r="11" spans="1:28" x14ac:dyDescent="0.25">
      <c r="C11" s="4" t="s">
        <v>43</v>
      </c>
      <c r="D11" s="115" t="s">
        <v>145</v>
      </c>
      <c r="H11" s="4" t="s">
        <v>44</v>
      </c>
      <c r="I11" s="4"/>
      <c r="J11" t="str">
        <f>IF(D11="Yes","ASTM E-110-14","ASTM E18-24")</f>
        <v>ASTM E18-24</v>
      </c>
      <c r="U11" s="4" t="s">
        <v>16</v>
      </c>
      <c r="V11" s="57"/>
      <c r="W11" s="48"/>
      <c r="X11" s="48"/>
      <c r="Y11" s="48"/>
      <c r="Z11" s="48"/>
    </row>
    <row r="12" spans="1:28" x14ac:dyDescent="0.25">
      <c r="E12" s="4" t="s">
        <v>45</v>
      </c>
      <c r="F12" t="s">
        <v>46</v>
      </c>
      <c r="M12" s="4" t="s">
        <v>47</v>
      </c>
      <c r="N12" s="5" t="s">
        <v>48</v>
      </c>
      <c r="O12" s="5"/>
      <c r="P12" s="5"/>
      <c r="Q12" s="5"/>
      <c r="R12" s="5"/>
      <c r="U12" s="4" t="s">
        <v>21</v>
      </c>
      <c r="V12" s="57"/>
      <c r="W12" s="48"/>
      <c r="X12" s="48"/>
      <c r="Y12" s="48"/>
      <c r="Z12" s="48"/>
    </row>
    <row r="13" spans="1:28" x14ac:dyDescent="0.25">
      <c r="B13" s="122" t="s">
        <v>41</v>
      </c>
      <c r="C13" s="122"/>
      <c r="D13" s="122"/>
      <c r="E13" s="122"/>
      <c r="F13" s="122"/>
      <c r="G13" s="122"/>
      <c r="H13" s="122"/>
      <c r="I13" s="122"/>
      <c r="J13" s="122"/>
      <c r="K13" s="122"/>
      <c r="L13" s="122"/>
      <c r="M13" s="122"/>
      <c r="N13" s="122"/>
      <c r="O13" s="122"/>
      <c r="P13" s="18"/>
      <c r="Q13" s="18"/>
      <c r="R13" s="18"/>
      <c r="U13" s="4" t="s">
        <v>27</v>
      </c>
      <c r="V13" s="57"/>
      <c r="W13" s="48"/>
      <c r="X13" s="48"/>
      <c r="Y13" s="48"/>
      <c r="Z13" s="48"/>
    </row>
    <row r="14" spans="1:28" ht="15.75" x14ac:dyDescent="0.25">
      <c r="B14" t="s">
        <v>49</v>
      </c>
      <c r="F14" s="55"/>
      <c r="G14" s="55"/>
      <c r="H14" s="55"/>
      <c r="I14" s="55"/>
      <c r="J14" s="55"/>
      <c r="K14" s="55"/>
      <c r="L14" s="55"/>
      <c r="M14" s="20"/>
      <c r="N14" s="20"/>
      <c r="O14" s="20"/>
      <c r="P14" s="5"/>
      <c r="Q14" s="5"/>
      <c r="R14" s="5"/>
      <c r="U14" s="4" t="s">
        <v>50</v>
      </c>
      <c r="V14" s="57"/>
      <c r="W14" s="48"/>
      <c r="X14" s="48"/>
      <c r="Y14" s="48"/>
      <c r="Z14" s="48"/>
    </row>
    <row r="15" spans="1:28" ht="15.75" x14ac:dyDescent="0.25">
      <c r="B15" t="s">
        <v>51</v>
      </c>
      <c r="F15" s="61"/>
      <c r="G15" s="61"/>
      <c r="H15" s="61"/>
      <c r="I15" s="61"/>
      <c r="J15" s="61"/>
      <c r="K15" s="61"/>
      <c r="L15" s="61"/>
      <c r="M15" s="73"/>
      <c r="N15" s="73"/>
      <c r="O15" s="73"/>
      <c r="P15" s="18"/>
      <c r="Q15" s="18"/>
      <c r="R15" s="18"/>
      <c r="U15" s="4" t="s">
        <v>36</v>
      </c>
      <c r="V15" s="57"/>
      <c r="W15" s="48"/>
      <c r="X15" s="48"/>
      <c r="Y15" s="48"/>
      <c r="Z15" s="48"/>
    </row>
    <row r="16" spans="1:28" x14ac:dyDescent="0.25">
      <c r="B16" s="123" t="s">
        <v>52</v>
      </c>
      <c r="C16" s="123"/>
      <c r="D16" s="123" t="s">
        <v>53</v>
      </c>
      <c r="E16" s="123"/>
      <c r="F16" s="47" t="s">
        <v>54</v>
      </c>
      <c r="G16" s="47"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5" t="s">
        <v>67</v>
      </c>
      <c r="J17" s="65" t="s">
        <v>68</v>
      </c>
      <c r="K17" s="9"/>
      <c r="L17" s="9"/>
      <c r="M17" s="9"/>
      <c r="N17" s="9"/>
      <c r="O17" s="10" t="s">
        <v>69</v>
      </c>
      <c r="P17" s="9"/>
      <c r="Q17" s="10" t="s">
        <v>70</v>
      </c>
      <c r="R17" s="9"/>
      <c r="S17" s="120"/>
      <c r="T17" s="120"/>
      <c r="U17" s="27"/>
      <c r="V17" s="27" t="s">
        <v>71</v>
      </c>
      <c r="W17" s="27" t="s">
        <v>72</v>
      </c>
      <c r="X17" s="27" t="s">
        <v>73</v>
      </c>
      <c r="Y17" s="27" t="s">
        <v>74</v>
      </c>
      <c r="Z17" s="27" t="s">
        <v>75</v>
      </c>
      <c r="AA17" s="4" t="s">
        <v>76</v>
      </c>
      <c r="AB17" s="21" t="s">
        <v>77</v>
      </c>
      <c r="AC17" s="21" t="s">
        <v>78</v>
      </c>
      <c r="AE17" s="107" t="s">
        <v>79</v>
      </c>
      <c r="AF17" s="15" t="s">
        <v>80</v>
      </c>
      <c r="AG17" s="15" t="s">
        <v>81</v>
      </c>
      <c r="AH17" s="15" t="s">
        <v>63</v>
      </c>
      <c r="AI17" s="15" t="s">
        <v>82</v>
      </c>
    </row>
    <row r="18" spans="1:35" ht="16.5" customHeight="1" x14ac:dyDescent="0.3">
      <c r="A18" s="4" t="str">
        <f>IFERROR(VLOOKUP(B18,Thresholds[],2,FALSE),"")</f>
        <v/>
      </c>
      <c r="B18" s="109" t="str">
        <f>IF(F$14="","",F$14)</f>
        <v/>
      </c>
      <c r="C18" s="62"/>
      <c r="D18" s="124"/>
      <c r="E18" s="125"/>
      <c r="F18" s="67"/>
      <c r="G18" s="67"/>
      <c r="H18" s="81"/>
      <c r="I18" s="82" t="str">
        <f>IFERROR(IF(OR(AA18&lt;-AH18,AA18&gt;AH18),"AF ERROR",IF(Y18&gt;AG18,"AF REPEAT","")),"")</f>
        <v/>
      </c>
      <c r="J18" s="68"/>
      <c r="K18" s="68"/>
      <c r="L18" s="68"/>
      <c r="M18" s="68"/>
      <c r="N18" s="68"/>
      <c r="O18" s="11" t="str">
        <f>IFERROR(IF(B18="","",AB18-AC18),"")</f>
        <v/>
      </c>
      <c r="P18" s="14" t="str">
        <f>IFERROR(IF(B18="","",AVERAGE(J18:N18)),"")</f>
        <v/>
      </c>
      <c r="Q18" s="11" t="str">
        <f>IFERROR(IF(B18="","",P18-C18),"")</f>
        <v/>
      </c>
      <c r="R18" s="13" t="str">
        <f t="shared" ref="R18:R20" si="0">IFERROR(AE18&amp;"/"&amp;AF18,"")</f>
        <v/>
      </c>
      <c r="S18" s="70" t="str">
        <f>IFERROR(IF(O18&gt;AG18,"OOT REPEATABILITY",""),"")</f>
        <v/>
      </c>
      <c r="T18" s="70" t="str">
        <f>IFERROR(IF(OR(Q18&lt;-AH18,Q18&gt;AH18),"OOT ERROR",""),"")</f>
        <v/>
      </c>
      <c r="V18" t="str">
        <f>IFERROR(VLOOKUP(B18,UNCERTAINTY[],2,FALSE),"")</f>
        <v/>
      </c>
      <c r="W18" s="49" t="str">
        <f>IF(F18&gt;0,MAX(F18:G18),"")</f>
        <v/>
      </c>
      <c r="X18" s="28" t="str">
        <f>IF(F18&gt;0,MIN(F18:G18),"")</f>
        <v/>
      </c>
      <c r="Y18" s="49" t="str">
        <f>IF(F18&gt;0,W18-X18,"")</f>
        <v/>
      </c>
      <c r="Z18" s="49"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9" t="str">
        <f>IF(F$14="","",F$14)</f>
        <v/>
      </c>
      <c r="C19" s="62"/>
      <c r="D19" s="124"/>
      <c r="E19" s="125"/>
      <c r="F19" s="67"/>
      <c r="G19" s="67"/>
      <c r="H19" s="81" t="str">
        <f>IF(AND(C19-C18&lt;5,C19&gt;0),"Too Close","")</f>
        <v/>
      </c>
      <c r="I19" s="82" t="str">
        <f>IFERROR(IF(OR(AA19&lt;-AH19,AA19&gt;AH19),"AF ERROR",IF(Y19&gt;AG19,"AF REPEAT","")),"")</f>
        <v/>
      </c>
      <c r="J19" s="68"/>
      <c r="K19" s="68"/>
      <c r="L19" s="68"/>
      <c r="M19" s="68"/>
      <c r="N19" s="68"/>
      <c r="O19" s="11" t="str">
        <f>IFERROR(IF(B19="","",AB19-AC19),"")</f>
        <v/>
      </c>
      <c r="P19" s="14" t="str">
        <f>IFERROR(IF(B19="","",AVERAGE(J19:N19)),"")</f>
        <v/>
      </c>
      <c r="Q19" s="11" t="str">
        <f>IFERROR(IF(B19="","",P19-C19),"")</f>
        <v/>
      </c>
      <c r="R19" s="13" t="str">
        <f t="shared" si="0"/>
        <v/>
      </c>
      <c r="S19" s="70" t="str">
        <f>IFERROR(IF(O19&gt;AG19,"OOT REPEATABILITY",""),"")</f>
        <v/>
      </c>
      <c r="T19" s="70" t="str">
        <f>IFERROR(IF(OR(Q19&lt;-AH19,Q19&gt;AH19),"OOT ERROR",""),"")</f>
        <v/>
      </c>
      <c r="V19" t="str">
        <f>IFERROR(VLOOKUP(B19,UNCERTAINTY[],3,FALSE),"")</f>
        <v/>
      </c>
      <c r="W19" s="49" t="str">
        <f>IF(F19&gt;0,MAX(F19:G19),"")</f>
        <v/>
      </c>
      <c r="X19" s="28" t="str">
        <f>IF(F19&gt;0,MIN(F19:G19),"")</f>
        <v/>
      </c>
      <c r="Y19" s="49" t="str">
        <f>IF(F19&gt;0,W19-X19,"")</f>
        <v/>
      </c>
      <c r="Z19" s="49"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9" t="str">
        <f>IF(F$14="","",F$14)</f>
        <v/>
      </c>
      <c r="C20" s="62"/>
      <c r="D20" s="124"/>
      <c r="E20" s="125"/>
      <c r="F20" s="67"/>
      <c r="G20" s="67"/>
      <c r="H20" s="81" t="str">
        <f>IF(AND(C20-C19&lt;5,C20&gt;0),"Too Close","")</f>
        <v/>
      </c>
      <c r="I20" s="82" t="str">
        <f>IFERROR(IF(OR(AA20&lt;-AH20,AA20&gt;AH20),"AF ERROR",IF(Y20&gt;AG20,"AF REPEAT","")),"")</f>
        <v/>
      </c>
      <c r="J20" s="68"/>
      <c r="K20" s="68"/>
      <c r="L20" s="68"/>
      <c r="M20" s="68"/>
      <c r="N20" s="68"/>
      <c r="O20" s="11" t="str">
        <f>IFERROR(IF(B20="","",AB20-AC20),"")</f>
        <v/>
      </c>
      <c r="P20" s="14" t="str">
        <f>IFERROR(IF(B20="","",AVERAGE(J20:N20)),"")</f>
        <v/>
      </c>
      <c r="Q20" s="11" t="str">
        <f>IFERROR(IF(B20="","",P20-C20),"")</f>
        <v/>
      </c>
      <c r="R20" s="13" t="str">
        <f t="shared" si="0"/>
        <v/>
      </c>
      <c r="S20" s="70" t="str">
        <f>IFERROR(IF(O20&gt;AG20,"OOT REPEATABILITY",""),"")</f>
        <v/>
      </c>
      <c r="T20" s="70" t="str">
        <f>IFERROR(IF(OR(Q20&lt;-AH20,Q20&gt;AH20),"OOT ERROR",""),"")</f>
        <v/>
      </c>
      <c r="V20" t="str">
        <f>IFERROR(VLOOKUP(B20,UNCERTAINTY[],4,FALSE),"")</f>
        <v/>
      </c>
      <c r="W20" s="49" t="str">
        <f>IF(F20&gt;0,MAX(F20:G20),"")</f>
        <v/>
      </c>
      <c r="X20" s="28" t="str">
        <f>IF(F20&gt;0,MIN(F20:G20),"")</f>
        <v/>
      </c>
      <c r="Y20" s="49" t="str">
        <f>IF(F20&gt;0,W20-X20,"")</f>
        <v/>
      </c>
      <c r="Z20" s="49"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98"/>
      <c r="B21" s="110"/>
      <c r="C21" s="99"/>
      <c r="D21" s="121"/>
      <c r="E21" s="121"/>
      <c r="F21" s="11"/>
      <c r="G21" s="11"/>
      <c r="H21" s="66"/>
      <c r="I21" s="82"/>
      <c r="J21" s="11"/>
      <c r="K21" s="11"/>
      <c r="L21" s="9"/>
      <c r="M21" s="9"/>
      <c r="N21" s="11"/>
      <c r="O21" s="12"/>
      <c r="P21" s="12"/>
      <c r="Q21" s="12"/>
      <c r="R21" s="12"/>
      <c r="S21" s="3"/>
      <c r="T21" s="3"/>
      <c r="W21" s="49"/>
      <c r="X21" s="28"/>
      <c r="Y21" s="49"/>
      <c r="Z21" s="49"/>
      <c r="AA21" s="22"/>
      <c r="AB21" s="3"/>
      <c r="AC21" s="22"/>
    </row>
    <row r="22" spans="1:35" ht="16.5" customHeight="1" x14ac:dyDescent="0.3">
      <c r="A22" s="4" t="str">
        <f>IFERROR(VLOOKUP(B22,Thresholds[],2,FALSE),"")</f>
        <v/>
      </c>
      <c r="B22" s="109" t="str">
        <f>IF(G$14="","",G$14)</f>
        <v/>
      </c>
      <c r="C22" s="62"/>
      <c r="D22" s="119"/>
      <c r="E22" s="119"/>
      <c r="F22" s="67"/>
      <c r="G22" s="67"/>
      <c r="H22" s="81"/>
      <c r="I22" s="82" t="str">
        <f>IFERROR(IF(OR(AA22&lt;-AH22,AA22&gt;AH22),"AF ERROR",IF(Y22&gt;AG22,"AF REPEAT","")),"")</f>
        <v/>
      </c>
      <c r="J22" s="68"/>
      <c r="K22" s="68"/>
      <c r="L22" s="68"/>
      <c r="M22" s="68"/>
      <c r="N22" s="68"/>
      <c r="O22" s="11" t="str">
        <f>IFERROR(IF(B22="","",AB22-AC22),"")</f>
        <v/>
      </c>
      <c r="P22" s="14" t="str">
        <f>IFERROR(IF(B22="","",AVERAGE(J22:N22)),"")</f>
        <v/>
      </c>
      <c r="Q22" s="11" t="str">
        <f>IFERROR(IF(B22="","",P22-C22),"")</f>
        <v/>
      </c>
      <c r="R22" s="13" t="str">
        <f t="shared" ref="R22:R24" si="3">IFERROR(AE22&amp;"/"&amp;AF22,"")</f>
        <v/>
      </c>
      <c r="S22" s="70" t="str">
        <f>IFERROR(IF(O22&gt;AG22,"OOT REPEATABILITY",""),"")</f>
        <v/>
      </c>
      <c r="T22" s="70" t="str">
        <f>IFERROR(IF(OR(Q22&lt;-AH22,Q22&gt;AH22),"OOT ERROR",""),"")</f>
        <v/>
      </c>
      <c r="V22" t="str">
        <f>IFERROR(VLOOKUP(B22,UNCERTAINTY[],2,FALSE),"")</f>
        <v/>
      </c>
      <c r="W22" s="49" t="str">
        <f t="shared" ref="W22:W44" si="4">IF(F22&gt;0,MAX(F22:G22),"")</f>
        <v/>
      </c>
      <c r="X22" s="28" t="str">
        <f t="shared" ref="X22:X44" si="5">IF(F22&gt;0,MIN(F22:G22),"")</f>
        <v/>
      </c>
      <c r="Y22" s="49" t="str">
        <f t="shared" ref="Y22:Y44" si="6">IF(F22&gt;0,W22-X22,"")</f>
        <v/>
      </c>
      <c r="Z22" s="49"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9" t="str">
        <f>IF(G$14="","",G$14)</f>
        <v/>
      </c>
      <c r="C23" s="62"/>
      <c r="D23" s="119"/>
      <c r="E23" s="119"/>
      <c r="F23" s="67"/>
      <c r="G23" s="67"/>
      <c r="H23" s="81" t="str">
        <f>IF(AND(C23-C22&lt;5,C23&gt;0),"Too Close","")</f>
        <v/>
      </c>
      <c r="I23" s="82" t="str">
        <f>IFERROR(IF(OR(AA23&lt;-AH23,AA23&gt;AH23),"AF ERROR",IF(Y23&gt;AG23,"AF REPEAT","")),"")</f>
        <v/>
      </c>
      <c r="J23" s="68"/>
      <c r="K23" s="68"/>
      <c r="L23" s="68"/>
      <c r="M23" s="68"/>
      <c r="N23" s="68"/>
      <c r="O23" s="11" t="str">
        <f>IFERROR(IF(B23="","",AB23-AC23),"")</f>
        <v/>
      </c>
      <c r="P23" s="14" t="str">
        <f>IFERROR(IF(B23="","",AVERAGE(J23:N23)),"")</f>
        <v/>
      </c>
      <c r="Q23" s="11" t="str">
        <f>IFERROR(IF(B23="","",P23-C23),"")</f>
        <v/>
      </c>
      <c r="R23" s="13" t="str">
        <f t="shared" si="3"/>
        <v/>
      </c>
      <c r="S23" s="70" t="str">
        <f>IFERROR(IF(O23&gt;AG23,"OOT REPEATABILITY",""),"")</f>
        <v/>
      </c>
      <c r="T23" s="70" t="str">
        <f>IFERROR(IF(OR(Q23&lt;-AH23,Q23&gt;AH23),"OOT ERROR",""),"")</f>
        <v/>
      </c>
      <c r="V23" t="str">
        <f>IFERROR(VLOOKUP(B23,UNCERTAINTY[],3,FALSE),"")</f>
        <v/>
      </c>
      <c r="W23" s="49" t="str">
        <f t="shared" si="4"/>
        <v/>
      </c>
      <c r="X23" s="28" t="str">
        <f t="shared" si="5"/>
        <v/>
      </c>
      <c r="Y23" s="49" t="str">
        <f t="shared" si="6"/>
        <v/>
      </c>
      <c r="Z23" s="49"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9" t="str">
        <f>IF(G$14="","",G$14)</f>
        <v/>
      </c>
      <c r="C24" s="62"/>
      <c r="D24" s="119"/>
      <c r="E24" s="119"/>
      <c r="F24" s="67"/>
      <c r="G24" s="67"/>
      <c r="H24" s="81" t="str">
        <f>IF(AND(C24-C23&lt;5,C24&gt;0),"Too Close","")</f>
        <v/>
      </c>
      <c r="I24" s="82" t="str">
        <f>IFERROR(IF(OR(AA24&lt;-AH24,AA24&gt;AH24),"AF ERROR",IF(Y24&gt;AG24,"AF REPEAT","")),"")</f>
        <v/>
      </c>
      <c r="J24" s="68"/>
      <c r="K24" s="68"/>
      <c r="L24" s="68"/>
      <c r="M24" s="68"/>
      <c r="N24" s="68"/>
      <c r="O24" s="11" t="str">
        <f>IFERROR(IF(B24="","",AB24-AC24),"")</f>
        <v/>
      </c>
      <c r="P24" s="14" t="str">
        <f>IFERROR(IF(B24="","",AVERAGE(J24:N24)),"")</f>
        <v/>
      </c>
      <c r="Q24" s="11" t="str">
        <f>IFERROR(IF(B24="","",P24-C24),"")</f>
        <v/>
      </c>
      <c r="R24" s="13" t="str">
        <f t="shared" si="3"/>
        <v/>
      </c>
      <c r="S24" s="70" t="str">
        <f>IFERROR(IF(O24&gt;AG24,"OOT REPEATABILITY",""),"")</f>
        <v/>
      </c>
      <c r="T24" s="70" t="str">
        <f>IFERROR(IF(OR(Q24&lt;-AH24,Q24&gt;AH24),"OOT ERROR",""),"")</f>
        <v/>
      </c>
      <c r="V24" t="str">
        <f>IFERROR(VLOOKUP(B24,UNCERTAINTY[],4,FALSE),"")</f>
        <v/>
      </c>
      <c r="W24" s="49" t="str">
        <f t="shared" si="4"/>
        <v/>
      </c>
      <c r="X24" s="28" t="str">
        <f t="shared" si="5"/>
        <v/>
      </c>
      <c r="Y24" s="49" t="str">
        <f t="shared" si="6"/>
        <v/>
      </c>
      <c r="Z24" s="49"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11"/>
      <c r="C25" s="99"/>
      <c r="D25" s="121"/>
      <c r="E25" s="121"/>
      <c r="F25" s="3"/>
      <c r="G25" s="3"/>
      <c r="H25" s="65"/>
      <c r="I25" s="82"/>
      <c r="J25" s="11"/>
      <c r="K25" s="11"/>
      <c r="L25" s="9"/>
      <c r="M25" s="9"/>
      <c r="N25" s="11"/>
      <c r="O25" s="12"/>
      <c r="P25" s="12"/>
      <c r="Q25" s="12"/>
      <c r="R25" s="12"/>
      <c r="S25" s="3"/>
      <c r="T25" s="3"/>
      <c r="W25" s="49" t="str">
        <f t="shared" si="4"/>
        <v/>
      </c>
      <c r="X25" s="28" t="str">
        <f t="shared" si="5"/>
        <v/>
      </c>
      <c r="Y25" s="49" t="str">
        <f t="shared" si="6"/>
        <v/>
      </c>
      <c r="Z25" s="49" t="str">
        <f t="shared" si="7"/>
        <v/>
      </c>
      <c r="AA25" s="22"/>
      <c r="AB25" s="3"/>
      <c r="AC25" s="22"/>
    </row>
    <row r="26" spans="1:35" ht="16.5" customHeight="1" x14ac:dyDescent="0.3">
      <c r="A26" s="4" t="str">
        <f>IFERROR(VLOOKUP(B26,Thresholds[],2,FALSE),"")</f>
        <v/>
      </c>
      <c r="B26" s="109" t="str">
        <f>IF(H$14="","",H$14)</f>
        <v/>
      </c>
      <c r="C26" s="62"/>
      <c r="D26" s="119"/>
      <c r="E26" s="119"/>
      <c r="F26" s="67"/>
      <c r="G26" s="67"/>
      <c r="H26" s="81"/>
      <c r="I26" s="82" t="str">
        <f>IFERROR(IF(OR(AA26&lt;-AH26,AA26&gt;AH26),"AF ERROR",IF(Y26&gt;AG26,"AF REPEAT","")),"")</f>
        <v/>
      </c>
      <c r="J26" s="68"/>
      <c r="K26" s="68"/>
      <c r="L26" s="68"/>
      <c r="M26" s="68"/>
      <c r="N26" s="68"/>
      <c r="O26" s="11" t="str">
        <f>IFERROR(IF(B26="","",AB26-AC26),"")</f>
        <v/>
      </c>
      <c r="P26" s="14" t="str">
        <f>IFERROR(IF(B26="","",AVERAGE(J26:N26)),"")</f>
        <v/>
      </c>
      <c r="Q26" s="11" t="str">
        <f>IFERROR(IF(B26="","",P26-C26),"")</f>
        <v/>
      </c>
      <c r="R26" s="13" t="str">
        <f t="shared" ref="R26:R28" si="10">IFERROR(AE26&amp;"/"&amp;AF26,"")</f>
        <v/>
      </c>
      <c r="S26" s="70" t="str">
        <f>IFERROR(IF(O26&gt;AG26,"OOT REPEATABILITY",""),"")</f>
        <v/>
      </c>
      <c r="T26" s="70" t="str">
        <f>IFERROR(IF(OR(Q26&lt;-AH26,Q26&gt;AH26),"OOT ERROR",""),"")</f>
        <v/>
      </c>
      <c r="V26" t="str">
        <f>IFERROR(VLOOKUP(B26,UNCERTAINTY[],2,FALSE),"")</f>
        <v/>
      </c>
      <c r="W26" s="49" t="str">
        <f t="shared" si="4"/>
        <v/>
      </c>
      <c r="X26" s="28" t="str">
        <f t="shared" si="5"/>
        <v/>
      </c>
      <c r="Y26" s="49" t="str">
        <f t="shared" si="6"/>
        <v/>
      </c>
      <c r="Z26" s="49"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9" t="str">
        <f>IF(H$14="","",H$14)</f>
        <v/>
      </c>
      <c r="C27" s="62"/>
      <c r="D27" s="119"/>
      <c r="E27" s="119"/>
      <c r="F27" s="67"/>
      <c r="G27" s="67"/>
      <c r="H27" s="81" t="str">
        <f>IF(AND(C27-C26&lt;5,C27&gt;0),"Too Close","")</f>
        <v/>
      </c>
      <c r="I27" s="82" t="str">
        <f>IFERROR(IF(OR(AA27&lt;-AH27,AA27&gt;AH27),"AF ERROR",IF(Y27&gt;AG27,"AF REPEAT","")),"")</f>
        <v/>
      </c>
      <c r="J27" s="68"/>
      <c r="K27" s="68"/>
      <c r="L27" s="68"/>
      <c r="M27" s="68"/>
      <c r="N27" s="68"/>
      <c r="O27" s="11" t="str">
        <f>IFERROR(IF(B27="","",AB27-AC27),"")</f>
        <v/>
      </c>
      <c r="P27" s="14" t="str">
        <f>IFERROR(IF(B27="","",AVERAGE(J27:N27)),"")</f>
        <v/>
      </c>
      <c r="Q27" s="11" t="str">
        <f>IFERROR(IF(B27="","",P27-C27),"")</f>
        <v/>
      </c>
      <c r="R27" s="13" t="str">
        <f t="shared" si="10"/>
        <v/>
      </c>
      <c r="S27" s="70" t="str">
        <f>IFERROR(IF(O27&gt;AG27,"OOT REPEATABILITY",""),"")</f>
        <v/>
      </c>
      <c r="T27" s="70" t="str">
        <f>IFERROR(IF(OR(Q27&lt;-AH27,Q27&gt;AH27),"OOT ERROR",""),"")</f>
        <v/>
      </c>
      <c r="V27" t="str">
        <f>IFERROR(VLOOKUP(B27,UNCERTAINTY[],3,FALSE),"")</f>
        <v/>
      </c>
      <c r="W27" s="49" t="str">
        <f t="shared" si="4"/>
        <v/>
      </c>
      <c r="X27" s="28" t="str">
        <f t="shared" si="5"/>
        <v/>
      </c>
      <c r="Y27" s="49" t="str">
        <f t="shared" si="6"/>
        <v/>
      </c>
      <c r="Z27" s="49"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9" t="str">
        <f>IF(H$14="","",H$14)</f>
        <v/>
      </c>
      <c r="C28" s="62"/>
      <c r="D28" s="119"/>
      <c r="E28" s="119"/>
      <c r="F28" s="67"/>
      <c r="G28" s="67"/>
      <c r="H28" s="81" t="str">
        <f>IF(AND(C28-C27&lt;5,C28&gt;0),"Too Close","")</f>
        <v/>
      </c>
      <c r="I28" s="82" t="str">
        <f>IFERROR(IF(OR(AA28&lt;-AH28,AA28&gt;AH28),"AF ERROR",IF(Y28&gt;AG28,"AF REPEAT","")),"")</f>
        <v/>
      </c>
      <c r="J28" s="68"/>
      <c r="K28" s="68"/>
      <c r="L28" s="68"/>
      <c r="M28" s="68"/>
      <c r="N28" s="68"/>
      <c r="O28" s="11" t="str">
        <f>IFERROR(IF(B28="","",AB28-AC28),"")</f>
        <v/>
      </c>
      <c r="P28" s="14" t="str">
        <f>IFERROR(IF(B28="","",AVERAGE(J28:N28)),"")</f>
        <v/>
      </c>
      <c r="Q28" s="11" t="str">
        <f>IFERROR(IF(B28="","",P28-C28),"")</f>
        <v/>
      </c>
      <c r="R28" s="13" t="str">
        <f t="shared" si="10"/>
        <v/>
      </c>
      <c r="S28" s="70" t="str">
        <f>IFERROR(IF(O28&gt;AG28,"OOT REPEATABILITY",""),"")</f>
        <v/>
      </c>
      <c r="T28" s="70" t="str">
        <f>IFERROR(IF(OR(Q28&lt;-AH28,Q28&gt;AH28),"OOT ERROR",""),"")</f>
        <v/>
      </c>
      <c r="V28" t="str">
        <f>IFERROR(VLOOKUP(B28,UNCERTAINTY[],4,FALSE),"")</f>
        <v/>
      </c>
      <c r="W28" s="49" t="str">
        <f t="shared" si="4"/>
        <v/>
      </c>
      <c r="X28" s="28" t="str">
        <f t="shared" si="5"/>
        <v/>
      </c>
      <c r="Y28" s="49" t="str">
        <f t="shared" si="6"/>
        <v/>
      </c>
      <c r="Z28" s="49"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11"/>
      <c r="C29" s="99"/>
      <c r="D29" s="121"/>
      <c r="E29" s="121"/>
      <c r="F29" s="3"/>
      <c r="G29" s="3"/>
      <c r="H29" s="65"/>
      <c r="I29" s="82"/>
      <c r="J29" s="11"/>
      <c r="K29" s="11"/>
      <c r="L29" s="9"/>
      <c r="M29" s="9"/>
      <c r="N29" s="11"/>
      <c r="O29" s="12"/>
      <c r="P29" s="12"/>
      <c r="Q29" s="12"/>
      <c r="R29" s="12"/>
      <c r="S29" s="3"/>
      <c r="T29" s="3"/>
      <c r="W29" s="49" t="str">
        <f t="shared" si="4"/>
        <v/>
      </c>
      <c r="X29" s="28" t="str">
        <f t="shared" si="5"/>
        <v/>
      </c>
      <c r="Y29" s="49" t="str">
        <f t="shared" si="6"/>
        <v/>
      </c>
      <c r="Z29" s="49" t="str">
        <f t="shared" si="7"/>
        <v/>
      </c>
      <c r="AA29" s="22"/>
      <c r="AB29" s="3"/>
      <c r="AC29" s="22"/>
    </row>
    <row r="30" spans="1:35" ht="16.5" customHeight="1" x14ac:dyDescent="0.3">
      <c r="A30" s="4" t="str">
        <f>IFERROR(VLOOKUP(B30,Thresholds[],2,FALSE),"")</f>
        <v/>
      </c>
      <c r="B30" s="109" t="str">
        <f>IF(I$14="","",I$14)</f>
        <v/>
      </c>
      <c r="C30" s="62"/>
      <c r="D30" s="119"/>
      <c r="E30" s="119"/>
      <c r="F30" s="67"/>
      <c r="G30" s="67"/>
      <c r="H30" s="81"/>
      <c r="I30" s="82" t="str">
        <f>IFERROR(IF(OR(AA30&lt;-AH30,AA30&gt;AH30),"AF ERROR",IF(Y30&gt;AG30,"AF REPEAT","")),"")</f>
        <v/>
      </c>
      <c r="J30" s="68"/>
      <c r="K30" s="68"/>
      <c r="L30" s="68"/>
      <c r="M30" s="68"/>
      <c r="N30" s="68"/>
      <c r="O30" s="11" t="str">
        <f>IFERROR(IF(B30="","",AB30-AC30),"")</f>
        <v/>
      </c>
      <c r="P30" s="14" t="str">
        <f>IFERROR(IF(B30="","",AVERAGE(J30:N30)),"")</f>
        <v/>
      </c>
      <c r="Q30" s="11" t="str">
        <f>IFERROR(IF(B30="","",P30-C30),"")</f>
        <v/>
      </c>
      <c r="R30" s="13" t="str">
        <f>IFERROR(AE30&amp;"/"&amp;AF30,"")</f>
        <v/>
      </c>
      <c r="S30" s="70" t="str">
        <f>IFERROR(IF(O30&gt;AG30,"OOT REPEATABILITY",""),"")</f>
        <v/>
      </c>
      <c r="T30" s="70" t="str">
        <f>IFERROR(IF(OR(Q30&lt;-AH30,Q30&gt;AH30),"OOT ERROR",""),"")</f>
        <v/>
      </c>
      <c r="V30" t="str">
        <f>IFERROR(VLOOKUP(B30,UNCERTAINTY[],2,FALSE),"")</f>
        <v/>
      </c>
      <c r="W30" s="49" t="str">
        <f t="shared" si="4"/>
        <v/>
      </c>
      <c r="X30" s="28" t="str">
        <f t="shared" si="5"/>
        <v/>
      </c>
      <c r="Y30" s="49" t="str">
        <f t="shared" si="6"/>
        <v/>
      </c>
      <c r="Z30" s="49"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9" t="str">
        <f>IF(I$14="","",I$14)</f>
        <v/>
      </c>
      <c r="C31" s="62"/>
      <c r="D31" s="119"/>
      <c r="E31" s="119"/>
      <c r="F31" s="67"/>
      <c r="G31" s="67"/>
      <c r="H31" s="81" t="str">
        <f>IF(AND(C31-C30&lt;5,C31&gt;0),"Too Close","")</f>
        <v/>
      </c>
      <c r="I31" s="82" t="str">
        <f>IFERROR(IF(OR(AA31&lt;-AH31,AA31&gt;AH31),"AF ERROR",IF(Y31&gt;AG31,"AF REPEAT","")),"")</f>
        <v/>
      </c>
      <c r="J31" s="68"/>
      <c r="K31" s="68"/>
      <c r="L31" s="68"/>
      <c r="M31" s="68"/>
      <c r="N31" s="68"/>
      <c r="O31" s="11" t="str">
        <f>IFERROR(IF(B31="","",AB31-AC31),"")</f>
        <v/>
      </c>
      <c r="P31" s="14" t="str">
        <f>IFERROR(IF(B31="","",AVERAGE(J31:N31)),"")</f>
        <v/>
      </c>
      <c r="Q31" s="11" t="str">
        <f>IFERROR(IF(B31="","",P31-C31),"")</f>
        <v/>
      </c>
      <c r="R31" s="13" t="str">
        <f t="shared" ref="R31:R32" si="15">IFERROR(AE31&amp;"/"&amp;AF31,"")</f>
        <v/>
      </c>
      <c r="S31" s="70" t="str">
        <f>IFERROR(IF(O31&gt;AG31,"OOT REPEATABILITY",""),"")</f>
        <v/>
      </c>
      <c r="T31" s="70" t="str">
        <f>IFERROR(IF(OR(Q31&lt;-AH31,Q31&gt;AH31),"OOT ERROR",""),"")</f>
        <v/>
      </c>
      <c r="V31" t="str">
        <f>IFERROR(VLOOKUP(B31,UNCERTAINTY[],3,FALSE),"")</f>
        <v/>
      </c>
      <c r="W31" s="49" t="str">
        <f t="shared" si="4"/>
        <v/>
      </c>
      <c r="X31" s="28" t="str">
        <f t="shared" si="5"/>
        <v/>
      </c>
      <c r="Y31" s="49" t="str">
        <f t="shared" si="6"/>
        <v/>
      </c>
      <c r="Z31" s="49"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9" t="str">
        <f>IF(I$14="","",I$14)</f>
        <v/>
      </c>
      <c r="C32" s="62"/>
      <c r="D32" s="119"/>
      <c r="E32" s="119"/>
      <c r="F32" s="67"/>
      <c r="G32" s="67"/>
      <c r="H32" s="81" t="str">
        <f>IF(AND(C32-C31&lt;5,C32&gt;0),"Too Close","")</f>
        <v/>
      </c>
      <c r="I32" s="82" t="str">
        <f>IFERROR(IF(OR(AA32&lt;-AH32,AA32&gt;AH32),"AF ERROR",IF(Y32&gt;AG32,"AF REPEAT","")),"")</f>
        <v/>
      </c>
      <c r="J32" s="68"/>
      <c r="K32" s="68"/>
      <c r="L32" s="68"/>
      <c r="M32" s="68"/>
      <c r="N32" s="68"/>
      <c r="O32" s="11" t="str">
        <f>IFERROR(IF(B32="","",AB32-AC32),"")</f>
        <v/>
      </c>
      <c r="P32" s="14" t="str">
        <f>IFERROR(IF(B32="","",AVERAGE(J32:N32)),"")</f>
        <v/>
      </c>
      <c r="Q32" s="11" t="str">
        <f>IFERROR(IF(B32="","",P32-C32),"")</f>
        <v/>
      </c>
      <c r="R32" s="13" t="str">
        <f t="shared" si="15"/>
        <v/>
      </c>
      <c r="S32" s="70" t="str">
        <f>IFERROR(IF(O32&gt;AG32,"OOT REPEATABILITY",""),"")</f>
        <v/>
      </c>
      <c r="T32" s="70" t="str">
        <f>IFERROR(IF(OR(Q32&lt;-AH32,Q32&gt;AH32),"OOT ERROR",""),"")</f>
        <v/>
      </c>
      <c r="V32" t="str">
        <f>IFERROR(VLOOKUP(B32,UNCERTAINTY[],4,FALSE),"")</f>
        <v/>
      </c>
      <c r="W32" s="49" t="str">
        <f t="shared" si="4"/>
        <v/>
      </c>
      <c r="X32" s="28" t="str">
        <f t="shared" si="5"/>
        <v/>
      </c>
      <c r="Y32" s="49" t="str">
        <f t="shared" si="6"/>
        <v/>
      </c>
      <c r="Z32" s="49"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11"/>
      <c r="C33" s="99"/>
      <c r="D33" s="121"/>
      <c r="E33" s="121"/>
      <c r="F33" s="3"/>
      <c r="G33" s="3"/>
      <c r="H33" s="65"/>
      <c r="I33" s="82"/>
      <c r="J33" s="11"/>
      <c r="K33" s="11"/>
      <c r="L33" s="9"/>
      <c r="M33" s="9"/>
      <c r="N33" s="11"/>
      <c r="O33" s="12"/>
      <c r="P33" s="12"/>
      <c r="Q33" s="12"/>
      <c r="R33" s="12"/>
      <c r="S33" s="3"/>
      <c r="T33" s="3"/>
      <c r="W33" s="49" t="str">
        <f t="shared" si="4"/>
        <v/>
      </c>
      <c r="X33" s="28" t="str">
        <f t="shared" si="5"/>
        <v/>
      </c>
      <c r="Y33" s="49" t="str">
        <f t="shared" si="6"/>
        <v/>
      </c>
      <c r="Z33" s="49" t="str">
        <f t="shared" si="7"/>
        <v/>
      </c>
      <c r="AA33" s="22"/>
      <c r="AB33" s="3"/>
      <c r="AC33" s="22"/>
    </row>
    <row r="34" spans="1:35" ht="16.5" customHeight="1" x14ac:dyDescent="0.3">
      <c r="A34" s="4" t="str">
        <f>IFERROR(VLOOKUP(B34,Thresholds[],2,FALSE),"")</f>
        <v/>
      </c>
      <c r="B34" s="109" t="str">
        <f>IF(J$14="","",J$14)</f>
        <v/>
      </c>
      <c r="C34" s="62"/>
      <c r="D34" s="119"/>
      <c r="E34" s="119"/>
      <c r="F34" s="67"/>
      <c r="G34" s="67"/>
      <c r="H34" s="81"/>
      <c r="I34" s="82" t="str">
        <f>IFERROR(IF(OR(AA34&lt;-AH34,AA34&gt;AH34),"AF ERROR",IF(Y34&gt;AG34,"AF REPEAT","")),"")</f>
        <v/>
      </c>
      <c r="J34" s="68"/>
      <c r="K34" s="68"/>
      <c r="L34" s="68"/>
      <c r="M34" s="68"/>
      <c r="N34" s="68"/>
      <c r="O34" s="11" t="str">
        <f>IFERROR(IF(B34="","",AB34-AC34),"")</f>
        <v/>
      </c>
      <c r="P34" s="14" t="str">
        <f>IFERROR(IF(B34="","",AVERAGE(J34:N34)),"")</f>
        <v/>
      </c>
      <c r="Q34" s="11" t="str">
        <f>IFERROR(IF(B34="","",P34-C34),"")</f>
        <v/>
      </c>
      <c r="R34" s="13" t="str">
        <f t="shared" ref="R34:R36" si="16">IFERROR(AE34&amp;"/"&amp;AF34,"")</f>
        <v/>
      </c>
      <c r="S34" s="70" t="str">
        <f>IFERROR(IF(O34&gt;AG34,"OOT REPEATABILITY",""),"")</f>
        <v/>
      </c>
      <c r="T34" s="70" t="str">
        <f>IFERROR(IF(OR(Q34&lt;-AH34,Q34&gt;AH34),"OOT ERROR",""),"")</f>
        <v/>
      </c>
      <c r="V34" t="str">
        <f>IFERROR(VLOOKUP(B34,UNCERTAINTY[],2,FALSE),"")</f>
        <v/>
      </c>
      <c r="W34" s="49" t="str">
        <f t="shared" si="4"/>
        <v/>
      </c>
      <c r="X34" s="28" t="str">
        <f t="shared" si="5"/>
        <v/>
      </c>
      <c r="Y34" s="49" t="str">
        <f t="shared" si="6"/>
        <v/>
      </c>
      <c r="Z34" s="49"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9" t="str">
        <f>IF(J$14="","",J$14)</f>
        <v/>
      </c>
      <c r="C35" s="62"/>
      <c r="D35" s="119"/>
      <c r="E35" s="119"/>
      <c r="F35" s="67"/>
      <c r="G35" s="67"/>
      <c r="H35" s="81" t="str">
        <f>IF(AND(C35-C34&lt;5,C35&gt;0),"Too Close","")</f>
        <v/>
      </c>
      <c r="I35" s="82" t="str">
        <f>IFERROR(IF(OR(AA35&lt;-AH35,AA35&gt;AH35),"AF ERROR",IF(Y35&gt;AG35,"AF REPEAT","")),"")</f>
        <v/>
      </c>
      <c r="J35" s="68"/>
      <c r="K35" s="68"/>
      <c r="L35" s="68"/>
      <c r="M35" s="68"/>
      <c r="N35" s="68"/>
      <c r="O35" s="11" t="str">
        <f>IFERROR(IF(B35="","",AB35-AC35),"")</f>
        <v/>
      </c>
      <c r="P35" s="14" t="str">
        <f>IFERROR(IF(B35="","",AVERAGE(J35:N35)),"")</f>
        <v/>
      </c>
      <c r="Q35" s="11" t="str">
        <f>IFERROR(IF(B35="","",P35-C35),"")</f>
        <v/>
      </c>
      <c r="R35" s="13" t="str">
        <f t="shared" si="16"/>
        <v/>
      </c>
      <c r="S35" s="70" t="str">
        <f>IFERROR(IF(O35&gt;AG35,"OOT REPEATABILITY",""),"")</f>
        <v/>
      </c>
      <c r="T35" s="70" t="str">
        <f>IFERROR(IF(OR(Q35&lt;-AH35,Q35&gt;AH35),"OOT ERROR",""),"")</f>
        <v/>
      </c>
      <c r="V35" t="str">
        <f>IFERROR(VLOOKUP(B35,UNCERTAINTY[],3,FALSE),"")</f>
        <v/>
      </c>
      <c r="W35" s="49" t="str">
        <f t="shared" si="4"/>
        <v/>
      </c>
      <c r="X35" s="28" t="str">
        <f t="shared" si="5"/>
        <v/>
      </c>
      <c r="Y35" s="49" t="str">
        <f t="shared" si="6"/>
        <v/>
      </c>
      <c r="Z35" s="49"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9" t="str">
        <f>IF(J$14="","",J$14)</f>
        <v/>
      </c>
      <c r="C36" s="62"/>
      <c r="D36" s="119"/>
      <c r="E36" s="119"/>
      <c r="F36" s="67"/>
      <c r="G36" s="67"/>
      <c r="H36" s="81" t="str">
        <f>IF(AND(C36-C35&lt;5,C36&gt;0),"Too Close","")</f>
        <v/>
      </c>
      <c r="I36" s="82" t="str">
        <f>IFERROR(IF(OR(AA36&lt;-AH36,AA36&gt;AH36),"AF ERROR",IF(Y36&gt;AG36,"AF REPEAT","")),"")</f>
        <v/>
      </c>
      <c r="J36" s="68"/>
      <c r="K36" s="68"/>
      <c r="L36" s="68"/>
      <c r="M36" s="68"/>
      <c r="N36" s="68"/>
      <c r="O36" s="11" t="str">
        <f>IFERROR(IF(B36="","",AB36-AC36),"")</f>
        <v/>
      </c>
      <c r="P36" s="14" t="str">
        <f>IFERROR(IF(B36="","",AVERAGE(J36:N36)),"")</f>
        <v/>
      </c>
      <c r="Q36" s="11" t="str">
        <f>IFERROR(IF(B36="","",P36-C36),"")</f>
        <v/>
      </c>
      <c r="R36" s="13" t="str">
        <f t="shared" si="16"/>
        <v/>
      </c>
      <c r="S36" s="70" t="str">
        <f>IFERROR(IF(O36&gt;AG36,"OOT REPEATABILITY",""),"")</f>
        <v/>
      </c>
      <c r="T36" s="70" t="str">
        <f>IFERROR(IF(OR(Q36&lt;-AH36,Q36&gt;AH36),"OOT ERROR",""),"")</f>
        <v/>
      </c>
      <c r="V36" t="str">
        <f>IFERROR(VLOOKUP(B36,UNCERTAINTY[],4,FALSE),"")</f>
        <v/>
      </c>
      <c r="W36" s="49" t="str">
        <f t="shared" si="4"/>
        <v/>
      </c>
      <c r="X36" s="28" t="str">
        <f t="shared" si="5"/>
        <v/>
      </c>
      <c r="Y36" s="49" t="str">
        <f t="shared" si="6"/>
        <v/>
      </c>
      <c r="Z36" s="49"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11"/>
      <c r="C37" s="99"/>
      <c r="D37" s="121"/>
      <c r="E37" s="121"/>
      <c r="F37" s="3"/>
      <c r="G37" s="3"/>
      <c r="H37" s="65"/>
      <c r="I37" s="82"/>
      <c r="J37" s="11"/>
      <c r="K37" s="11"/>
      <c r="L37" s="9"/>
      <c r="M37" s="9"/>
      <c r="N37" s="11"/>
      <c r="O37" s="12"/>
      <c r="P37" s="12"/>
      <c r="Q37" s="12"/>
      <c r="R37" s="12"/>
      <c r="S37" s="3"/>
      <c r="T37" s="3"/>
      <c r="W37" s="49" t="str">
        <f t="shared" si="4"/>
        <v/>
      </c>
      <c r="X37" s="28" t="str">
        <f t="shared" si="5"/>
        <v/>
      </c>
      <c r="Y37" s="49" t="str">
        <f t="shared" si="6"/>
        <v/>
      </c>
      <c r="Z37" s="49" t="str">
        <f t="shared" si="7"/>
        <v/>
      </c>
      <c r="AA37" s="22"/>
      <c r="AB37" s="3"/>
      <c r="AC37" s="22"/>
    </row>
    <row r="38" spans="1:35" ht="16.5" customHeight="1" x14ac:dyDescent="0.3">
      <c r="A38" s="4" t="str">
        <f>IFERROR(VLOOKUP(B38,Thresholds[],2,FALSE),"")</f>
        <v/>
      </c>
      <c r="B38" s="109" t="str">
        <f>IF(K$14="","",K$14)</f>
        <v/>
      </c>
      <c r="C38" s="62"/>
      <c r="D38" s="119"/>
      <c r="E38" s="119"/>
      <c r="F38" s="67"/>
      <c r="G38" s="67"/>
      <c r="H38" s="81"/>
      <c r="I38" s="82" t="str">
        <f>IFERROR(IF(OR(AA38&lt;-AH38,AA38&gt;AH38),"AF ERROR",IF(Y38&gt;AG38,"AF REPEAT","")),"")</f>
        <v/>
      </c>
      <c r="J38" s="68"/>
      <c r="K38" s="68"/>
      <c r="L38" s="68"/>
      <c r="M38" s="68"/>
      <c r="N38" s="68"/>
      <c r="O38" s="11" t="str">
        <f>IFERROR(IF(B38="","",AB38-AC38),"")</f>
        <v/>
      </c>
      <c r="P38" s="14" t="str">
        <f>IFERROR(IF(B38="","",AVERAGE(J38:N38)),"")</f>
        <v/>
      </c>
      <c r="Q38" s="11" t="str">
        <f>IFERROR(IF(B38="","",P38-C38),"")</f>
        <v/>
      </c>
      <c r="R38" s="13" t="str">
        <f t="shared" ref="R38:R40" si="19">IFERROR(AE38&amp;"/"&amp;AF38,"")</f>
        <v/>
      </c>
      <c r="S38" s="70" t="str">
        <f>IFERROR(IF(O38&gt;AG38,"OOT REPEATABILITY",""),"")</f>
        <v/>
      </c>
      <c r="T38" s="70" t="str">
        <f>IFERROR(IF(OR(Q38&lt;-AH38,Q38&gt;AH38),"OOT ERROR",""),"")</f>
        <v/>
      </c>
      <c r="V38" t="str">
        <f>IFERROR(VLOOKUP(B38,UNCERTAINTY[],2,FALSE),"")</f>
        <v/>
      </c>
      <c r="W38" s="49" t="str">
        <f t="shared" si="4"/>
        <v/>
      </c>
      <c r="X38" s="28" t="str">
        <f t="shared" si="5"/>
        <v/>
      </c>
      <c r="Y38" s="49" t="str">
        <f t="shared" si="6"/>
        <v/>
      </c>
      <c r="Z38" s="49"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9" t="str">
        <f>IF(K$14="","",K$14)</f>
        <v/>
      </c>
      <c r="C39" s="62"/>
      <c r="D39" s="119"/>
      <c r="E39" s="119"/>
      <c r="F39" s="67"/>
      <c r="G39" s="67"/>
      <c r="H39" s="81" t="str">
        <f>IF(AND(C39-C38&lt;5,C39&gt;0),"Too Close","")</f>
        <v/>
      </c>
      <c r="I39" s="82" t="str">
        <f>IFERROR(IF(OR(AA39&lt;-AH39,AA39&gt;AH39),"AF ERROR",IF(Y39&gt;AG39,"AF REPEAT","")),"")</f>
        <v/>
      </c>
      <c r="J39" s="68"/>
      <c r="K39" s="68"/>
      <c r="L39" s="68"/>
      <c r="M39" s="68"/>
      <c r="N39" s="68"/>
      <c r="O39" s="11" t="str">
        <f>IFERROR(IF(B39="","",AB39-AC39),"")</f>
        <v/>
      </c>
      <c r="P39" s="14" t="str">
        <f>IFERROR(IF(B39="","",AVERAGE(J39:N39)),"")</f>
        <v/>
      </c>
      <c r="Q39" s="11" t="str">
        <f>IFERROR(IF(B39="","",P39-C39),"")</f>
        <v/>
      </c>
      <c r="R39" s="13" t="str">
        <f t="shared" si="19"/>
        <v/>
      </c>
      <c r="S39" s="70" t="str">
        <f>IFERROR(IF(O39&gt;AG39,"OOT REPEATABILITY",""),"")</f>
        <v/>
      </c>
      <c r="T39" s="70" t="str">
        <f>IFERROR(IF(OR(Q39&lt;-AH39,Q39&gt;AH39),"OOT ERROR",""),"")</f>
        <v/>
      </c>
      <c r="V39" t="str">
        <f>IFERROR(VLOOKUP(B39,UNCERTAINTY[],3,FALSE),"")</f>
        <v/>
      </c>
      <c r="W39" s="49" t="str">
        <f t="shared" si="4"/>
        <v/>
      </c>
      <c r="X39" s="28" t="str">
        <f t="shared" si="5"/>
        <v/>
      </c>
      <c r="Y39" s="49" t="str">
        <f t="shared" si="6"/>
        <v/>
      </c>
      <c r="Z39" s="49"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9" t="str">
        <f>IF(K$14="","",K$14)</f>
        <v/>
      </c>
      <c r="C40" s="62"/>
      <c r="D40" s="119"/>
      <c r="E40" s="119"/>
      <c r="F40" s="67"/>
      <c r="G40" s="67"/>
      <c r="H40" s="81" t="str">
        <f>IF(AND(C40-C39&lt;5,C40&gt;0),"Too Close","")</f>
        <v/>
      </c>
      <c r="I40" s="82" t="str">
        <f>IFERROR(IF(OR(AA40&lt;-AH40,AA40&gt;AH40),"AF ERROR",IF(Y40&gt;AG40,"AF REPEAT","")),"")</f>
        <v/>
      </c>
      <c r="J40" s="68"/>
      <c r="K40" s="68"/>
      <c r="L40" s="68"/>
      <c r="M40" s="68"/>
      <c r="N40" s="68"/>
      <c r="O40" s="11" t="str">
        <f>IFERROR(IF(B40="","",AB40-AC40),"")</f>
        <v/>
      </c>
      <c r="P40" s="14" t="str">
        <f>IFERROR(IF(B40="","",AVERAGE(J40:N40)),"")</f>
        <v/>
      </c>
      <c r="Q40" s="11" t="str">
        <f>IFERROR(IF(B40="","",P40-C40),"")</f>
        <v/>
      </c>
      <c r="R40" s="13" t="str">
        <f t="shared" si="19"/>
        <v/>
      </c>
      <c r="S40" s="70" t="str">
        <f>IFERROR(IF(O40&gt;AG40,"OOT REPEATABILITY",""),"")</f>
        <v/>
      </c>
      <c r="T40" s="70" t="str">
        <f>IFERROR(IF(OR(Q40&lt;-AH40,Q40&gt;AH40),"OOT ERROR",""),"")</f>
        <v/>
      </c>
      <c r="V40" t="str">
        <f>IFERROR(VLOOKUP(B40,UNCERTAINTY[],4,FALSE),"")</f>
        <v/>
      </c>
      <c r="W40" s="49" t="str">
        <f t="shared" si="4"/>
        <v/>
      </c>
      <c r="X40" s="28" t="str">
        <f t="shared" si="5"/>
        <v/>
      </c>
      <c r="Y40" s="49" t="str">
        <f t="shared" si="6"/>
        <v/>
      </c>
      <c r="Z40" s="49"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11"/>
      <c r="C41" s="99"/>
      <c r="D41" s="121"/>
      <c r="E41" s="121"/>
      <c r="F41" s="3"/>
      <c r="G41" s="3"/>
      <c r="H41" s="65"/>
      <c r="I41" s="82"/>
      <c r="J41" s="11"/>
      <c r="K41" s="11"/>
      <c r="L41" s="9"/>
      <c r="M41" s="9"/>
      <c r="N41" s="11"/>
      <c r="O41" s="12"/>
      <c r="P41" s="12"/>
      <c r="Q41" s="12"/>
      <c r="R41" s="12"/>
      <c r="S41" s="3"/>
      <c r="T41" s="3"/>
      <c r="W41" s="49" t="str">
        <f t="shared" si="4"/>
        <v/>
      </c>
      <c r="X41" s="28" t="str">
        <f t="shared" si="5"/>
        <v/>
      </c>
      <c r="Y41" s="49" t="str">
        <f t="shared" si="6"/>
        <v/>
      </c>
      <c r="Z41" s="49" t="str">
        <f t="shared" si="7"/>
        <v/>
      </c>
      <c r="AA41" s="22"/>
      <c r="AB41" s="3"/>
      <c r="AC41" s="22"/>
    </row>
    <row r="42" spans="1:35" ht="16.5" customHeight="1" x14ac:dyDescent="0.3">
      <c r="A42" s="4" t="str">
        <f>IFERROR(VLOOKUP(B42,Thresholds[],2,FALSE),"")</f>
        <v/>
      </c>
      <c r="B42" s="109" t="str">
        <f>IF(L$14="","",L$14)</f>
        <v/>
      </c>
      <c r="C42" s="62"/>
      <c r="D42" s="119"/>
      <c r="E42" s="119"/>
      <c r="F42" s="67"/>
      <c r="G42" s="67"/>
      <c r="H42" s="81"/>
      <c r="I42" s="82" t="str">
        <f>IFERROR(IF(OR(AA42&lt;-AH42,AA42&gt;AH42),"AF ERROR",IF(Y42&gt;AG42,"AF REPEAT","")),"")</f>
        <v/>
      </c>
      <c r="J42" s="68"/>
      <c r="K42" s="68"/>
      <c r="L42" s="68"/>
      <c r="M42" s="68"/>
      <c r="N42" s="68"/>
      <c r="O42" s="11" t="str">
        <f>IFERROR(IF(B42="","",AB42-AC42),"")</f>
        <v/>
      </c>
      <c r="P42" s="14" t="str">
        <f>IFERROR(IF(B42="","",AVERAGE(J42:N42)),"")</f>
        <v/>
      </c>
      <c r="Q42" s="11" t="str">
        <f>IFERROR(IF(B42="","",P42-C42),"")</f>
        <v/>
      </c>
      <c r="R42" s="13" t="str">
        <f t="shared" ref="R42:R44" si="22">IFERROR(AE42&amp;"/"&amp;AF42,"")</f>
        <v/>
      </c>
      <c r="S42" s="70" t="str">
        <f>IFERROR(IF(O42&gt;AG42,"OOT REPEATABILITY",""),"")</f>
        <v/>
      </c>
      <c r="T42" s="70" t="str">
        <f>IFERROR(IF(OR(Q42&lt;-AH42,Q42&gt;AH42),"OOT ERROR",""),"")</f>
        <v/>
      </c>
      <c r="V42" t="str">
        <f>IFERROR(VLOOKUP(B42,UNCERTAINTY[],2,FALSE),"")</f>
        <v/>
      </c>
      <c r="W42" s="49" t="str">
        <f t="shared" si="4"/>
        <v/>
      </c>
      <c r="X42" s="28" t="str">
        <f t="shared" si="5"/>
        <v/>
      </c>
      <c r="Y42" s="49" t="str">
        <f t="shared" si="6"/>
        <v/>
      </c>
      <c r="Z42" s="49"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9" t="str">
        <f>IF(L$14="","",L$14)</f>
        <v/>
      </c>
      <c r="C43" s="62"/>
      <c r="D43" s="119"/>
      <c r="E43" s="119"/>
      <c r="F43" s="67"/>
      <c r="G43" s="67"/>
      <c r="H43" s="81" t="str">
        <f>IF(AND(C43-C42&lt;5,C43&gt;0),"Too Close","")</f>
        <v/>
      </c>
      <c r="I43" s="82" t="str">
        <f>IFERROR(IF(OR(AA43&lt;-AH43,AA43&gt;AH43),"AF ERROR",IF(Y43&gt;AG43,"AF REPEAT","")),"")</f>
        <v/>
      </c>
      <c r="J43" s="68"/>
      <c r="K43" s="68"/>
      <c r="L43" s="68"/>
      <c r="M43" s="68"/>
      <c r="N43" s="68"/>
      <c r="O43" s="11" t="str">
        <f>IFERROR(IF(B43="","",AB43-AC43),"")</f>
        <v/>
      </c>
      <c r="P43" s="14" t="str">
        <f>IFERROR(IF(B43="","",AVERAGE(J43:N43)),"")</f>
        <v/>
      </c>
      <c r="Q43" s="11" t="str">
        <f>IFERROR(IF(B43="","",P43-C43),"")</f>
        <v/>
      </c>
      <c r="R43" s="13" t="str">
        <f t="shared" si="22"/>
        <v/>
      </c>
      <c r="S43" s="70" t="str">
        <f>IFERROR(IF(O43&gt;AG43,"OOT REPEATABILITY",""),"")</f>
        <v/>
      </c>
      <c r="T43" s="70" t="str">
        <f>IFERROR(IF(OR(Q43&lt;-AH43,Q43&gt;AH43),"OOT ERROR",""),"")</f>
        <v/>
      </c>
      <c r="V43" t="str">
        <f>IFERROR(VLOOKUP(B43,UNCERTAINTY[],3,FALSE),"")</f>
        <v/>
      </c>
      <c r="W43" s="49" t="str">
        <f t="shared" si="4"/>
        <v/>
      </c>
      <c r="X43" s="28" t="str">
        <f t="shared" si="5"/>
        <v/>
      </c>
      <c r="Y43" s="49" t="str">
        <f t="shared" si="6"/>
        <v/>
      </c>
      <c r="Z43" s="49"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9" t="str">
        <f>IF(L$14="","",L$14)</f>
        <v/>
      </c>
      <c r="C44" s="62"/>
      <c r="D44" s="119"/>
      <c r="E44" s="119"/>
      <c r="F44" s="67"/>
      <c r="G44" s="67"/>
      <c r="H44" s="81" t="str">
        <f>IF(AND(C44-C43&lt;5,C44&gt;0),"Too Close","")</f>
        <v/>
      </c>
      <c r="I44" s="82" t="str">
        <f>IFERROR(IF(OR(AA44&lt;-AH44,AA44&gt;AH44),"AF ERROR",IF(Y44&gt;AG44,"AF REPEAT","")),"")</f>
        <v/>
      </c>
      <c r="J44" s="68"/>
      <c r="K44" s="68"/>
      <c r="L44" s="68"/>
      <c r="M44" s="68"/>
      <c r="N44" s="68"/>
      <c r="O44" s="11" t="str">
        <f>IFERROR(IF(B44="","",AB44-AC44),"")</f>
        <v/>
      </c>
      <c r="P44" s="14" t="str">
        <f>IFERROR(IF(B44="","",AVERAGE(J44:N44)),"")</f>
        <v/>
      </c>
      <c r="Q44" s="11" t="str">
        <f>IFERROR(IF(B44="","",P44-C44),"")</f>
        <v/>
      </c>
      <c r="R44" s="13" t="str">
        <f t="shared" si="22"/>
        <v/>
      </c>
      <c r="S44" s="70" t="str">
        <f>IFERROR(IF(O44&gt;AG44,"OOT REPEATABILITY",""),"")</f>
        <v/>
      </c>
      <c r="T44" s="70" t="str">
        <f>IFERROR(IF(OR(Q44&lt;-AH44,Q44&gt;AH44),"OOT ERROR",""),"")</f>
        <v/>
      </c>
      <c r="V44" t="str">
        <f>IFERROR(VLOOKUP(B44,UNCERTAINTY[],4,FALSE),"")</f>
        <v/>
      </c>
      <c r="W44" s="49" t="str">
        <f t="shared" si="4"/>
        <v/>
      </c>
      <c r="X44" s="28" t="str">
        <f t="shared" si="5"/>
        <v/>
      </c>
      <c r="Y44" s="49" t="str">
        <f t="shared" si="6"/>
        <v/>
      </c>
      <c r="Z44" s="49"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98"/>
      <c r="C45" s="99"/>
      <c r="D45" s="51"/>
      <c r="E45" s="51"/>
      <c r="F45" s="52"/>
      <c r="G45" s="52"/>
      <c r="J45" s="11"/>
      <c r="K45" s="11"/>
      <c r="L45" s="11"/>
      <c r="M45" s="11"/>
      <c r="N45" s="11"/>
      <c r="O45" s="11"/>
      <c r="P45" s="14"/>
      <c r="Q45" s="11"/>
      <c r="R45" s="13"/>
      <c r="S45" s="23"/>
      <c r="T45" s="3"/>
      <c r="U45" s="28"/>
      <c r="V45" s="27"/>
      <c r="W45" s="49"/>
      <c r="X45" s="50"/>
      <c r="Y45" s="49"/>
      <c r="Z45" s="49"/>
      <c r="AA45" s="22"/>
      <c r="AB45" s="3"/>
      <c r="AC45" s="22"/>
      <c r="AI45" s="98"/>
    </row>
    <row r="46" spans="1:35" ht="16.5" customHeight="1" x14ac:dyDescent="0.25">
      <c r="A46" t="s">
        <v>83</v>
      </c>
      <c r="B46" s="134"/>
      <c r="C46" s="135"/>
      <c r="D46" s="135"/>
      <c r="E46" s="135"/>
      <c r="F46" s="135"/>
      <c r="G46" s="135"/>
      <c r="H46" s="135"/>
      <c r="I46" s="135"/>
      <c r="J46" s="135"/>
      <c r="K46" s="135"/>
      <c r="L46" s="136"/>
      <c r="M46" s="9"/>
      <c r="N46" t="s">
        <v>84</v>
      </c>
      <c r="O46" s="138" t="str">
        <f>IFERROR(VLOOKUP(B46,DropDowns!H13:I15,2,FALSE),"")</f>
        <v/>
      </c>
      <c r="P46" s="138"/>
      <c r="Q46" s="12"/>
      <c r="R46" s="12"/>
      <c r="U46" s="27"/>
      <c r="V46" s="27"/>
      <c r="W46" s="27"/>
      <c r="X46" s="27"/>
      <c r="Y46" s="27"/>
      <c r="Z46" s="27"/>
    </row>
    <row r="47" spans="1:35" x14ac:dyDescent="0.25">
      <c r="A47" s="4" t="s">
        <v>85</v>
      </c>
      <c r="B47" s="127"/>
      <c r="C47" s="128"/>
      <c r="D47" s="128"/>
      <c r="E47" s="128"/>
      <c r="F47" s="128"/>
      <c r="G47" s="128"/>
      <c r="H47" s="128"/>
      <c r="I47" s="128"/>
      <c r="J47" s="128"/>
      <c r="K47" s="128"/>
      <c r="L47" s="129"/>
      <c r="N47" t="s">
        <v>86</v>
      </c>
      <c r="O47" s="138" t="str">
        <f>IFERROR(VLOOKUP(B47,DropDowns!H3:I8,2,FALSE),"")</f>
        <v/>
      </c>
      <c r="P47" s="138"/>
    </row>
    <row r="48" spans="1:35" x14ac:dyDescent="0.25">
      <c r="B48" s="80"/>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yRba9ZK7tOSV5Px29lhyKpMbZN8PK0F1fpmky0gvUGdCbBCXXI1OGmeOdiA9S+krtE1M000LaEte35wY51fANw==" saltValue="zkPevAvd2Bi052btAcNvNQ==" spinCount="100000" sheet="1" objects="1" scenarios="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9" priority="1">
      <formula>$A18 = "no test"</formula>
    </cfRule>
  </conditionalFormatting>
  <dataValidations count="13">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5AFAF5A7-BC00-4926-83F2-1CAC2B7EAA37}">
          <x14:formula1>
            <xm:f>DropDowns!$D$20:$D$21</xm:f>
          </x14:formula1>
          <xm:sqref>D5</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allowBlank="1" showInputMessage="1" showErrorMessage="1" xr:uid="{912549AA-1FCA-4254-984E-FCD651282CE5}">
          <x14:formula1>
            <xm:f>DropDowns!$F$20:$F$1048576</xm:f>
          </x14:formula1>
          <xm:sqref>G7</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 type="list" errorStyle="warning" allowBlank="1" showInputMessage="1" showErrorMessage="1" xr:uid="{F3549855-B931-4F76-BD15-9E544EC6B079}">
          <x14:formula1>
            <xm:f>DropDowns!$E$20:$E999</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13" t="b">
        <v>1</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17" t="s">
        <v>1120</v>
      </c>
      <c r="B1" s="117" t="s">
        <v>1119</v>
      </c>
    </row>
    <row r="2" spans="1:16" x14ac:dyDescent="0.25">
      <c r="A2" t="str">
        <f>IF($B$2, "/P ", " ")</f>
        <v xml:space="preserve"> </v>
      </c>
      <c r="B2" t="b">
        <f>Worksheet!D$11="YES"</f>
        <v>0</v>
      </c>
    </row>
    <row r="3" spans="1:16" s="116" customFormat="1" x14ac:dyDescent="0.25"/>
    <row r="4" spans="1:16" x14ac:dyDescent="0.25">
      <c r="A4" s="108" t="s">
        <v>134</v>
      </c>
    </row>
    <row r="5" spans="1:16" x14ac:dyDescent="0.25">
      <c r="A5" s="103" t="s">
        <v>104</v>
      </c>
      <c r="B5" s="103" t="s">
        <v>53</v>
      </c>
      <c r="C5" s="15" t="s">
        <v>56</v>
      </c>
      <c r="D5" s="15" t="s">
        <v>57</v>
      </c>
      <c r="E5" s="15"/>
      <c r="F5" s="15"/>
      <c r="G5" s="15"/>
      <c r="H5" s="15" t="s">
        <v>61</v>
      </c>
      <c r="I5" s="15" t="s">
        <v>62</v>
      </c>
      <c r="J5" s="15" t="s">
        <v>63</v>
      </c>
      <c r="K5" s="36" t="s">
        <v>64</v>
      </c>
      <c r="L5" s="15" t="s">
        <v>105</v>
      </c>
      <c r="P5" s="15" t="s">
        <v>135</v>
      </c>
    </row>
    <row r="6" spans="1:16" ht="15.75" x14ac:dyDescent="0.25">
      <c r="A6" s="100" t="str">
        <f>IF(Worksheet!C18="", "", Worksheet!B18 &amp; $A$2 &amp; P6)</f>
        <v/>
      </c>
      <c r="B6" s="74" t="str">
        <f>IF(Worksheet!D18="","",Worksheet!D18)</f>
        <v/>
      </c>
      <c r="C6" s="74" t="str">
        <f>IF(Worksheet!F18="","",Worksheet!F18)</f>
        <v/>
      </c>
      <c r="D6" s="74" t="str">
        <f>IF(Worksheet!G18="","",Worksheet!G18)</f>
        <v/>
      </c>
      <c r="E6" s="104"/>
      <c r="F6" s="104"/>
      <c r="G6" s="104"/>
      <c r="H6" s="74" t="str">
        <f>IF(Worksheet!F18="","",Worksheet!Y18)</f>
        <v/>
      </c>
      <c r="I6" s="44" t="str">
        <f>IF(Worksheet!F18="","",Worksheet!Z18)</f>
        <v/>
      </c>
      <c r="J6" s="44" t="str">
        <f>IF(Worksheet!F18="","",Worksheet!AA18)</f>
        <v/>
      </c>
      <c r="K6" s="74" t="str">
        <f>IF(Worksheet!F18="","",Worksheet!R18)</f>
        <v/>
      </c>
      <c r="L6" s="39" t="str">
        <f>IF(Worksheet!F18="","",Worksheet!V18)</f>
        <v/>
      </c>
      <c r="P6" s="19" t="str">
        <f>TEXT(Worksheet!C18,"0.0")</f>
        <v>0.0</v>
      </c>
    </row>
    <row r="7" spans="1:16" ht="15.75" x14ac:dyDescent="0.25">
      <c r="A7" s="101" t="str">
        <f>IF(Worksheet!C19="", "", Worksheet!B19 &amp; $A$2 &amp; P7)</f>
        <v/>
      </c>
      <c r="B7" s="26" t="str">
        <f>IF(Worksheet!D19="","",Worksheet!D19)</f>
        <v/>
      </c>
      <c r="C7" s="26" t="str">
        <f>IF(Worksheet!F19="","",Worksheet!F19)</f>
        <v/>
      </c>
      <c r="D7" s="26" t="str">
        <f>IF(Worksheet!G19="","",Worksheet!G19)</f>
        <v/>
      </c>
      <c r="E7" s="73"/>
      <c r="F7" s="73"/>
      <c r="G7" s="73"/>
      <c r="H7" s="26" t="str">
        <f>IF(Worksheet!F19="","",Worksheet!Y19)</f>
        <v/>
      </c>
      <c r="I7" s="45" t="str">
        <f>IF(Worksheet!F19="","",Worksheet!Z19)</f>
        <v/>
      </c>
      <c r="J7" s="45" t="str">
        <f>IF(Worksheet!F19="","",Worksheet!AA19)</f>
        <v/>
      </c>
      <c r="K7" s="26" t="str">
        <f>IF(Worksheet!F19="","",Worksheet!R19)</f>
        <v/>
      </c>
      <c r="L7" s="40" t="str">
        <f>IF(Worksheet!F19="","",Worksheet!V19)</f>
        <v/>
      </c>
      <c r="P7" s="19" t="str">
        <f>TEXT(Worksheet!C19,"0.0")</f>
        <v>0.0</v>
      </c>
    </row>
    <row r="8" spans="1:16" ht="15.75" x14ac:dyDescent="0.25">
      <c r="A8" s="102" t="str">
        <f>IF(Worksheet!C20="", "", Worksheet!B20 &amp; $A$2 &amp; P8)</f>
        <v/>
      </c>
      <c r="B8" s="75" t="str">
        <f>IF(Worksheet!D20="","",Worksheet!D20)</f>
        <v/>
      </c>
      <c r="C8" s="75" t="str">
        <f>IF(Worksheet!F20="","",Worksheet!F20)</f>
        <v/>
      </c>
      <c r="D8" s="75" t="str">
        <f>IF(Worksheet!G20="","",Worksheet!G20)</f>
        <v/>
      </c>
      <c r="E8" s="105"/>
      <c r="F8" s="105"/>
      <c r="G8" s="105"/>
      <c r="H8" s="75" t="str">
        <f>IF(Worksheet!F20="","",Worksheet!Y20)</f>
        <v/>
      </c>
      <c r="I8" s="46" t="str">
        <f>IF(Worksheet!F20="","",Worksheet!Z20)</f>
        <v/>
      </c>
      <c r="J8" s="46" t="str">
        <f>IF(Worksheet!F20="","",Worksheet!AA20)</f>
        <v/>
      </c>
      <c r="K8" s="75" t="str">
        <f>IF(Worksheet!F20="","",Worksheet!R20)</f>
        <v/>
      </c>
      <c r="L8" s="41" t="str">
        <f>IF(Worksheet!F20="","",Worksheet!V20)</f>
        <v/>
      </c>
      <c r="P8" s="19" t="str">
        <f>TEXT(Worksheet!C20,"0.0")</f>
        <v>0.0</v>
      </c>
    </row>
    <row r="9" spans="1:16" ht="7.5" customHeight="1" x14ac:dyDescent="0.25">
      <c r="A9" s="19"/>
      <c r="B9" s="19"/>
      <c r="C9" s="19"/>
      <c r="D9" s="19"/>
      <c r="E9" s="106"/>
      <c r="F9" s="106"/>
      <c r="G9" s="106"/>
      <c r="H9" s="19"/>
      <c r="I9" s="19"/>
      <c r="J9" s="19"/>
      <c r="K9" s="19"/>
    </row>
    <row r="10" spans="1:16" ht="15.75" x14ac:dyDescent="0.25">
      <c r="A10" s="100" t="str">
        <f>IF(Worksheet!C22="", "", Worksheet!B22 &amp; $A$2 &amp; P10)</f>
        <v/>
      </c>
      <c r="B10" s="74" t="str">
        <f>IF(Worksheet!D22="","",Worksheet!D22)</f>
        <v/>
      </c>
      <c r="C10" s="74" t="str">
        <f>IF(Worksheet!F22="","",Worksheet!F22)</f>
        <v/>
      </c>
      <c r="D10" s="74" t="str">
        <f>IF(Worksheet!G22="","",Worksheet!G22)</f>
        <v/>
      </c>
      <c r="E10" s="104"/>
      <c r="F10" s="104"/>
      <c r="G10" s="104"/>
      <c r="H10" s="74" t="str">
        <f>IF(Worksheet!F22="","",Worksheet!Y22)</f>
        <v/>
      </c>
      <c r="I10" s="44" t="str">
        <f>IF(Worksheet!F22="","",Worksheet!Z22)</f>
        <v/>
      </c>
      <c r="J10" s="44" t="str">
        <f>IF(Worksheet!F22="","",Worksheet!AA22)</f>
        <v/>
      </c>
      <c r="K10" s="74" t="str">
        <f>IF(Worksheet!F22="","",Worksheet!R22)</f>
        <v/>
      </c>
      <c r="L10" s="39" t="str">
        <f>IF(Worksheet!F22="","",Worksheet!V22)</f>
        <v/>
      </c>
      <c r="P10" s="19" t="str">
        <f>TEXT(Worksheet!C22,"0.0")</f>
        <v>0.0</v>
      </c>
    </row>
    <row r="11" spans="1:16" ht="15.75" x14ac:dyDescent="0.25">
      <c r="A11" s="101" t="str">
        <f>IF(Worksheet!C23="", "", Worksheet!B23 &amp; $A$2 &amp; P11)</f>
        <v/>
      </c>
      <c r="B11" s="26" t="str">
        <f>IF(Worksheet!D23="","",Worksheet!D23)</f>
        <v/>
      </c>
      <c r="C11" s="26" t="str">
        <f>IF(Worksheet!F23="","",Worksheet!F23)</f>
        <v/>
      </c>
      <c r="D11" s="26" t="str">
        <f>IF(Worksheet!G23="","",Worksheet!G23)</f>
        <v/>
      </c>
      <c r="E11" s="73"/>
      <c r="F11" s="73"/>
      <c r="G11" s="73"/>
      <c r="H11" s="26" t="str">
        <f>IF(Worksheet!F23="","",Worksheet!Y23)</f>
        <v/>
      </c>
      <c r="I11" s="45" t="str">
        <f>IF(Worksheet!F23="","",Worksheet!Z23)</f>
        <v/>
      </c>
      <c r="J11" s="45" t="str">
        <f>IF(Worksheet!F23="","",Worksheet!AA23)</f>
        <v/>
      </c>
      <c r="K11" s="26" t="str">
        <f>IF(Worksheet!F23="","",Worksheet!R23)</f>
        <v/>
      </c>
      <c r="L11" s="40" t="str">
        <f>IF(Worksheet!F23="","",Worksheet!V23)</f>
        <v/>
      </c>
      <c r="P11" s="19" t="str">
        <f>TEXT(Worksheet!C23,"0.0")</f>
        <v>0.0</v>
      </c>
    </row>
    <row r="12" spans="1:16" ht="15.75" x14ac:dyDescent="0.25">
      <c r="A12" s="102" t="str">
        <f>IF(Worksheet!C24="", "", Worksheet!B24 &amp; $A$2 &amp; P12)</f>
        <v/>
      </c>
      <c r="B12" s="75" t="str">
        <f>IF(Worksheet!D24="","",Worksheet!D24)</f>
        <v/>
      </c>
      <c r="C12" s="75" t="str">
        <f>IF(Worksheet!F24="","",Worksheet!F24)</f>
        <v/>
      </c>
      <c r="D12" s="75" t="str">
        <f>IF(Worksheet!G24="","",Worksheet!G24)</f>
        <v/>
      </c>
      <c r="E12" s="105"/>
      <c r="F12" s="105"/>
      <c r="G12" s="105"/>
      <c r="H12" s="75" t="str">
        <f>IF(Worksheet!F24="","",Worksheet!Y24)</f>
        <v/>
      </c>
      <c r="I12" s="46" t="str">
        <f>IF(Worksheet!F24="","",Worksheet!Z24)</f>
        <v/>
      </c>
      <c r="J12" s="46" t="str">
        <f>IF(Worksheet!F24="","",Worksheet!AA24)</f>
        <v/>
      </c>
      <c r="K12" s="75" t="str">
        <f>IF(Worksheet!F24="","",Worksheet!R24)</f>
        <v/>
      </c>
      <c r="L12" s="41" t="str">
        <f>IF(Worksheet!F24="","",Worksheet!V24)</f>
        <v/>
      </c>
      <c r="P12" s="19" t="str">
        <f>TEXT(Worksheet!C24,"0.0")</f>
        <v>0.0</v>
      </c>
    </row>
    <row r="13" spans="1:16" ht="7.5" customHeight="1" x14ac:dyDescent="0.25">
      <c r="A13" s="19"/>
      <c r="B13" s="19"/>
      <c r="C13" s="19"/>
      <c r="D13" s="19"/>
      <c r="E13" s="106"/>
      <c r="F13" s="106"/>
      <c r="G13" s="106"/>
      <c r="H13" s="19"/>
      <c r="I13" s="19"/>
      <c r="J13" s="19"/>
      <c r="K13" s="19"/>
    </row>
    <row r="14" spans="1:16" ht="15.75" x14ac:dyDescent="0.25">
      <c r="A14" s="100" t="str">
        <f>IF(Worksheet!C26="", "", Worksheet!B26 &amp; $A$2 &amp; P14)</f>
        <v/>
      </c>
      <c r="B14" s="74" t="str">
        <f>IF(Worksheet!D26="","",Worksheet!D26)</f>
        <v/>
      </c>
      <c r="C14" s="74" t="str">
        <f>IF(Worksheet!F26="","",Worksheet!F26)</f>
        <v/>
      </c>
      <c r="D14" s="74" t="str">
        <f>IF(Worksheet!G26="","",Worksheet!G26)</f>
        <v/>
      </c>
      <c r="E14" s="104"/>
      <c r="F14" s="104"/>
      <c r="G14" s="104"/>
      <c r="H14" s="74" t="str">
        <f>IF(Worksheet!F26="","",Worksheet!Y26)</f>
        <v/>
      </c>
      <c r="I14" s="44" t="str">
        <f>IF(Worksheet!F26="","",Worksheet!Z26)</f>
        <v/>
      </c>
      <c r="J14" s="44" t="str">
        <f>IF(Worksheet!F26="","",Worksheet!AA26)</f>
        <v/>
      </c>
      <c r="K14" s="74" t="str">
        <f>IF(Worksheet!F26="","",Worksheet!R26)</f>
        <v/>
      </c>
      <c r="L14" s="39" t="str">
        <f>IF(Worksheet!F26="","",Worksheet!V26)</f>
        <v/>
      </c>
      <c r="P14" s="19" t="str">
        <f>TEXT(Worksheet!C26,"0.0")</f>
        <v>0.0</v>
      </c>
    </row>
    <row r="15" spans="1:16" ht="15.75" x14ac:dyDescent="0.25">
      <c r="A15" s="101" t="str">
        <f>IF(Worksheet!C27="", "", Worksheet!B27 &amp; $A$2 &amp; P15)</f>
        <v/>
      </c>
      <c r="B15" s="26" t="str">
        <f>IF(Worksheet!D27="","",Worksheet!D27)</f>
        <v/>
      </c>
      <c r="C15" s="26" t="str">
        <f>IF(Worksheet!F27="","",Worksheet!F27)</f>
        <v/>
      </c>
      <c r="D15" s="26" t="str">
        <f>IF(Worksheet!G27="","",Worksheet!G27)</f>
        <v/>
      </c>
      <c r="E15" s="73"/>
      <c r="F15" s="73"/>
      <c r="G15" s="73"/>
      <c r="H15" s="26" t="str">
        <f>IF(Worksheet!F27="","",Worksheet!Y27)</f>
        <v/>
      </c>
      <c r="I15" s="45" t="str">
        <f>IF(Worksheet!F27="","",Worksheet!Z27)</f>
        <v/>
      </c>
      <c r="J15" s="45" t="str">
        <f>IF(Worksheet!F27="","",Worksheet!AA27)</f>
        <v/>
      </c>
      <c r="K15" s="26" t="str">
        <f>IF(Worksheet!F27="","",Worksheet!R27)</f>
        <v/>
      </c>
      <c r="L15" s="40" t="str">
        <f>IF(Worksheet!F27="","",Worksheet!V27)</f>
        <v/>
      </c>
      <c r="P15" s="19" t="str">
        <f>TEXT(Worksheet!C27,"0.0")</f>
        <v>0.0</v>
      </c>
    </row>
    <row r="16" spans="1:16" ht="15.75" x14ac:dyDescent="0.25">
      <c r="A16" s="102" t="str">
        <f>IF(Worksheet!C28="", "", Worksheet!B28 &amp; $A$2 &amp; P16)</f>
        <v/>
      </c>
      <c r="B16" s="75" t="str">
        <f>IF(Worksheet!D28="","",Worksheet!D28)</f>
        <v/>
      </c>
      <c r="C16" s="75" t="str">
        <f>IF(Worksheet!F28="","",Worksheet!F28)</f>
        <v/>
      </c>
      <c r="D16" s="75" t="str">
        <f>IF(Worksheet!G28="","",Worksheet!G28)</f>
        <v/>
      </c>
      <c r="E16" s="105"/>
      <c r="F16" s="105"/>
      <c r="G16" s="105"/>
      <c r="H16" s="75" t="str">
        <f>IF(Worksheet!F28="","",Worksheet!Y28)</f>
        <v/>
      </c>
      <c r="I16" s="46" t="str">
        <f>IF(Worksheet!F28="","",Worksheet!Z28)</f>
        <v/>
      </c>
      <c r="J16" s="46" t="str">
        <f>IF(Worksheet!F28="","",Worksheet!AA28)</f>
        <v/>
      </c>
      <c r="K16" s="75" t="str">
        <f>IF(Worksheet!F28="","",Worksheet!R28)</f>
        <v/>
      </c>
      <c r="L16" s="41" t="str">
        <f>IF(Worksheet!F28="","",Worksheet!V28)</f>
        <v/>
      </c>
      <c r="P16" s="19" t="str">
        <f>TEXT(Worksheet!C28,"0.0")</f>
        <v>0.0</v>
      </c>
    </row>
    <row r="17" spans="1:16" ht="7.5" customHeight="1" x14ac:dyDescent="0.25">
      <c r="A17" s="19"/>
      <c r="B17" s="19"/>
      <c r="C17" s="19"/>
      <c r="D17" s="19"/>
      <c r="E17" s="106"/>
      <c r="F17" s="106"/>
      <c r="G17" s="106"/>
      <c r="H17" s="19"/>
      <c r="I17" s="19"/>
      <c r="J17" s="19"/>
      <c r="K17" s="19"/>
    </row>
    <row r="18" spans="1:16" ht="15.75" x14ac:dyDescent="0.25">
      <c r="A18" s="100" t="str">
        <f>IF(Worksheet!C30="", "", Worksheet!B30 &amp; $A$2 &amp; P18)</f>
        <v/>
      </c>
      <c r="B18" s="74" t="str">
        <f>IF(Worksheet!D30="","",Worksheet!D30)</f>
        <v/>
      </c>
      <c r="C18" s="74" t="str">
        <f>IF(Worksheet!F30="","",Worksheet!F30)</f>
        <v/>
      </c>
      <c r="D18" s="74" t="str">
        <f>IF(Worksheet!G30="","",Worksheet!G30)</f>
        <v/>
      </c>
      <c r="E18" s="104"/>
      <c r="F18" s="104"/>
      <c r="G18" s="104"/>
      <c r="H18" s="74" t="str">
        <f>IF(Worksheet!F30="","",Worksheet!Y30)</f>
        <v/>
      </c>
      <c r="I18" s="44" t="str">
        <f>IF(Worksheet!F30="","",Worksheet!Z30)</f>
        <v/>
      </c>
      <c r="J18" s="44" t="str">
        <f>IF(Worksheet!F30="","",Worksheet!AA30)</f>
        <v/>
      </c>
      <c r="K18" s="74" t="str">
        <f>IF(Worksheet!F30="","",Worksheet!R30)</f>
        <v/>
      </c>
      <c r="L18" s="39" t="str">
        <f>IF(Worksheet!F30="","",Worksheet!V30)</f>
        <v/>
      </c>
      <c r="P18" s="19" t="str">
        <f>TEXT(Worksheet!C30,"0.0")</f>
        <v>0.0</v>
      </c>
    </row>
    <row r="19" spans="1:16" ht="15.75" x14ac:dyDescent="0.25">
      <c r="A19" s="101" t="str">
        <f>IF(Worksheet!C31="", "", Worksheet!B31 &amp; $A$2 &amp; P19)</f>
        <v/>
      </c>
      <c r="B19" s="26" t="str">
        <f>IF(Worksheet!D31="","",Worksheet!D31)</f>
        <v/>
      </c>
      <c r="C19" s="26" t="str">
        <f>IF(Worksheet!F31="","",Worksheet!F31)</f>
        <v/>
      </c>
      <c r="D19" s="26" t="str">
        <f>IF(Worksheet!G31="","",Worksheet!G31)</f>
        <v/>
      </c>
      <c r="E19" s="73"/>
      <c r="F19" s="73"/>
      <c r="G19" s="73"/>
      <c r="H19" s="26" t="str">
        <f>IF(Worksheet!F31="","",Worksheet!Y31)</f>
        <v/>
      </c>
      <c r="I19" s="45" t="str">
        <f>IF(Worksheet!F31="","",Worksheet!Z31)</f>
        <v/>
      </c>
      <c r="J19" s="45" t="str">
        <f>IF(Worksheet!F31="","",Worksheet!AA31)</f>
        <v/>
      </c>
      <c r="K19" s="26" t="str">
        <f>IF(Worksheet!F31="","",Worksheet!R31)</f>
        <v/>
      </c>
      <c r="L19" s="40" t="str">
        <f>IF(Worksheet!F31="","",Worksheet!V31)</f>
        <v/>
      </c>
      <c r="P19" s="19" t="str">
        <f>TEXT(Worksheet!C31,"0.0")</f>
        <v>0.0</v>
      </c>
    </row>
    <row r="20" spans="1:16" ht="15.75" x14ac:dyDescent="0.25">
      <c r="A20" s="102" t="str">
        <f>IF(Worksheet!C32="", "", Worksheet!B32 &amp; $A$2 &amp; P20)</f>
        <v/>
      </c>
      <c r="B20" s="75" t="str">
        <f>IF(Worksheet!D32="","",Worksheet!D32)</f>
        <v/>
      </c>
      <c r="C20" s="75" t="str">
        <f>IF(Worksheet!F32="","",Worksheet!F32)</f>
        <v/>
      </c>
      <c r="D20" s="75" t="str">
        <f>IF(Worksheet!G32="","",Worksheet!G32)</f>
        <v/>
      </c>
      <c r="E20" s="105"/>
      <c r="F20" s="105"/>
      <c r="G20" s="105"/>
      <c r="H20" s="75" t="str">
        <f>IF(Worksheet!F32="","",Worksheet!Y32)</f>
        <v/>
      </c>
      <c r="I20" s="46" t="str">
        <f>IF(Worksheet!F32="","",Worksheet!Z32)</f>
        <v/>
      </c>
      <c r="J20" s="46" t="str">
        <f>IF(Worksheet!F32="","",Worksheet!AA32)</f>
        <v/>
      </c>
      <c r="K20" s="75" t="str">
        <f>IF(Worksheet!F32="","",Worksheet!R32)</f>
        <v/>
      </c>
      <c r="L20" s="41" t="str">
        <f>IF(Worksheet!F32="","",Worksheet!V32)</f>
        <v/>
      </c>
      <c r="P20" s="19" t="str">
        <f>TEXT(Worksheet!C32,"0.0")</f>
        <v>0.0</v>
      </c>
    </row>
    <row r="21" spans="1:16" ht="7.5" customHeight="1" x14ac:dyDescent="0.25">
      <c r="A21" s="19"/>
      <c r="B21" s="19"/>
      <c r="C21" s="19"/>
      <c r="D21" s="19"/>
      <c r="E21" s="106"/>
      <c r="F21" s="106"/>
      <c r="G21" s="106"/>
      <c r="H21" s="19"/>
      <c r="I21" s="19"/>
      <c r="J21" s="19"/>
      <c r="K21" s="19"/>
    </row>
    <row r="22" spans="1:16" ht="15.75" x14ac:dyDescent="0.25">
      <c r="A22" s="100" t="str">
        <f>IF(Worksheet!C34="", "", Worksheet!B34 &amp; $A$2 &amp; P22)</f>
        <v/>
      </c>
      <c r="B22" s="74" t="str">
        <f>IF(Worksheet!D34="","",Worksheet!D34)</f>
        <v/>
      </c>
      <c r="C22" s="74" t="str">
        <f>IF(Worksheet!F34="","",Worksheet!F34)</f>
        <v/>
      </c>
      <c r="D22" s="74" t="str">
        <f>IF(Worksheet!G34="","",Worksheet!G34)</f>
        <v/>
      </c>
      <c r="E22" s="104"/>
      <c r="F22" s="104"/>
      <c r="G22" s="104"/>
      <c r="H22" s="74" t="str">
        <f>IF(Worksheet!F34="","",Worksheet!Y34)</f>
        <v/>
      </c>
      <c r="I22" s="44" t="str">
        <f>IF(Worksheet!F34="","",Worksheet!Z34)</f>
        <v/>
      </c>
      <c r="J22" s="44" t="str">
        <f>IF(Worksheet!F34="","",Worksheet!AA34)</f>
        <v/>
      </c>
      <c r="K22" s="74" t="str">
        <f>IF(Worksheet!F34="","",Worksheet!R34)</f>
        <v/>
      </c>
      <c r="L22" s="39" t="str">
        <f>IF(Worksheet!F34="","",Worksheet!V34)</f>
        <v/>
      </c>
      <c r="P22" s="19" t="str">
        <f>TEXT(Worksheet!C34,"0.0")</f>
        <v>0.0</v>
      </c>
    </row>
    <row r="23" spans="1:16" ht="15.75" x14ac:dyDescent="0.25">
      <c r="A23" s="101" t="str">
        <f>IF(Worksheet!C35="", "", Worksheet!B35 &amp; $A$2 &amp; P23)</f>
        <v/>
      </c>
      <c r="B23" s="26" t="str">
        <f>IF(Worksheet!D35="","",Worksheet!D35)</f>
        <v/>
      </c>
      <c r="C23" s="26" t="str">
        <f>IF(Worksheet!F35="","",Worksheet!F35)</f>
        <v/>
      </c>
      <c r="D23" s="26" t="str">
        <f>IF(Worksheet!G35="","",Worksheet!G35)</f>
        <v/>
      </c>
      <c r="E23" s="73"/>
      <c r="F23" s="73"/>
      <c r="G23" s="73"/>
      <c r="H23" s="26" t="str">
        <f>IF(Worksheet!F35="","",Worksheet!Y35)</f>
        <v/>
      </c>
      <c r="I23" s="45" t="str">
        <f>IF(Worksheet!F35="","",Worksheet!Z35)</f>
        <v/>
      </c>
      <c r="J23" s="45" t="str">
        <f>IF(Worksheet!F35="","",Worksheet!AA35)</f>
        <v/>
      </c>
      <c r="K23" s="26" t="str">
        <f>IF(Worksheet!F35="","",Worksheet!R35)</f>
        <v/>
      </c>
      <c r="L23" s="40" t="str">
        <f>IF(Worksheet!F35="","",Worksheet!V35)</f>
        <v/>
      </c>
      <c r="P23" s="19" t="str">
        <f>TEXT(Worksheet!C35,"0.0")</f>
        <v>0.0</v>
      </c>
    </row>
    <row r="24" spans="1:16" ht="15.75" x14ac:dyDescent="0.25">
      <c r="A24" s="102" t="str">
        <f>IF(Worksheet!C36="", "", Worksheet!B36 &amp; $A$2 &amp; P24)</f>
        <v/>
      </c>
      <c r="B24" s="75" t="str">
        <f>IF(Worksheet!D36="","",Worksheet!D36)</f>
        <v/>
      </c>
      <c r="C24" s="75" t="str">
        <f>IF(Worksheet!F36="","",Worksheet!F36)</f>
        <v/>
      </c>
      <c r="D24" s="75" t="str">
        <f>IF(Worksheet!G36="","",Worksheet!G36)</f>
        <v/>
      </c>
      <c r="E24" s="105"/>
      <c r="F24" s="105"/>
      <c r="G24" s="105"/>
      <c r="H24" s="75" t="str">
        <f>IF(Worksheet!F36="","",Worksheet!Y36)</f>
        <v/>
      </c>
      <c r="I24" s="46" t="str">
        <f>IF(Worksheet!F36="","",Worksheet!Z36)</f>
        <v/>
      </c>
      <c r="J24" s="46" t="str">
        <f>IF(Worksheet!F36="","",Worksheet!AA36)</f>
        <v/>
      </c>
      <c r="K24" s="75" t="str">
        <f>IF(Worksheet!F36="","",Worksheet!R36)</f>
        <v/>
      </c>
      <c r="L24" s="41" t="str">
        <f>IF(Worksheet!F36="","",Worksheet!V36)</f>
        <v/>
      </c>
      <c r="P24" s="19" t="str">
        <f>TEXT(Worksheet!C36,"0.0")</f>
        <v>0.0</v>
      </c>
    </row>
    <row r="25" spans="1:16" ht="7.5" customHeight="1" x14ac:dyDescent="0.25">
      <c r="A25" s="19"/>
      <c r="B25" s="19"/>
      <c r="C25" s="19"/>
      <c r="D25" s="19"/>
      <c r="E25" s="106"/>
      <c r="F25" s="106"/>
      <c r="G25" s="106"/>
      <c r="H25" s="19"/>
      <c r="I25" s="19"/>
      <c r="J25" s="19"/>
      <c r="K25" s="19"/>
    </row>
    <row r="26" spans="1:16" ht="15.75" x14ac:dyDescent="0.25">
      <c r="A26" s="100" t="str">
        <f>IF(Worksheet!C38="", "", Worksheet!B38 &amp; $A$2 &amp; P26)</f>
        <v/>
      </c>
      <c r="B26" s="74" t="str">
        <f>IF(Worksheet!D38="","",Worksheet!D38)</f>
        <v/>
      </c>
      <c r="C26" s="74" t="str">
        <f>IF(Worksheet!F38="","",Worksheet!F38)</f>
        <v/>
      </c>
      <c r="D26" s="74" t="str">
        <f>IF(Worksheet!G38="","",Worksheet!G38)</f>
        <v/>
      </c>
      <c r="E26" s="104"/>
      <c r="F26" s="104"/>
      <c r="G26" s="104"/>
      <c r="H26" s="74" t="str">
        <f>IF(Worksheet!F38="","",Worksheet!Y38)</f>
        <v/>
      </c>
      <c r="I26" s="44" t="str">
        <f>IF(Worksheet!F38="","",Worksheet!Z38)</f>
        <v/>
      </c>
      <c r="J26" s="44" t="str">
        <f>IF(Worksheet!F38="","",Worksheet!AA38)</f>
        <v/>
      </c>
      <c r="K26" s="74" t="str">
        <f>IF(Worksheet!F38="","",Worksheet!R38)</f>
        <v/>
      </c>
      <c r="L26" s="39" t="str">
        <f>IF(Worksheet!F38="","",Worksheet!V38)</f>
        <v/>
      </c>
      <c r="P26" s="19" t="str">
        <f>TEXT(Worksheet!C38,"0.0")</f>
        <v>0.0</v>
      </c>
    </row>
    <row r="27" spans="1:16" ht="15.75" x14ac:dyDescent="0.25">
      <c r="A27" s="101" t="str">
        <f>IF(Worksheet!C39="", "", Worksheet!B39 &amp; $A$2 &amp; P27)</f>
        <v/>
      </c>
      <c r="B27" s="26" t="str">
        <f>IF(Worksheet!D39="","",Worksheet!D39)</f>
        <v/>
      </c>
      <c r="C27" s="26" t="str">
        <f>IF(Worksheet!F39="","",Worksheet!F39)</f>
        <v/>
      </c>
      <c r="D27" s="26" t="str">
        <f>IF(Worksheet!G39="","",Worksheet!G39)</f>
        <v/>
      </c>
      <c r="E27" s="73"/>
      <c r="F27" s="73"/>
      <c r="G27" s="73"/>
      <c r="H27" s="26" t="str">
        <f>IF(Worksheet!F39="","",Worksheet!Y39)</f>
        <v/>
      </c>
      <c r="I27" s="45" t="str">
        <f>IF(Worksheet!F39="","",Worksheet!Z39)</f>
        <v/>
      </c>
      <c r="J27" s="45" t="str">
        <f>IF(Worksheet!F39="","",Worksheet!AA39)</f>
        <v/>
      </c>
      <c r="K27" s="26" t="str">
        <f>IF(Worksheet!F39="","",Worksheet!R39)</f>
        <v/>
      </c>
      <c r="L27" s="40" t="str">
        <f>IF(Worksheet!F39="","",Worksheet!V39)</f>
        <v/>
      </c>
      <c r="P27" s="19" t="str">
        <f>TEXT(Worksheet!C39,"0.0")</f>
        <v>0.0</v>
      </c>
    </row>
    <row r="28" spans="1:16" ht="15.75" x14ac:dyDescent="0.25">
      <c r="A28" s="102" t="str">
        <f>IF(Worksheet!C40="", "", Worksheet!B40 &amp; $A$2 &amp; P28)</f>
        <v/>
      </c>
      <c r="B28" s="75" t="str">
        <f>IF(Worksheet!D40="","",Worksheet!D40)</f>
        <v/>
      </c>
      <c r="C28" s="75" t="str">
        <f>IF(Worksheet!F40="","",Worksheet!F40)</f>
        <v/>
      </c>
      <c r="D28" s="75" t="str">
        <f>IF(Worksheet!G40="","",Worksheet!G40)</f>
        <v/>
      </c>
      <c r="E28" s="105"/>
      <c r="F28" s="105"/>
      <c r="G28" s="105"/>
      <c r="H28" s="75" t="str">
        <f>IF(Worksheet!F40="","",Worksheet!Y40)</f>
        <v/>
      </c>
      <c r="I28" s="46" t="str">
        <f>IF(Worksheet!F40="","",Worksheet!Z40)</f>
        <v/>
      </c>
      <c r="J28" s="46" t="str">
        <f>IF(Worksheet!F40="","",Worksheet!AA40)</f>
        <v/>
      </c>
      <c r="K28" s="75" t="str">
        <f>IF(Worksheet!F40="","",Worksheet!R40)</f>
        <v/>
      </c>
      <c r="L28" s="41" t="str">
        <f>IF(Worksheet!F40="","",Worksheet!V40)</f>
        <v/>
      </c>
      <c r="P28" s="19" t="str">
        <f>TEXT(Worksheet!C40,"0.0")</f>
        <v>0.0</v>
      </c>
    </row>
    <row r="29" spans="1:16" ht="7.5" customHeight="1" x14ac:dyDescent="0.25">
      <c r="A29" s="19"/>
      <c r="B29" s="19"/>
      <c r="C29" s="19"/>
      <c r="D29" s="19"/>
      <c r="E29" s="106"/>
      <c r="F29" s="106"/>
      <c r="G29" s="106"/>
      <c r="H29" s="19"/>
      <c r="I29" s="19"/>
      <c r="J29" s="19"/>
      <c r="K29" s="19"/>
    </row>
    <row r="30" spans="1:16" ht="15.75" x14ac:dyDescent="0.25">
      <c r="A30" s="100" t="str">
        <f>IF(Worksheet!C42="", "", Worksheet!B42 &amp; $A$2 &amp; P30)</f>
        <v/>
      </c>
      <c r="B30" s="74" t="str">
        <f>IF(Worksheet!D42="","",Worksheet!D42)</f>
        <v/>
      </c>
      <c r="C30" s="74" t="str">
        <f>IF(Worksheet!F42="","",Worksheet!F42)</f>
        <v/>
      </c>
      <c r="D30" s="74" t="str">
        <f>IF(Worksheet!G42="","",Worksheet!G42)</f>
        <v/>
      </c>
      <c r="E30" s="104"/>
      <c r="F30" s="104"/>
      <c r="G30" s="104"/>
      <c r="H30" s="74" t="str">
        <f>IF(Worksheet!F42="","",Worksheet!Y42)</f>
        <v/>
      </c>
      <c r="I30" s="44" t="str">
        <f>IF(Worksheet!F42="","",Worksheet!Z42)</f>
        <v/>
      </c>
      <c r="J30" s="44" t="str">
        <f>IF(Worksheet!F42="","",Worksheet!AA42)</f>
        <v/>
      </c>
      <c r="K30" s="74" t="str">
        <f>IF(Worksheet!F42="","",Worksheet!R42)</f>
        <v/>
      </c>
      <c r="L30" s="39" t="str">
        <f>IF(Worksheet!F42="","",Worksheet!V42)</f>
        <v/>
      </c>
      <c r="P30" s="19" t="str">
        <f>TEXT(Worksheet!C42,"0.0")</f>
        <v>0.0</v>
      </c>
    </row>
    <row r="31" spans="1:16" ht="15.75" x14ac:dyDescent="0.25">
      <c r="A31" s="101" t="str">
        <f>IF(Worksheet!C43="", "", Worksheet!B43 &amp; $A$2 &amp; P31)</f>
        <v/>
      </c>
      <c r="B31" s="26" t="str">
        <f>IF(Worksheet!D43="","",Worksheet!D43)</f>
        <v/>
      </c>
      <c r="C31" s="26" t="str">
        <f>IF(Worksheet!F43="","",Worksheet!F43)</f>
        <v/>
      </c>
      <c r="D31" s="26" t="str">
        <f>IF(Worksheet!G43="","",Worksheet!G43)</f>
        <v/>
      </c>
      <c r="E31" s="73"/>
      <c r="F31" s="73"/>
      <c r="G31" s="73"/>
      <c r="H31" s="26" t="str">
        <f>IF(Worksheet!F43="","",Worksheet!Y43)</f>
        <v/>
      </c>
      <c r="I31" s="45" t="str">
        <f>IF(Worksheet!F43="","",Worksheet!Z43)</f>
        <v/>
      </c>
      <c r="J31" s="45" t="str">
        <f>IF(Worksheet!F43="","",Worksheet!AA43)</f>
        <v/>
      </c>
      <c r="K31" s="26" t="str">
        <f>IF(Worksheet!F43="","",Worksheet!R43)</f>
        <v/>
      </c>
      <c r="L31" s="40" t="str">
        <f>IF(Worksheet!F43="","",Worksheet!V43)</f>
        <v/>
      </c>
      <c r="P31" s="19" t="str">
        <f>TEXT(Worksheet!C43,"0.0")</f>
        <v>0.0</v>
      </c>
    </row>
    <row r="32" spans="1:16" ht="15.75" x14ac:dyDescent="0.25">
      <c r="A32" s="102" t="str">
        <f>IF(Worksheet!C44="", "", Worksheet!B44 &amp; $A$2 &amp; P32)</f>
        <v/>
      </c>
      <c r="B32" s="75" t="str">
        <f>IF(Worksheet!D44="","",Worksheet!D44)</f>
        <v/>
      </c>
      <c r="C32" s="75" t="str">
        <f>IF(Worksheet!F44="","",Worksheet!F44)</f>
        <v/>
      </c>
      <c r="D32" s="75" t="str">
        <f>IF(Worksheet!G44="","",Worksheet!G44)</f>
        <v/>
      </c>
      <c r="E32" s="105"/>
      <c r="F32" s="105"/>
      <c r="G32" s="105"/>
      <c r="H32" s="75" t="str">
        <f>IF(Worksheet!F44="","",Worksheet!Y44)</f>
        <v/>
      </c>
      <c r="I32" s="46" t="str">
        <f>IF(Worksheet!F44="","",Worksheet!Z44)</f>
        <v/>
      </c>
      <c r="J32" s="46" t="str">
        <f>IF(Worksheet!F44="","",Worksheet!AA44)</f>
        <v/>
      </c>
      <c r="K32" s="75" t="str">
        <f>IF(Worksheet!F44="","",Worksheet!R44)</f>
        <v/>
      </c>
      <c r="L32" s="41"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108" t="s">
        <v>136</v>
      </c>
      <c r="B34" s="19"/>
      <c r="C34" s="19"/>
      <c r="D34" s="19"/>
      <c r="E34" s="19"/>
      <c r="F34" s="19"/>
      <c r="G34" s="19"/>
      <c r="H34" s="19"/>
      <c r="I34" s="19"/>
      <c r="J34" s="19"/>
      <c r="K34" s="19"/>
    </row>
    <row r="35" spans="1:17" x14ac:dyDescent="0.25">
      <c r="A35" s="103" t="s">
        <v>104</v>
      </c>
      <c r="B35" s="103" t="s">
        <v>53</v>
      </c>
      <c r="C35" s="15" t="s">
        <v>56</v>
      </c>
      <c r="D35" s="15" t="s">
        <v>57</v>
      </c>
      <c r="E35" s="15" t="s">
        <v>58</v>
      </c>
      <c r="F35" s="15" t="s">
        <v>59</v>
      </c>
      <c r="G35" s="15" t="s">
        <v>60</v>
      </c>
      <c r="H35" s="15" t="s">
        <v>61</v>
      </c>
      <c r="I35" s="15" t="s">
        <v>62</v>
      </c>
      <c r="J35" s="15" t="s">
        <v>63</v>
      </c>
      <c r="K35" s="36" t="s">
        <v>64</v>
      </c>
      <c r="L35" s="15" t="s">
        <v>105</v>
      </c>
    </row>
    <row r="36" spans="1:17" ht="15.75" x14ac:dyDescent="0.25">
      <c r="A36" s="74" t="str">
        <f>IF(Worksheet!C18="", "", Worksheet!B18 &amp; $A$2 &amp; P36)</f>
        <v/>
      </c>
      <c r="B36" s="74" t="str">
        <f>IF(Worksheet!D18="","",Worksheet!D18)</f>
        <v/>
      </c>
      <c r="C36" s="44" t="str">
        <f>IF(Worksheet!J18="","",Worksheet!J18)</f>
        <v/>
      </c>
      <c r="D36" s="44" t="str">
        <f>IF(Worksheet!K18="","",Worksheet!K18)</f>
        <v/>
      </c>
      <c r="E36" s="44" t="str">
        <f>IF(Worksheet!L18="","",Worksheet!L18)</f>
        <v/>
      </c>
      <c r="F36" s="44" t="str">
        <f>IF(Worksheet!M18="","",Worksheet!M18)</f>
        <v/>
      </c>
      <c r="G36" s="44" t="str">
        <f>IF(Worksheet!N18="","",Worksheet!N18)</f>
        <v/>
      </c>
      <c r="H36" s="74" t="str">
        <f>IF(Worksheet!O18="","",Worksheet!O18)</f>
        <v/>
      </c>
      <c r="I36" s="44" t="str">
        <f>IF(Worksheet!P18="","",Worksheet!P18)</f>
        <v/>
      </c>
      <c r="J36" s="44" t="str">
        <f>IF(Worksheet!Q18="","",Worksheet!Q18)</f>
        <v/>
      </c>
      <c r="K36" s="74" t="str">
        <f>IF(Worksheet!J18="","",Worksheet!R18)</f>
        <v/>
      </c>
      <c r="L36" s="39" t="str">
        <f>IF(Worksheet!P18="","",Worksheet!V18)</f>
        <v/>
      </c>
      <c r="N36" s="38"/>
      <c r="P36" s="19" t="str">
        <f>TEXT(Worksheet!C18,"0.0")</f>
        <v>0.0</v>
      </c>
      <c r="Q36" s="19"/>
    </row>
    <row r="37" spans="1:17" ht="15.75" x14ac:dyDescent="0.25">
      <c r="A37" s="26" t="str">
        <f>IF(Worksheet!C19="", "", Worksheet!B19 &amp; $A$2 &amp; P37)</f>
        <v/>
      </c>
      <c r="B37" s="26" t="str">
        <f>IF(Worksheet!D19="","",Worksheet!D19)</f>
        <v/>
      </c>
      <c r="C37" s="45" t="str">
        <f>IF(Worksheet!J19="","",Worksheet!J19)</f>
        <v/>
      </c>
      <c r="D37" s="45" t="str">
        <f>IF(Worksheet!K19="","",Worksheet!K19)</f>
        <v/>
      </c>
      <c r="E37" s="45" t="str">
        <f>IF(Worksheet!L19="","",Worksheet!L19)</f>
        <v/>
      </c>
      <c r="F37" s="45" t="str">
        <f>IF(Worksheet!M19="","",Worksheet!M19)</f>
        <v/>
      </c>
      <c r="G37" s="45" t="str">
        <f>IF(Worksheet!N19="","",Worksheet!N19)</f>
        <v/>
      </c>
      <c r="H37" s="26" t="str">
        <f>IF(Worksheet!O19="","",Worksheet!O19)</f>
        <v/>
      </c>
      <c r="I37" s="45" t="str">
        <f>IF(Worksheet!P19="","",Worksheet!P19)</f>
        <v/>
      </c>
      <c r="J37" s="45" t="str">
        <f>IF(Worksheet!Q19="","",Worksheet!Q19)</f>
        <v/>
      </c>
      <c r="K37" s="26" t="str">
        <f>IF(Worksheet!J19="","",Worksheet!R19)</f>
        <v/>
      </c>
      <c r="L37" s="40" t="str">
        <f>IF(Worksheet!P19="","",Worksheet!V19)</f>
        <v/>
      </c>
      <c r="P37" s="19" t="str">
        <f>TEXT(Worksheet!C19,"0.0")</f>
        <v>0.0</v>
      </c>
      <c r="Q37" s="19"/>
    </row>
    <row r="38" spans="1:17" ht="15.75" x14ac:dyDescent="0.25">
      <c r="A38" s="75" t="str">
        <f>IF(Worksheet!C20="", "", Worksheet!B20 &amp; $A$2 &amp; P38)</f>
        <v/>
      </c>
      <c r="B38" s="75" t="str">
        <f>IF(Worksheet!D20="","",Worksheet!D20)</f>
        <v/>
      </c>
      <c r="C38" s="46" t="str">
        <f>IF(Worksheet!J20="","",Worksheet!J20)</f>
        <v/>
      </c>
      <c r="D38" s="46" t="str">
        <f>IF(Worksheet!K20="","",Worksheet!K20)</f>
        <v/>
      </c>
      <c r="E38" s="46" t="str">
        <f>IF(Worksheet!L20="","",Worksheet!L20)</f>
        <v/>
      </c>
      <c r="F38" s="46" t="str">
        <f>IF(Worksheet!M20="","",Worksheet!M20)</f>
        <v/>
      </c>
      <c r="G38" s="46" t="str">
        <f>IF(Worksheet!N20="","",Worksheet!N20)</f>
        <v/>
      </c>
      <c r="H38" s="75" t="str">
        <f>IF(Worksheet!O20="","",Worksheet!O20)</f>
        <v/>
      </c>
      <c r="I38" s="46" t="str">
        <f>IF(Worksheet!P20="","",Worksheet!P20)</f>
        <v/>
      </c>
      <c r="J38" s="46" t="str">
        <f>IF(Worksheet!Q20="","",Worksheet!Q20)</f>
        <v/>
      </c>
      <c r="K38" s="75" t="str">
        <f>IF(Worksheet!J20="","",Worksheet!R20)</f>
        <v/>
      </c>
      <c r="L38" s="41" t="str">
        <f>IF(Worksheet!P20="","",Worksheet!V20)</f>
        <v/>
      </c>
      <c r="P38" s="19" t="str">
        <f>TEXT(Worksheet!C20,"0.0")</f>
        <v>0.0</v>
      </c>
      <c r="Q38" s="19"/>
    </row>
    <row r="39" spans="1:17" ht="7.5" customHeight="1" x14ac:dyDescent="0.25">
      <c r="A39" s="19"/>
      <c r="B39" s="19"/>
      <c r="C39" s="19"/>
      <c r="D39" s="19"/>
      <c r="E39" s="19"/>
      <c r="F39" s="19"/>
      <c r="G39" s="19"/>
      <c r="H39" s="19"/>
      <c r="I39" s="76"/>
      <c r="J39" s="76"/>
      <c r="K39" s="19"/>
    </row>
    <row r="40" spans="1:17" ht="15.75" x14ac:dyDescent="0.25">
      <c r="A40" s="74" t="str">
        <f>IF(Worksheet!C22="", "", Worksheet!B22 &amp; $A$2 &amp; P40)</f>
        <v/>
      </c>
      <c r="B40" s="74" t="str">
        <f>IF(Worksheet!D22="","",Worksheet!D22)</f>
        <v/>
      </c>
      <c r="C40" s="44" t="str">
        <f>IF(Worksheet!J22="","",Worksheet!J22)</f>
        <v/>
      </c>
      <c r="D40" s="44" t="str">
        <f>IF(Worksheet!K22="","",Worksheet!K22)</f>
        <v/>
      </c>
      <c r="E40" s="44" t="str">
        <f>IF(Worksheet!L22="","",Worksheet!L22)</f>
        <v/>
      </c>
      <c r="F40" s="44" t="str">
        <f>IF(Worksheet!M22="","",Worksheet!M22)</f>
        <v/>
      </c>
      <c r="G40" s="44" t="str">
        <f>IF(Worksheet!N22="","",Worksheet!N22)</f>
        <v/>
      </c>
      <c r="H40" s="74" t="str">
        <f>IF(Worksheet!O22="","",Worksheet!O22)</f>
        <v/>
      </c>
      <c r="I40" s="44" t="str">
        <f>IF(Worksheet!P22="","",Worksheet!P22)</f>
        <v/>
      </c>
      <c r="J40" s="44" t="str">
        <f>IF(Worksheet!Q22="","",Worksheet!Q22)</f>
        <v/>
      </c>
      <c r="K40" s="74" t="str">
        <f>IF(Worksheet!J22="","",Worksheet!R22)</f>
        <v/>
      </c>
      <c r="L40" s="39" t="str">
        <f>IF(Worksheet!P22="","",Worksheet!V22)</f>
        <v/>
      </c>
      <c r="P40" s="19" t="str">
        <f>TEXT(Worksheet!C22,"0.0")</f>
        <v>0.0</v>
      </c>
    </row>
    <row r="41" spans="1:17" ht="15.75" x14ac:dyDescent="0.25">
      <c r="A41" s="26" t="str">
        <f>IF(Worksheet!C23="", "", Worksheet!B23 &amp; $A$2 &amp; P41)</f>
        <v/>
      </c>
      <c r="B41" s="26" t="str">
        <f>IF(Worksheet!D23="","",Worksheet!D23)</f>
        <v/>
      </c>
      <c r="C41" s="45" t="str">
        <f>IF(Worksheet!J23="","",Worksheet!J23)</f>
        <v/>
      </c>
      <c r="D41" s="45" t="str">
        <f>IF(Worksheet!K23="","",Worksheet!K23)</f>
        <v/>
      </c>
      <c r="E41" s="45" t="str">
        <f>IF(Worksheet!L23="","",Worksheet!L23)</f>
        <v/>
      </c>
      <c r="F41" s="45" t="str">
        <f>IF(Worksheet!M23="","",Worksheet!M23)</f>
        <v/>
      </c>
      <c r="G41" s="45" t="str">
        <f>IF(Worksheet!N23="","",Worksheet!N23)</f>
        <v/>
      </c>
      <c r="H41" s="26" t="str">
        <f>IF(Worksheet!O23="","",Worksheet!O23)</f>
        <v/>
      </c>
      <c r="I41" s="45" t="str">
        <f>IF(Worksheet!P23="","",Worksheet!P23)</f>
        <v/>
      </c>
      <c r="J41" s="45" t="str">
        <f>IF(Worksheet!Q23="","",Worksheet!Q23)</f>
        <v/>
      </c>
      <c r="K41" s="26" t="str">
        <f>IF(Worksheet!J23="","",Worksheet!R23)</f>
        <v/>
      </c>
      <c r="L41" s="40" t="str">
        <f>IF(Worksheet!P23="","",Worksheet!V23)</f>
        <v/>
      </c>
      <c r="P41" s="19" t="str">
        <f>TEXT(Worksheet!C23,"0.0")</f>
        <v>0.0</v>
      </c>
    </row>
    <row r="42" spans="1:17" ht="15.75" x14ac:dyDescent="0.25">
      <c r="A42" s="75" t="str">
        <f>IF(Worksheet!C24="", "", Worksheet!B24 &amp; $A$2 &amp; P42)</f>
        <v/>
      </c>
      <c r="B42" s="75" t="str">
        <f>IF(Worksheet!D24="","",Worksheet!D24)</f>
        <v/>
      </c>
      <c r="C42" s="46" t="str">
        <f>IF(Worksheet!J24="","",Worksheet!J24)</f>
        <v/>
      </c>
      <c r="D42" s="46" t="str">
        <f>IF(Worksheet!K24="","",Worksheet!K24)</f>
        <v/>
      </c>
      <c r="E42" s="46" t="str">
        <f>IF(Worksheet!L24="","",Worksheet!L24)</f>
        <v/>
      </c>
      <c r="F42" s="46" t="str">
        <f>IF(Worksheet!M24="","",Worksheet!M24)</f>
        <v/>
      </c>
      <c r="G42" s="46" t="str">
        <f>IF(Worksheet!N24="","",Worksheet!N24)</f>
        <v/>
      </c>
      <c r="H42" s="75" t="str">
        <f>IF(Worksheet!O24="","",Worksheet!O24)</f>
        <v/>
      </c>
      <c r="I42" s="46" t="str">
        <f>IF(Worksheet!P24="","",Worksheet!P24)</f>
        <v/>
      </c>
      <c r="J42" s="46" t="str">
        <f>IF(Worksheet!Q24="","",Worksheet!Q24)</f>
        <v/>
      </c>
      <c r="K42" s="75" t="str">
        <f>IF(Worksheet!J24="","",Worksheet!R24)</f>
        <v/>
      </c>
      <c r="L42" s="41" t="str">
        <f>IF(Worksheet!P24="","",Worksheet!V24)</f>
        <v/>
      </c>
      <c r="P42" s="19" t="str">
        <f>TEXT(Worksheet!C24,"0.0")</f>
        <v>0.0</v>
      </c>
    </row>
    <row r="43" spans="1:17" ht="7.5" customHeight="1" x14ac:dyDescent="0.25">
      <c r="A43" s="19"/>
      <c r="B43" s="19"/>
      <c r="C43" s="19"/>
      <c r="D43" s="19"/>
      <c r="E43" s="19"/>
      <c r="F43" s="19"/>
      <c r="G43" s="19"/>
      <c r="H43" s="19"/>
      <c r="I43" s="76"/>
      <c r="J43" s="76"/>
      <c r="K43" s="19"/>
    </row>
    <row r="44" spans="1:17" ht="15.75" x14ac:dyDescent="0.25">
      <c r="A44" s="74" t="str">
        <f>IF(Worksheet!C26="", "", Worksheet!B26 &amp; $A$2 &amp; P44)</f>
        <v/>
      </c>
      <c r="B44" s="74" t="str">
        <f>IF(Worksheet!D26="","",Worksheet!D26)</f>
        <v/>
      </c>
      <c r="C44" s="44" t="str">
        <f>IF(Worksheet!J26="","",Worksheet!J26)</f>
        <v/>
      </c>
      <c r="D44" s="44" t="str">
        <f>IF(Worksheet!K26="","",Worksheet!K26)</f>
        <v/>
      </c>
      <c r="E44" s="44" t="str">
        <f>IF(Worksheet!L26="","",Worksheet!L26)</f>
        <v/>
      </c>
      <c r="F44" s="44" t="str">
        <f>IF(Worksheet!M26="","",Worksheet!M26)</f>
        <v/>
      </c>
      <c r="G44" s="44" t="str">
        <f>IF(Worksheet!N26="","",Worksheet!N26)</f>
        <v/>
      </c>
      <c r="H44" s="74" t="str">
        <f>IF(Worksheet!O26="","",Worksheet!O26)</f>
        <v/>
      </c>
      <c r="I44" s="44" t="str">
        <f>IF(Worksheet!P26="","",Worksheet!P26)</f>
        <v/>
      </c>
      <c r="J44" s="44" t="str">
        <f>IF(Worksheet!Q26="","",Worksheet!Q26)</f>
        <v/>
      </c>
      <c r="K44" s="74" t="str">
        <f>IF(Worksheet!J26="","",Worksheet!R26)</f>
        <v/>
      </c>
      <c r="L44" s="39" t="str">
        <f>IF(Worksheet!P26="","",Worksheet!V26)</f>
        <v/>
      </c>
      <c r="P44" s="19" t="str">
        <f>TEXT(Worksheet!C26,"0.0")</f>
        <v>0.0</v>
      </c>
    </row>
    <row r="45" spans="1:17" ht="15.75" x14ac:dyDescent="0.25">
      <c r="A45" s="26" t="str">
        <f>IF(Worksheet!C27="", "", Worksheet!B27 &amp; $A$2 &amp; P45)</f>
        <v/>
      </c>
      <c r="B45" s="26" t="str">
        <f>IF(Worksheet!D27="","",Worksheet!D27)</f>
        <v/>
      </c>
      <c r="C45" s="45" t="str">
        <f>IF(Worksheet!J27="","",Worksheet!J27)</f>
        <v/>
      </c>
      <c r="D45" s="45" t="str">
        <f>IF(Worksheet!K27="","",Worksheet!K27)</f>
        <v/>
      </c>
      <c r="E45" s="45" t="str">
        <f>IF(Worksheet!L27="","",Worksheet!L27)</f>
        <v/>
      </c>
      <c r="F45" s="45" t="str">
        <f>IF(Worksheet!M27="","",Worksheet!M27)</f>
        <v/>
      </c>
      <c r="G45" s="45" t="str">
        <f>IF(Worksheet!N27="","",Worksheet!N27)</f>
        <v/>
      </c>
      <c r="H45" s="26" t="str">
        <f>IF(Worksheet!O27="","",Worksheet!O27)</f>
        <v/>
      </c>
      <c r="I45" s="45" t="str">
        <f>IF(Worksheet!P27="","",Worksheet!P27)</f>
        <v/>
      </c>
      <c r="J45" s="45" t="str">
        <f>IF(Worksheet!Q27="","",Worksheet!Q27)</f>
        <v/>
      </c>
      <c r="K45" s="26" t="str">
        <f>IF(Worksheet!J27="","",Worksheet!R27)</f>
        <v/>
      </c>
      <c r="L45" s="40" t="str">
        <f>IF(Worksheet!P27="","",Worksheet!V27)</f>
        <v/>
      </c>
      <c r="P45" s="19" t="str">
        <f>TEXT(Worksheet!C27,"0.0")</f>
        <v>0.0</v>
      </c>
    </row>
    <row r="46" spans="1:17" ht="15.75" x14ac:dyDescent="0.25">
      <c r="A46" s="75" t="str">
        <f>IF(Worksheet!C28="", "", Worksheet!B28 &amp; $A$2 &amp; P46)</f>
        <v/>
      </c>
      <c r="B46" s="75" t="str">
        <f>IF(Worksheet!D28="","",Worksheet!D28)</f>
        <v/>
      </c>
      <c r="C46" s="46" t="str">
        <f>IF(Worksheet!J28="","",Worksheet!J28)</f>
        <v/>
      </c>
      <c r="D46" s="46" t="str">
        <f>IF(Worksheet!K28="","",Worksheet!K28)</f>
        <v/>
      </c>
      <c r="E46" s="46" t="str">
        <f>IF(Worksheet!L28="","",Worksheet!L28)</f>
        <v/>
      </c>
      <c r="F46" s="46" t="str">
        <f>IF(Worksheet!M28="","",Worksheet!M28)</f>
        <v/>
      </c>
      <c r="G46" s="46" t="str">
        <f>IF(Worksheet!N28="","",Worksheet!N28)</f>
        <v/>
      </c>
      <c r="H46" s="75" t="str">
        <f>IF(Worksheet!O28="","",Worksheet!O28)</f>
        <v/>
      </c>
      <c r="I46" s="46" t="str">
        <f>IF(Worksheet!P28="","",Worksheet!P28)</f>
        <v/>
      </c>
      <c r="J46" s="46" t="str">
        <f>IF(Worksheet!Q28="","",Worksheet!Q28)</f>
        <v/>
      </c>
      <c r="K46" s="75" t="str">
        <f>IF(Worksheet!J28="","",Worksheet!R28)</f>
        <v/>
      </c>
      <c r="L46" s="41" t="str">
        <f>IF(Worksheet!P28="","",Worksheet!V28)</f>
        <v/>
      </c>
      <c r="P46" s="19" t="str">
        <f>TEXT(Worksheet!C28,"0.0")</f>
        <v>0.0</v>
      </c>
    </row>
    <row r="47" spans="1:17" ht="7.5" customHeight="1" x14ac:dyDescent="0.25">
      <c r="A47" s="19"/>
      <c r="B47" s="19"/>
      <c r="C47" s="19"/>
      <c r="D47" s="19"/>
      <c r="E47" s="19"/>
      <c r="F47" s="19"/>
      <c r="G47" s="19"/>
      <c r="H47" s="19"/>
      <c r="I47" s="76"/>
      <c r="J47" s="76"/>
      <c r="K47" s="19"/>
    </row>
    <row r="48" spans="1:17" ht="15.75" x14ac:dyDescent="0.25">
      <c r="A48" s="74" t="str">
        <f>IF(Worksheet!C30="", "", Worksheet!B30 &amp; $A$2 &amp; P48)</f>
        <v/>
      </c>
      <c r="B48" s="74" t="str">
        <f>IF(Worksheet!D30="","",Worksheet!D30)</f>
        <v/>
      </c>
      <c r="C48" s="44" t="str">
        <f>IF(Worksheet!J30="","",Worksheet!J30)</f>
        <v/>
      </c>
      <c r="D48" s="44" t="str">
        <f>IF(Worksheet!K30="","",Worksheet!K30)</f>
        <v/>
      </c>
      <c r="E48" s="44" t="str">
        <f>IF(Worksheet!L30="","",Worksheet!L30)</f>
        <v/>
      </c>
      <c r="F48" s="44" t="str">
        <f>IF(Worksheet!M30="","",Worksheet!M30)</f>
        <v/>
      </c>
      <c r="G48" s="44" t="str">
        <f>IF(Worksheet!N30="","",Worksheet!N30)</f>
        <v/>
      </c>
      <c r="H48" s="74" t="str">
        <f>IF(Worksheet!O30="","",Worksheet!O30)</f>
        <v/>
      </c>
      <c r="I48" s="44" t="str">
        <f>IF(Worksheet!P30="","",Worksheet!P30)</f>
        <v/>
      </c>
      <c r="J48" s="44" t="str">
        <f>IF(Worksheet!Q30="","",Worksheet!Q30)</f>
        <v/>
      </c>
      <c r="K48" s="74" t="str">
        <f>IF(Worksheet!J30="","",Worksheet!R30)</f>
        <v/>
      </c>
      <c r="L48" s="39" t="str">
        <f>IF(Worksheet!P30="","",Worksheet!V30)</f>
        <v/>
      </c>
      <c r="P48" s="19" t="str">
        <f>TEXT(Worksheet!C30,"0.0")</f>
        <v>0.0</v>
      </c>
    </row>
    <row r="49" spans="1:16" ht="15.75" x14ac:dyDescent="0.25">
      <c r="A49" s="26" t="str">
        <f>IF(Worksheet!C31="", "", Worksheet!B31 &amp; $A$2 &amp; P49)</f>
        <v/>
      </c>
      <c r="B49" s="26" t="str">
        <f>IF(Worksheet!D31="","",Worksheet!D31)</f>
        <v/>
      </c>
      <c r="C49" s="45" t="str">
        <f>IF(Worksheet!J31="","",Worksheet!J31)</f>
        <v/>
      </c>
      <c r="D49" s="45" t="str">
        <f>IF(Worksheet!K31="","",Worksheet!K31)</f>
        <v/>
      </c>
      <c r="E49" s="45" t="str">
        <f>IF(Worksheet!L31="","",Worksheet!L31)</f>
        <v/>
      </c>
      <c r="F49" s="45" t="str">
        <f>IF(Worksheet!M31="","",Worksheet!M31)</f>
        <v/>
      </c>
      <c r="G49" s="45" t="str">
        <f>IF(Worksheet!N31="","",Worksheet!N31)</f>
        <v/>
      </c>
      <c r="H49" s="26" t="str">
        <f>IF(Worksheet!O31="","",Worksheet!O31)</f>
        <v/>
      </c>
      <c r="I49" s="45" t="str">
        <f>IF(Worksheet!P31="","",Worksheet!P31)</f>
        <v/>
      </c>
      <c r="J49" s="45" t="str">
        <f>IF(Worksheet!Q31="","",Worksheet!Q31)</f>
        <v/>
      </c>
      <c r="K49" s="26" t="str">
        <f>IF(Worksheet!J31="","",Worksheet!R31)</f>
        <v/>
      </c>
      <c r="L49" s="40" t="str">
        <f>IF(Worksheet!P31="","",Worksheet!V31)</f>
        <v/>
      </c>
      <c r="P49" s="19" t="str">
        <f>TEXT(Worksheet!C31,"0.0")</f>
        <v>0.0</v>
      </c>
    </row>
    <row r="50" spans="1:16" ht="15.75" x14ac:dyDescent="0.25">
      <c r="A50" s="75" t="str">
        <f>IF(Worksheet!C32="", "", Worksheet!B32 &amp; $A$2 &amp; P50)</f>
        <v/>
      </c>
      <c r="B50" s="75" t="str">
        <f>IF(Worksheet!D32="","",Worksheet!D32)</f>
        <v/>
      </c>
      <c r="C50" s="46" t="str">
        <f>IF(Worksheet!J32="","",Worksheet!J32)</f>
        <v/>
      </c>
      <c r="D50" s="46" t="str">
        <f>IF(Worksheet!K32="","",Worksheet!K32)</f>
        <v/>
      </c>
      <c r="E50" s="46" t="str">
        <f>IF(Worksheet!L32="","",Worksheet!L32)</f>
        <v/>
      </c>
      <c r="F50" s="46" t="str">
        <f>IF(Worksheet!M32="","",Worksheet!M32)</f>
        <v/>
      </c>
      <c r="G50" s="46" t="str">
        <f>IF(Worksheet!N32="","",Worksheet!N32)</f>
        <v/>
      </c>
      <c r="H50" s="75" t="str">
        <f>IF(Worksheet!O32="","",Worksheet!O32)</f>
        <v/>
      </c>
      <c r="I50" s="46" t="str">
        <f>IF(Worksheet!P32="","",Worksheet!P32)</f>
        <v/>
      </c>
      <c r="J50" s="46" t="str">
        <f>IF(Worksheet!Q32="","",Worksheet!Q32)</f>
        <v/>
      </c>
      <c r="K50" s="75" t="str">
        <f>IF(Worksheet!J32="","",Worksheet!R32)</f>
        <v/>
      </c>
      <c r="L50" s="41" t="str">
        <f>IF(Worksheet!P32="","",Worksheet!V32)</f>
        <v/>
      </c>
      <c r="P50" s="19" t="str">
        <f>TEXT(Worksheet!C32,"0.0")</f>
        <v>0.0</v>
      </c>
    </row>
    <row r="51" spans="1:16" ht="7.5" customHeight="1" x14ac:dyDescent="0.25">
      <c r="A51" s="19"/>
      <c r="B51" s="19"/>
      <c r="C51" s="19"/>
      <c r="D51" s="19"/>
      <c r="E51" s="19"/>
      <c r="F51" s="19"/>
      <c r="G51" s="19"/>
      <c r="H51" s="19"/>
      <c r="I51" s="76"/>
      <c r="J51" s="76"/>
      <c r="K51" s="19"/>
    </row>
    <row r="52" spans="1:16" ht="15.75" x14ac:dyDescent="0.25">
      <c r="A52" s="74" t="str">
        <f>IF(Worksheet!C34="", "", Worksheet!B34 &amp; $A$2 &amp; P52)</f>
        <v/>
      </c>
      <c r="B52" s="74" t="str">
        <f>IF(Worksheet!D34="","",Worksheet!D34)</f>
        <v/>
      </c>
      <c r="C52" s="44" t="str">
        <f>IF(Worksheet!J34="","",Worksheet!J34)</f>
        <v/>
      </c>
      <c r="D52" s="44" t="str">
        <f>IF(Worksheet!K34="","",Worksheet!K34)</f>
        <v/>
      </c>
      <c r="E52" s="44" t="str">
        <f>IF(Worksheet!L34="","",Worksheet!L34)</f>
        <v/>
      </c>
      <c r="F52" s="44" t="str">
        <f>IF(Worksheet!M34="","",Worksheet!M34)</f>
        <v/>
      </c>
      <c r="G52" s="44" t="str">
        <f>IF(Worksheet!N34="","",Worksheet!N34)</f>
        <v/>
      </c>
      <c r="H52" s="74" t="str">
        <f>IF(Worksheet!O34="","",Worksheet!O34)</f>
        <v/>
      </c>
      <c r="I52" s="44" t="str">
        <f>IF(Worksheet!P34="","",Worksheet!P34)</f>
        <v/>
      </c>
      <c r="J52" s="44" t="str">
        <f>IF(Worksheet!Q34="","",Worksheet!Q34)</f>
        <v/>
      </c>
      <c r="K52" s="74" t="str">
        <f>IF(Worksheet!J34="","",Worksheet!R34)</f>
        <v/>
      </c>
      <c r="L52" s="39" t="str">
        <f>IF(Worksheet!P34="","",Worksheet!V34)</f>
        <v/>
      </c>
      <c r="P52" s="19" t="str">
        <f>TEXT(Worksheet!C34,"0.0")</f>
        <v>0.0</v>
      </c>
    </row>
    <row r="53" spans="1:16" ht="15.75" x14ac:dyDescent="0.25">
      <c r="A53" s="26" t="str">
        <f>IF(Worksheet!C35="", "", Worksheet!B35 &amp; $A$2 &amp; P53)</f>
        <v/>
      </c>
      <c r="B53" s="26" t="str">
        <f>IF(Worksheet!D35="","",Worksheet!D35)</f>
        <v/>
      </c>
      <c r="C53" s="45" t="str">
        <f>IF(Worksheet!J35="","",Worksheet!J35)</f>
        <v/>
      </c>
      <c r="D53" s="45" t="str">
        <f>IF(Worksheet!K35="","",Worksheet!K35)</f>
        <v/>
      </c>
      <c r="E53" s="45" t="str">
        <f>IF(Worksheet!L35="","",Worksheet!L35)</f>
        <v/>
      </c>
      <c r="F53" s="45" t="str">
        <f>IF(Worksheet!M35="","",Worksheet!M35)</f>
        <v/>
      </c>
      <c r="G53" s="45" t="str">
        <f>IF(Worksheet!N35="","",Worksheet!N35)</f>
        <v/>
      </c>
      <c r="H53" s="26" t="str">
        <f>IF(Worksheet!O35="","",Worksheet!O35)</f>
        <v/>
      </c>
      <c r="I53" s="45" t="str">
        <f>IF(Worksheet!P35="","",Worksheet!P35)</f>
        <v/>
      </c>
      <c r="J53" s="45" t="str">
        <f>IF(Worksheet!Q35="","",Worksheet!Q35)</f>
        <v/>
      </c>
      <c r="K53" s="26" t="str">
        <f>IF(Worksheet!J35="","",Worksheet!R35)</f>
        <v/>
      </c>
      <c r="L53" s="40" t="str">
        <f>IF(Worksheet!P35="","",Worksheet!V35)</f>
        <v/>
      </c>
      <c r="P53" s="19" t="str">
        <f>TEXT(Worksheet!C35,"0.0")</f>
        <v>0.0</v>
      </c>
    </row>
    <row r="54" spans="1:16" ht="15.75" x14ac:dyDescent="0.25">
      <c r="A54" s="75" t="str">
        <f>IF(Worksheet!C36="", "", Worksheet!B36 &amp; $A$2 &amp; P54)</f>
        <v/>
      </c>
      <c r="B54" s="75" t="str">
        <f>IF(Worksheet!D36="","",Worksheet!D36)</f>
        <v/>
      </c>
      <c r="C54" s="46" t="str">
        <f>IF(Worksheet!J36="","",Worksheet!J36)</f>
        <v/>
      </c>
      <c r="D54" s="46" t="str">
        <f>IF(Worksheet!K36="","",Worksheet!K36)</f>
        <v/>
      </c>
      <c r="E54" s="46" t="str">
        <f>IF(Worksheet!L36="","",Worksheet!L36)</f>
        <v/>
      </c>
      <c r="F54" s="46" t="str">
        <f>IF(Worksheet!M36="","",Worksheet!M36)</f>
        <v/>
      </c>
      <c r="G54" s="46" t="str">
        <f>IF(Worksheet!N36="","",Worksheet!N36)</f>
        <v/>
      </c>
      <c r="H54" s="75" t="str">
        <f>IF(Worksheet!O36="","",Worksheet!O36)</f>
        <v/>
      </c>
      <c r="I54" s="46" t="str">
        <f>IF(Worksheet!P36="","",Worksheet!P36)</f>
        <v/>
      </c>
      <c r="J54" s="46" t="str">
        <f>IF(Worksheet!Q36="","",Worksheet!Q36)</f>
        <v/>
      </c>
      <c r="K54" s="75" t="str">
        <f>IF(Worksheet!J36="","",Worksheet!R36)</f>
        <v/>
      </c>
      <c r="L54" s="41" t="str">
        <f>IF(Worksheet!P36="","",Worksheet!V36)</f>
        <v/>
      </c>
      <c r="P54" s="19" t="str">
        <f>TEXT(Worksheet!C36,"0.0")</f>
        <v>0.0</v>
      </c>
    </row>
    <row r="55" spans="1:16" ht="7.5" customHeight="1" x14ac:dyDescent="0.25">
      <c r="A55" s="19"/>
      <c r="B55" s="19"/>
      <c r="C55" s="19"/>
      <c r="D55" s="19"/>
      <c r="E55" s="19"/>
      <c r="F55" s="19"/>
      <c r="G55" s="19"/>
      <c r="H55" s="19"/>
      <c r="I55" s="76"/>
      <c r="J55" s="76"/>
      <c r="K55" s="19"/>
    </row>
    <row r="56" spans="1:16" ht="15.75" x14ac:dyDescent="0.25">
      <c r="A56" s="74" t="str">
        <f>IF(Worksheet!C38="", "", Worksheet!B38 &amp; $A$2 &amp; P56)</f>
        <v/>
      </c>
      <c r="B56" s="74" t="str">
        <f>IF(Worksheet!D38="","",Worksheet!D38)</f>
        <v/>
      </c>
      <c r="C56" s="44" t="str">
        <f>IF(Worksheet!J38="","",Worksheet!J38)</f>
        <v/>
      </c>
      <c r="D56" s="44" t="str">
        <f>IF(Worksheet!K38="","",Worksheet!K38)</f>
        <v/>
      </c>
      <c r="E56" s="44" t="str">
        <f>IF(Worksheet!L38="","",Worksheet!L38)</f>
        <v/>
      </c>
      <c r="F56" s="44" t="str">
        <f>IF(Worksheet!M38="","",Worksheet!M38)</f>
        <v/>
      </c>
      <c r="G56" s="44" t="str">
        <f>IF(Worksheet!N38="","",Worksheet!N38)</f>
        <v/>
      </c>
      <c r="H56" s="74" t="str">
        <f>IF(Worksheet!O38="","",Worksheet!O38)</f>
        <v/>
      </c>
      <c r="I56" s="44" t="str">
        <f>IF(Worksheet!P38="","",Worksheet!P38)</f>
        <v/>
      </c>
      <c r="J56" s="44" t="str">
        <f>IF(Worksheet!Q38="","",Worksheet!Q38)</f>
        <v/>
      </c>
      <c r="K56" s="74" t="str">
        <f>IF(Worksheet!J38="","",Worksheet!R38)</f>
        <v/>
      </c>
      <c r="L56" s="39" t="str">
        <f>IF(Worksheet!P38="","",Worksheet!V38)</f>
        <v/>
      </c>
      <c r="P56" s="19" t="str">
        <f>TEXT(Worksheet!C38,"0.0")</f>
        <v>0.0</v>
      </c>
    </row>
    <row r="57" spans="1:16" ht="15.75" x14ac:dyDescent="0.25">
      <c r="A57" s="26" t="str">
        <f>IF(Worksheet!C39="", "", Worksheet!B39 &amp; $A$2 &amp; P57)</f>
        <v/>
      </c>
      <c r="B57" s="26" t="str">
        <f>IF(Worksheet!D39="","",Worksheet!D39)</f>
        <v/>
      </c>
      <c r="C57" s="45" t="str">
        <f>IF(Worksheet!J39="","",Worksheet!J39)</f>
        <v/>
      </c>
      <c r="D57" s="45" t="str">
        <f>IF(Worksheet!K39="","",Worksheet!K39)</f>
        <v/>
      </c>
      <c r="E57" s="45" t="str">
        <f>IF(Worksheet!L39="","",Worksheet!L39)</f>
        <v/>
      </c>
      <c r="F57" s="45" t="str">
        <f>IF(Worksheet!M39="","",Worksheet!M39)</f>
        <v/>
      </c>
      <c r="G57" s="45" t="str">
        <f>IF(Worksheet!N39="","",Worksheet!N39)</f>
        <v/>
      </c>
      <c r="H57" s="26" t="str">
        <f>IF(Worksheet!O39="","",Worksheet!O39)</f>
        <v/>
      </c>
      <c r="I57" s="45" t="str">
        <f>IF(Worksheet!P39="","",Worksheet!P39)</f>
        <v/>
      </c>
      <c r="J57" s="45" t="str">
        <f>IF(Worksheet!Q39="","",Worksheet!Q39)</f>
        <v/>
      </c>
      <c r="K57" s="26" t="str">
        <f>IF(Worksheet!J39="","",Worksheet!R39)</f>
        <v/>
      </c>
      <c r="L57" s="40" t="str">
        <f>IF(Worksheet!P39="","",Worksheet!V39)</f>
        <v/>
      </c>
      <c r="P57" s="19" t="str">
        <f>TEXT(Worksheet!C39,"0.0")</f>
        <v>0.0</v>
      </c>
    </row>
    <row r="58" spans="1:16" ht="15.75" x14ac:dyDescent="0.25">
      <c r="A58" s="75" t="str">
        <f>IF(Worksheet!C40="", "", Worksheet!B40 &amp; $A$2 &amp; P58)</f>
        <v/>
      </c>
      <c r="B58" s="75" t="str">
        <f>IF(Worksheet!D40="","",Worksheet!D40)</f>
        <v/>
      </c>
      <c r="C58" s="46" t="str">
        <f>IF(Worksheet!J40="","",Worksheet!J40)</f>
        <v/>
      </c>
      <c r="D58" s="46" t="str">
        <f>IF(Worksheet!K40="","",Worksheet!K40)</f>
        <v/>
      </c>
      <c r="E58" s="46" t="str">
        <f>IF(Worksheet!L40="","",Worksheet!L40)</f>
        <v/>
      </c>
      <c r="F58" s="46" t="str">
        <f>IF(Worksheet!M40="","",Worksheet!M40)</f>
        <v/>
      </c>
      <c r="G58" s="46" t="str">
        <f>IF(Worksheet!N40="","",Worksheet!N40)</f>
        <v/>
      </c>
      <c r="H58" s="75" t="str">
        <f>IF(Worksheet!O40="","",Worksheet!O40)</f>
        <v/>
      </c>
      <c r="I58" s="46" t="str">
        <f>IF(Worksheet!P40="","",Worksheet!P40)</f>
        <v/>
      </c>
      <c r="J58" s="46" t="str">
        <f>IF(Worksheet!Q40="","",Worksheet!Q40)</f>
        <v/>
      </c>
      <c r="K58" s="75" t="str">
        <f>IF(Worksheet!J40="","",Worksheet!R40)</f>
        <v/>
      </c>
      <c r="L58" s="41" t="str">
        <f>IF(Worksheet!P40="","",Worksheet!V40)</f>
        <v/>
      </c>
      <c r="P58" s="19" t="str">
        <f>TEXT(Worksheet!C40,"0.0")</f>
        <v>0.0</v>
      </c>
    </row>
    <row r="59" spans="1:16" ht="7.5" customHeight="1" x14ac:dyDescent="0.25">
      <c r="A59" s="19"/>
      <c r="B59" s="19"/>
      <c r="C59" s="19"/>
      <c r="D59" s="19"/>
      <c r="E59" s="19"/>
      <c r="F59" s="19"/>
      <c r="G59" s="19"/>
      <c r="H59" s="19"/>
      <c r="I59" s="76"/>
      <c r="J59" s="76"/>
      <c r="K59" s="19"/>
    </row>
    <row r="60" spans="1:16" ht="15.75" x14ac:dyDescent="0.25">
      <c r="A60" s="74" t="str">
        <f>IF(Worksheet!C42="", "", Worksheet!B42 &amp; $A$2 &amp; P60)</f>
        <v/>
      </c>
      <c r="B60" s="74" t="str">
        <f>IF(Worksheet!D42="","",Worksheet!D42)</f>
        <v/>
      </c>
      <c r="C60" s="44" t="str">
        <f>IF(Worksheet!J42="","",Worksheet!J42)</f>
        <v/>
      </c>
      <c r="D60" s="44" t="str">
        <f>IF(Worksheet!K42="","",Worksheet!K42)</f>
        <v/>
      </c>
      <c r="E60" s="44" t="str">
        <f>IF(Worksheet!L42="","",Worksheet!L42)</f>
        <v/>
      </c>
      <c r="F60" s="44" t="str">
        <f>IF(Worksheet!M42="","",Worksheet!M42)</f>
        <v/>
      </c>
      <c r="G60" s="44" t="str">
        <f>IF(Worksheet!N42="","",Worksheet!N42)</f>
        <v/>
      </c>
      <c r="H60" s="74" t="str">
        <f>IF(Worksheet!O42="","",Worksheet!O42)</f>
        <v/>
      </c>
      <c r="I60" s="44" t="str">
        <f>IF(Worksheet!P42="","",Worksheet!P42)</f>
        <v/>
      </c>
      <c r="J60" s="44" t="str">
        <f>IF(Worksheet!Q42="","",Worksheet!Q42)</f>
        <v/>
      </c>
      <c r="K60" s="74" t="str">
        <f>IF(Worksheet!J42="","",Worksheet!R42)</f>
        <v/>
      </c>
      <c r="L60" s="39" t="str">
        <f>IF(Worksheet!P42="","",Worksheet!V42)</f>
        <v/>
      </c>
      <c r="P60" s="19" t="str">
        <f>TEXT(Worksheet!C42,"0.0")</f>
        <v>0.0</v>
      </c>
    </row>
    <row r="61" spans="1:16" ht="15.75" x14ac:dyDescent="0.25">
      <c r="A61" s="26" t="str">
        <f>IF(Worksheet!C43="", "", Worksheet!B43 &amp; $A$2 &amp; P61)</f>
        <v/>
      </c>
      <c r="B61" s="26" t="str">
        <f>IF(Worksheet!D43="","",Worksheet!D43)</f>
        <v/>
      </c>
      <c r="C61" s="45" t="str">
        <f>IF(Worksheet!J43="","",Worksheet!J43)</f>
        <v/>
      </c>
      <c r="D61" s="45" t="str">
        <f>IF(Worksheet!K43="","",Worksheet!K43)</f>
        <v/>
      </c>
      <c r="E61" s="45" t="str">
        <f>IF(Worksheet!L43="","",Worksheet!L43)</f>
        <v/>
      </c>
      <c r="F61" s="45" t="str">
        <f>IF(Worksheet!M43="","",Worksheet!M43)</f>
        <v/>
      </c>
      <c r="G61" s="45" t="str">
        <f>IF(Worksheet!N43="","",Worksheet!N43)</f>
        <v/>
      </c>
      <c r="H61" s="26" t="str">
        <f>IF(Worksheet!O43="","",Worksheet!O43)</f>
        <v/>
      </c>
      <c r="I61" s="45" t="str">
        <f>IF(Worksheet!P43="","",Worksheet!P43)</f>
        <v/>
      </c>
      <c r="J61" s="45" t="str">
        <f>IF(Worksheet!Q43="","",Worksheet!Q43)</f>
        <v/>
      </c>
      <c r="K61" s="26" t="str">
        <f>IF(Worksheet!J43="","",Worksheet!R43)</f>
        <v/>
      </c>
      <c r="L61" s="40" t="str">
        <f>IF(Worksheet!P43="","",Worksheet!V43)</f>
        <v/>
      </c>
      <c r="P61" s="19" t="str">
        <f>TEXT(Worksheet!C43,"0.0")</f>
        <v>0.0</v>
      </c>
    </row>
    <row r="62" spans="1:16" ht="15.75" x14ac:dyDescent="0.25">
      <c r="A62" s="75" t="str">
        <f>IF(Worksheet!C44="", "", Worksheet!B44 &amp; $A$2 &amp; P62)</f>
        <v/>
      </c>
      <c r="B62" s="75" t="str">
        <f>IF(Worksheet!D44="","",Worksheet!D44)</f>
        <v/>
      </c>
      <c r="C62" s="46" t="str">
        <f>IF(Worksheet!J44="","",Worksheet!J44)</f>
        <v/>
      </c>
      <c r="D62" s="46" t="str">
        <f>IF(Worksheet!K44="","",Worksheet!K44)</f>
        <v/>
      </c>
      <c r="E62" s="46" t="str">
        <f>IF(Worksheet!L44="","",Worksheet!L44)</f>
        <v/>
      </c>
      <c r="F62" s="46" t="str">
        <f>IF(Worksheet!M44="","",Worksheet!M44)</f>
        <v/>
      </c>
      <c r="G62" s="46" t="str">
        <f>IF(Worksheet!N44="","",Worksheet!N44)</f>
        <v/>
      </c>
      <c r="H62" s="75" t="str">
        <f>IF(Worksheet!O44="","",Worksheet!O44)</f>
        <v/>
      </c>
      <c r="I62" s="46" t="str">
        <f>IF(Worksheet!P44="","",Worksheet!P44)</f>
        <v/>
      </c>
      <c r="J62" s="46" t="str">
        <f>IF(Worksheet!Q44="","",Worksheet!Q44)</f>
        <v/>
      </c>
      <c r="K62" s="75" t="str">
        <f>IF(Worksheet!J44="","",Worksheet!R44)</f>
        <v/>
      </c>
      <c r="L62" s="41"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topLeftCell="A42" zoomScaleNormal="100" zoomScaleSheetLayoutView="100" workbookViewId="0">
      <selection activeCell="Q61" sqref="Q61"/>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4" t="s">
        <v>88</v>
      </c>
      <c r="C2" s="144"/>
      <c r="D2" s="144"/>
      <c r="E2" s="144"/>
      <c r="F2" s="144"/>
      <c r="G2" s="144"/>
      <c r="H2" s="144"/>
      <c r="I2" s="144"/>
      <c r="J2" s="144"/>
      <c r="K2" s="144"/>
      <c r="AG2" s="122"/>
      <c r="AH2" s="122"/>
      <c r="AJ2" s="122"/>
      <c r="AK2" s="122"/>
      <c r="AM2" s="122"/>
      <c r="AN2" s="122"/>
      <c r="AP2" s="122"/>
      <c r="AQ2" s="122"/>
      <c r="AR2" s="18"/>
      <c r="AS2" s="122"/>
      <c r="AT2" s="122"/>
    </row>
    <row r="3" spans="1:54" ht="18.75" x14ac:dyDescent="0.3">
      <c r="B3" s="144" t="s">
        <v>89</v>
      </c>
      <c r="C3" s="144"/>
      <c r="D3" s="144"/>
      <c r="E3" s="144"/>
      <c r="F3" s="144"/>
      <c r="G3" s="144"/>
      <c r="H3" s="144"/>
      <c r="I3" s="144"/>
      <c r="J3" s="144"/>
      <c r="K3" s="144"/>
    </row>
    <row r="4" spans="1:54" ht="23.25" x14ac:dyDescent="0.35">
      <c r="B4" s="71"/>
      <c r="C4" s="72"/>
      <c r="D4" s="146" t="s">
        <v>126</v>
      </c>
      <c r="E4" s="146"/>
      <c r="F4" s="146"/>
      <c r="G4" s="146"/>
      <c r="H4" s="146"/>
      <c r="I4" s="146"/>
      <c r="J4" s="71"/>
      <c r="K4" s="71"/>
    </row>
    <row r="5" spans="1:54" ht="18.75" x14ac:dyDescent="0.3">
      <c r="E5" s="147"/>
      <c r="F5" s="147"/>
      <c r="G5" s="147"/>
      <c r="H5" s="147"/>
      <c r="Y5" s="53"/>
      <c r="AA5" s="3"/>
      <c r="AB5" s="3"/>
      <c r="AC5" s="3"/>
      <c r="AD5" s="3"/>
      <c r="AE5" s="3"/>
      <c r="AF5" s="3"/>
      <c r="BB5" s="4"/>
    </row>
    <row r="6" spans="1:54" ht="15.75" x14ac:dyDescent="0.25">
      <c r="A6" s="1" t="s">
        <v>90</v>
      </c>
      <c r="B6" s="20" t="str">
        <f>IF(Worksheet!D3="","",Worksheet!D3)</f>
        <v/>
      </c>
      <c r="C6" s="4"/>
      <c r="D6" s="1"/>
      <c r="F6" s="145" t="s">
        <v>127</v>
      </c>
      <c r="G6" s="145"/>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3" t="str">
        <f>IF(Worksheet!N5="","",Worksheet!N5)</f>
        <v/>
      </c>
      <c r="K11" s="143"/>
    </row>
    <row r="12" spans="1:54" ht="15.75" x14ac:dyDescent="0.25">
      <c r="A12" s="1" t="s">
        <v>96</v>
      </c>
      <c r="B12" s="20" t="str">
        <f>IF(Worksheet!D6="","",Worksheet!D6)</f>
        <v/>
      </c>
      <c r="H12" s="1" t="s">
        <v>25</v>
      </c>
      <c r="J12" s="148" t="str">
        <f>IF(Worksheet!N6="","",Worksheet!N6)</f>
        <v/>
      </c>
      <c r="K12" s="148"/>
    </row>
    <row r="13" spans="1:54" ht="15.75" x14ac:dyDescent="0.25">
      <c r="A13" s="1" t="s">
        <v>97</v>
      </c>
      <c r="B13" s="20" t="str">
        <f>IF(Worksheet!D7="","",Worksheet!I7)</f>
        <v/>
      </c>
      <c r="H13" s="1" t="s">
        <v>30</v>
      </c>
      <c r="J13" s="148" t="str">
        <f>IF(Worksheet!N7="","",Worksheet!N7)</f>
        <v/>
      </c>
      <c r="K13" s="148"/>
    </row>
    <row r="14" spans="1:54" ht="15.75" x14ac:dyDescent="0.25">
      <c r="A14" s="1" t="s">
        <v>98</v>
      </c>
      <c r="B14" s="20">
        <f>IF(Worksheet!D8="","",Worksheet!D8)</f>
        <v>0</v>
      </c>
      <c r="D14" s="4" t="str">
        <f>IF(Worksheet!G3="","","Customer PO: ")</f>
        <v/>
      </c>
      <c r="E14" s="1" t="str">
        <f>IF(Worksheet!G3="","",Worksheet!G3)</f>
        <v/>
      </c>
      <c r="H14" s="1" t="s">
        <v>34</v>
      </c>
      <c r="J14" s="149" t="str">
        <f>IF(Worksheet!N8="","",Worksheet!N8)</f>
        <v/>
      </c>
      <c r="K14" s="149"/>
    </row>
    <row r="15" spans="1:54" ht="15.75" x14ac:dyDescent="0.25">
      <c r="A15" s="1" t="s">
        <v>99</v>
      </c>
      <c r="B15" s="20" t="str">
        <f>IF(Worksheet!D9="","",Worksheet!D9)</f>
        <v/>
      </c>
      <c r="D15" t="str">
        <f>IF(Worksheet!J9="YES","Tested on Site","")</f>
        <v/>
      </c>
      <c r="H15" s="1" t="s">
        <v>39</v>
      </c>
      <c r="J15" s="150" t="str">
        <f>IF(Worksheet!N9="","",Worksheet!N9)</f>
        <v/>
      </c>
      <c r="K15" s="150"/>
    </row>
    <row r="16" spans="1:54" ht="15" customHeight="1"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3" t="s">
        <v>104</v>
      </c>
      <c r="B20" s="103" t="s">
        <v>53</v>
      </c>
      <c r="C20" s="15" t="s">
        <v>56</v>
      </c>
      <c r="D20" s="15" t="s">
        <v>57</v>
      </c>
      <c r="E20" s="15"/>
      <c r="F20" s="15"/>
      <c r="G20" s="15"/>
      <c r="H20" s="15" t="s">
        <v>61</v>
      </c>
      <c r="I20" s="15" t="s">
        <v>62</v>
      </c>
      <c r="J20" s="15" t="s">
        <v>63</v>
      </c>
      <c r="K20" s="36" t="s">
        <v>64</v>
      </c>
      <c r="L20" s="15" t="s">
        <v>105</v>
      </c>
    </row>
    <row r="21" spans="1:17" ht="15.75" x14ac:dyDescent="0.25">
      <c r="A21" s="100" t="str" cm="1">
        <f t="array" ref="A21">IF(_xlfn._xlws.FILTER('Filter Cert Data'!A6:L8,'Filter Cert Data'!A6:A8&lt;&gt;"","")="", "", _xlfn._xlws.FILTER('Filter Cert Data'!A6:L8,'Filter Cert Data'!A6:A8&lt;&gt;""))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IF(_xlfn._xlws.FILTER('Filter Cert Data'!A10:L12,'Filter Cert Data'!A10:A12&lt;&gt;"","")="", "", _xlfn._xlws.FILTER('Filter Cert Data'!A10:L12,'Filter Cert Data'!A10:A12&lt;&gt;""))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IF(_xlfn._xlws.FILTER('Filter Cert Data'!A14:L16,'Filter Cert Data'!A14:A16&lt;&gt;"","")="", "", _xlfn._xlws.FILTER('Filter Cert Data'!A14:L16,'Filter Cert Data'!A14:A16&lt;&gt;""))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IF(_xlfn._xlws.FILTER('Filter Cert Data'!A18:L20,'Filter Cert Data'!A18:A20&lt;&gt;"","")="", "", _xlfn._xlws.FILTER('Filter Cert Data'!A18:L20,'Filter Cert Data'!A18:A20&lt;&gt;""))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IF(_xlfn._xlws.FILTER('Filter Cert Data'!A22:L24,'Filter Cert Data'!A22:A24&lt;&gt;"","")="", "", _xlfn._xlws.FILTER('Filter Cert Data'!A22:L24,'Filter Cert Data'!A22:A24&lt;&gt;""))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IF(_xlfn._xlws.FILTER('Filter Cert Data'!A26:L28,'Filter Cert Data'!A26:A28&lt;&gt;"","")="", "", _xlfn._xlws.FILTER('Filter Cert Data'!A26:L28,'Filter Cert Data'!A26:A28&lt;&gt;""))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IF(_xlfn._xlws.FILTER('Filter Cert Data'!A30:L32,'Filter Cert Data'!A30:A32&lt;&gt;"","")="", "", _xlfn._xlws.FILTER('Filter Cert Data'!A30:L32,'Filter Cert Data'!A30:A32&lt;&gt;""))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4"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4"/>
      <c r="C52" s="154"/>
      <c r="D52" s="154"/>
      <c r="E52" s="154"/>
      <c r="F52" s="154"/>
      <c r="G52" s="154"/>
      <c r="H52" s="154"/>
      <c r="I52" s="154"/>
      <c r="J52" s="154"/>
      <c r="K52" s="154"/>
      <c r="L52" s="154"/>
      <c r="M52" s="154"/>
    </row>
    <row r="53" spans="1:27" x14ac:dyDescent="0.25">
      <c r="A53" s="122" t="s">
        <v>100</v>
      </c>
      <c r="B53" s="122"/>
      <c r="C53" s="122"/>
      <c r="D53" s="122"/>
      <c r="E53" s="122"/>
      <c r="F53" s="122"/>
      <c r="G53" s="122"/>
      <c r="H53" s="122"/>
      <c r="I53" s="122"/>
      <c r="J53" s="122"/>
      <c r="K53" s="122"/>
      <c r="L53" s="122"/>
      <c r="M53" s="122"/>
    </row>
    <row r="54" spans="1:27" ht="15" customHeight="1" x14ac:dyDescent="0.25">
      <c r="A54" s="77" t="s">
        <v>109</v>
      </c>
      <c r="B54" s="155" t="s">
        <v>128</v>
      </c>
      <c r="C54" s="155"/>
      <c r="D54" s="155"/>
      <c r="E54" s="155"/>
      <c r="F54" s="155"/>
      <c r="G54" s="155"/>
      <c r="H54" s="155"/>
      <c r="I54" s="155"/>
      <c r="J54" s="155"/>
      <c r="K54" s="155"/>
      <c r="L54" s="155"/>
      <c r="M54" s="155"/>
      <c r="O54" s="151" t="str">
        <f>IFERROR(VLOOKUP(Worksheet!$B46,DropDowns!H13:J15,3,FALSE),"")</f>
        <v/>
      </c>
      <c r="P54" s="151"/>
      <c r="Q54" s="151"/>
      <c r="R54" s="151"/>
      <c r="S54" s="151"/>
      <c r="T54" s="151"/>
      <c r="U54" s="151"/>
      <c r="V54" s="151"/>
      <c r="W54" s="151"/>
      <c r="X54" s="151"/>
      <c r="Y54" s="151"/>
      <c r="Z54" s="151"/>
      <c r="AA54" s="151"/>
    </row>
    <row r="55" spans="1:27" ht="15" customHeight="1" x14ac:dyDescent="0.25">
      <c r="A55" s="1"/>
      <c r="B55" s="155"/>
      <c r="C55" s="155"/>
      <c r="D55" s="155"/>
      <c r="E55" s="155"/>
      <c r="F55" s="155"/>
      <c r="G55" s="155"/>
      <c r="H55" s="155"/>
      <c r="I55" s="155"/>
      <c r="J55" s="155"/>
      <c r="K55" s="155"/>
      <c r="L55" s="155"/>
      <c r="M55" s="155"/>
      <c r="O55" s="151"/>
      <c r="P55" s="151"/>
      <c r="Q55" s="151"/>
      <c r="R55" s="151"/>
      <c r="S55" s="151"/>
      <c r="T55" s="151"/>
      <c r="U55" s="151"/>
      <c r="V55" s="151"/>
      <c r="W55" s="151"/>
      <c r="X55" s="151"/>
      <c r="Y55" s="151"/>
      <c r="Z55" s="151"/>
      <c r="AA55" s="151"/>
    </row>
    <row r="56" spans="1:27" ht="20.100000000000001" customHeight="1" x14ac:dyDescent="0.25">
      <c r="A56" s="1"/>
      <c r="B56" s="155"/>
      <c r="C56" s="155"/>
      <c r="D56" s="155"/>
      <c r="E56" s="155"/>
      <c r="F56" s="155"/>
      <c r="G56" s="155"/>
      <c r="H56" s="155"/>
      <c r="I56" s="155"/>
      <c r="J56" s="155"/>
      <c r="K56" s="155"/>
      <c r="L56" s="155"/>
      <c r="M56" s="155"/>
      <c r="O56" s="151"/>
      <c r="P56" s="151"/>
      <c r="Q56" s="151"/>
      <c r="R56" s="151"/>
      <c r="S56" s="151"/>
      <c r="T56" s="151"/>
      <c r="U56" s="151"/>
      <c r="V56" s="151"/>
      <c r="W56" s="151"/>
      <c r="X56" s="151"/>
      <c r="Y56" s="151"/>
      <c r="Z56" s="151"/>
      <c r="AA56" s="151"/>
    </row>
    <row r="57" spans="1:27" ht="15.75" x14ac:dyDescent="0.25">
      <c r="A57" s="1" t="s">
        <v>9</v>
      </c>
      <c r="B57" s="143" t="str">
        <f>IF(Worksheet!L3="","",Worksheet!L3)</f>
        <v>Used</v>
      </c>
      <c r="C57" s="143"/>
    </row>
    <row r="58" spans="1:27" ht="15.75" x14ac:dyDescent="0.25">
      <c r="A58" s="1" t="s">
        <v>111</v>
      </c>
      <c r="B58" s="143" t="str">
        <f>Worksheet!O46</f>
        <v/>
      </c>
      <c r="C58" s="143"/>
    </row>
    <row r="59" spans="1:27" ht="12" customHeight="1" x14ac:dyDescent="0.25">
      <c r="A59" s="153" t="str">
        <f>'CERT AL'!A59</f>
        <v/>
      </c>
      <c r="B59" s="153"/>
      <c r="C59" s="153"/>
      <c r="D59" s="153"/>
      <c r="E59" s="153"/>
      <c r="F59" s="153"/>
      <c r="G59" s="153"/>
      <c r="H59" s="153"/>
      <c r="I59" s="153"/>
      <c r="J59" s="153"/>
      <c r="K59" s="153"/>
      <c r="L59" s="153"/>
      <c r="M59" s="153"/>
    </row>
    <row r="60" spans="1:27" ht="12" customHeight="1" x14ac:dyDescent="0.25">
      <c r="A60" s="153"/>
      <c r="B60" s="153"/>
      <c r="C60" s="153"/>
      <c r="D60" s="153"/>
      <c r="E60" s="153"/>
      <c r="F60" s="153"/>
      <c r="G60" s="153"/>
      <c r="H60" s="153"/>
      <c r="I60" s="153"/>
      <c r="J60" s="153"/>
      <c r="K60" s="153"/>
      <c r="L60" s="153"/>
      <c r="M60" s="153"/>
    </row>
    <row r="61" spans="1:27" x14ac:dyDescent="0.25">
      <c r="A61" s="122" t="s">
        <v>100</v>
      </c>
      <c r="B61" s="122"/>
      <c r="C61" s="122"/>
      <c r="D61" s="122"/>
      <c r="E61" s="122"/>
      <c r="F61" s="122"/>
      <c r="G61" s="122"/>
      <c r="H61" s="122"/>
      <c r="I61" s="122"/>
      <c r="J61" s="122"/>
      <c r="K61" s="122"/>
      <c r="L61" s="122"/>
      <c r="M61" s="122"/>
    </row>
    <row r="66" spans="1:15" x14ac:dyDescent="0.25">
      <c r="A66" s="152"/>
      <c r="B66" s="152"/>
      <c r="C66" s="152"/>
      <c r="D66" s="152"/>
      <c r="E66" s="152"/>
      <c r="F66" s="152"/>
      <c r="G66" s="152"/>
      <c r="H66" s="152"/>
      <c r="I66" s="152"/>
      <c r="J66" s="152"/>
      <c r="K66" s="152"/>
      <c r="L66" s="152"/>
      <c r="M66" s="152"/>
      <c r="N66" s="152"/>
      <c r="O66" s="152"/>
    </row>
    <row r="67" spans="1:15" x14ac:dyDescent="0.25">
      <c r="A67" s="152"/>
      <c r="B67" s="152"/>
      <c r="C67" s="152"/>
      <c r="D67" s="152"/>
      <c r="E67" s="152"/>
      <c r="F67" s="152"/>
      <c r="G67" s="152"/>
      <c r="H67" s="152"/>
      <c r="I67" s="152"/>
      <c r="J67" s="152"/>
      <c r="K67" s="152"/>
      <c r="L67" s="152"/>
      <c r="M67" s="152"/>
      <c r="N67" s="152"/>
      <c r="O67" s="152"/>
    </row>
    <row r="68" spans="1:15" x14ac:dyDescent="0.25">
      <c r="A68" s="152"/>
      <c r="B68" s="152"/>
      <c r="C68" s="152"/>
      <c r="D68" s="152"/>
      <c r="E68" s="152"/>
      <c r="F68" s="152"/>
      <c r="G68" s="152"/>
      <c r="H68" s="152"/>
      <c r="I68" s="152"/>
      <c r="J68" s="152"/>
      <c r="K68" s="152"/>
      <c r="L68" s="152"/>
      <c r="M68" s="152"/>
      <c r="N68" s="152"/>
      <c r="O68" s="152"/>
    </row>
    <row r="69" spans="1:15" x14ac:dyDescent="0.25">
      <c r="A69" s="152"/>
      <c r="B69" s="152"/>
      <c r="C69" s="152"/>
      <c r="D69" s="152"/>
      <c r="E69" s="152"/>
      <c r="F69" s="152"/>
      <c r="G69" s="152"/>
      <c r="H69" s="152"/>
      <c r="I69" s="152"/>
      <c r="J69" s="152"/>
      <c r="K69" s="152"/>
      <c r="L69" s="152"/>
      <c r="M69" s="152"/>
      <c r="N69" s="152"/>
      <c r="O69" s="152"/>
    </row>
    <row r="70" spans="1:15" x14ac:dyDescent="0.25">
      <c r="A70" s="152"/>
      <c r="B70" s="152"/>
      <c r="C70" s="152"/>
      <c r="D70" s="152"/>
      <c r="E70" s="152"/>
      <c r="F70" s="152"/>
      <c r="G70" s="152"/>
      <c r="H70" s="152"/>
      <c r="I70" s="152"/>
      <c r="J70" s="152"/>
      <c r="K70" s="152"/>
      <c r="L70" s="152"/>
      <c r="M70" s="152"/>
      <c r="N70" s="152"/>
      <c r="O70" s="152"/>
    </row>
    <row r="71" spans="1:15" x14ac:dyDescent="0.25">
      <c r="A71" s="152"/>
      <c r="B71" s="152"/>
      <c r="C71" s="152"/>
      <c r="D71" s="152"/>
      <c r="E71" s="152"/>
      <c r="F71" s="152"/>
      <c r="G71" s="152"/>
      <c r="H71" s="152"/>
      <c r="I71" s="152"/>
      <c r="J71" s="152"/>
      <c r="K71" s="152"/>
      <c r="L71" s="152"/>
      <c r="M71" s="152"/>
      <c r="N71" s="152"/>
      <c r="O71" s="152"/>
    </row>
    <row r="72" spans="1:15" x14ac:dyDescent="0.25">
      <c r="A72" s="152"/>
      <c r="B72" s="152"/>
      <c r="C72" s="152"/>
      <c r="D72" s="152"/>
      <c r="E72" s="152"/>
      <c r="F72" s="152"/>
      <c r="G72" s="152"/>
      <c r="H72" s="152"/>
      <c r="I72" s="152"/>
      <c r="J72" s="152"/>
      <c r="K72" s="152"/>
      <c r="L72" s="152"/>
      <c r="M72" s="152"/>
      <c r="N72" s="152"/>
      <c r="O72" s="152"/>
    </row>
    <row r="73" spans="1:15" x14ac:dyDescent="0.25">
      <c r="A73" s="152"/>
      <c r="B73" s="152"/>
      <c r="C73" s="152"/>
      <c r="D73" s="152"/>
      <c r="E73" s="152"/>
      <c r="F73" s="152"/>
      <c r="G73" s="152"/>
      <c r="H73" s="152"/>
      <c r="I73" s="152"/>
      <c r="J73" s="152"/>
      <c r="K73" s="152"/>
      <c r="L73" s="152"/>
      <c r="M73" s="152"/>
      <c r="N73" s="152"/>
      <c r="O73" s="152"/>
    </row>
    <row r="76" spans="1:15" x14ac:dyDescent="0.25">
      <c r="B76" s="54"/>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CVjy5oGnVO3AoQMfNUnANSBfC3iiumkUV9nFiTuMtfafJLwQZ6kveOuqNj6ro2uHwSNm2h9MG4yKNNoEQTACRg==" saltValue="Y9WM3Ujjjo16Jd4qPA1tqA=="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topLeftCell="A38" zoomScaleNormal="100" zoomScaleSheetLayoutView="100" workbookViewId="0">
      <selection activeCell="A52" sqref="A52:M52"/>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4" t="s">
        <v>88</v>
      </c>
      <c r="C2" s="144"/>
      <c r="D2" s="144"/>
      <c r="E2" s="144"/>
      <c r="F2" s="144"/>
      <c r="G2" s="144"/>
      <c r="H2" s="144"/>
      <c r="I2" s="144"/>
      <c r="J2" s="144"/>
      <c r="K2" s="144"/>
      <c r="AG2" s="122"/>
      <c r="AH2" s="122"/>
      <c r="AJ2" s="122"/>
      <c r="AK2" s="122"/>
      <c r="AM2" s="122"/>
      <c r="AN2" s="122"/>
      <c r="AP2" s="122"/>
      <c r="AQ2" s="122"/>
      <c r="AR2" s="18"/>
      <c r="AS2" s="122"/>
      <c r="AT2" s="122"/>
    </row>
    <row r="3" spans="1:54" ht="18.75" x14ac:dyDescent="0.3">
      <c r="B3" s="144" t="s">
        <v>89</v>
      </c>
      <c r="C3" s="144"/>
      <c r="D3" s="144"/>
      <c r="E3" s="144"/>
      <c r="F3" s="144"/>
      <c r="G3" s="144"/>
      <c r="H3" s="144"/>
      <c r="I3" s="144"/>
      <c r="J3" s="144"/>
      <c r="K3" s="144"/>
    </row>
    <row r="4" spans="1:54" ht="23.25" x14ac:dyDescent="0.35">
      <c r="B4" s="71"/>
      <c r="C4" s="72"/>
      <c r="D4" s="146"/>
      <c r="E4" s="146"/>
      <c r="F4" s="146"/>
      <c r="G4" s="146"/>
      <c r="H4" s="146"/>
      <c r="I4" s="146"/>
      <c r="J4" s="71"/>
      <c r="K4" s="71"/>
    </row>
    <row r="5" spans="1:54" ht="18.75" x14ac:dyDescent="0.3">
      <c r="E5" s="147"/>
      <c r="F5" s="147"/>
      <c r="G5" s="147"/>
      <c r="H5" s="147"/>
      <c r="Y5" s="53"/>
      <c r="AA5" s="3"/>
      <c r="AB5" s="3"/>
      <c r="AC5" s="3"/>
      <c r="AD5" s="3"/>
      <c r="AE5" s="3"/>
      <c r="AF5" s="3"/>
      <c r="BB5" s="4"/>
    </row>
    <row r="6" spans="1:54" ht="15.75" x14ac:dyDescent="0.25">
      <c r="A6" s="1" t="s">
        <v>90</v>
      </c>
      <c r="B6" s="20" t="str">
        <f>IF(Worksheet!D3="","",Worksheet!D3)</f>
        <v/>
      </c>
      <c r="C6" s="4"/>
      <c r="D6" s="1"/>
      <c r="F6" s="145" t="s">
        <v>91</v>
      </c>
      <c r="G6" s="145"/>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3" t="str">
        <f>IF(Worksheet!N5="","",Worksheet!N5)</f>
        <v/>
      </c>
      <c r="K11" s="143"/>
    </row>
    <row r="12" spans="1:54" ht="15.75" x14ac:dyDescent="0.25">
      <c r="A12" s="1" t="s">
        <v>96</v>
      </c>
      <c r="B12" s="20" t="str">
        <f>IF(Worksheet!D6="","",Worksheet!D6)</f>
        <v/>
      </c>
      <c r="H12" s="1" t="s">
        <v>25</v>
      </c>
      <c r="J12" s="148" t="str">
        <f>IF(Worksheet!N6="","",Worksheet!N6)</f>
        <v/>
      </c>
      <c r="K12" s="148"/>
    </row>
    <row r="13" spans="1:54" ht="15.75" x14ac:dyDescent="0.25">
      <c r="A13" s="1" t="s">
        <v>97</v>
      </c>
      <c r="B13" s="20" t="str">
        <f>IF(Worksheet!D7="","",Worksheet!I7)</f>
        <v/>
      </c>
      <c r="H13" s="1" t="s">
        <v>30</v>
      </c>
      <c r="J13" s="148" t="str">
        <f>IF(Worksheet!N7="","",Worksheet!N7)</f>
        <v/>
      </c>
      <c r="K13" s="148"/>
    </row>
    <row r="14" spans="1:54" ht="15.75" x14ac:dyDescent="0.25">
      <c r="A14" s="1" t="s">
        <v>98</v>
      </c>
      <c r="B14" s="20">
        <f>IF(Worksheet!D8="","",Worksheet!D8)</f>
        <v>0</v>
      </c>
      <c r="D14" s="4" t="str">
        <f>IF(Worksheet!G3="","","Customer PO: ")</f>
        <v/>
      </c>
      <c r="E14" s="1" t="str">
        <f>IF(Worksheet!G3="","",Worksheet!G3)</f>
        <v/>
      </c>
      <c r="H14" s="1" t="s">
        <v>34</v>
      </c>
      <c r="J14" s="149" t="str">
        <f>IF(Worksheet!N8="","",Worksheet!N8)</f>
        <v/>
      </c>
      <c r="K14" s="149"/>
    </row>
    <row r="15" spans="1:54" ht="15.75" x14ac:dyDescent="0.25">
      <c r="A15" s="1" t="s">
        <v>99</v>
      </c>
      <c r="B15" s="20" t="str">
        <f>IF(Worksheet!D9="","",Worksheet!D9)</f>
        <v/>
      </c>
      <c r="D15" t="str">
        <f>IF(Worksheet!J9="YES","Tested on Site","")</f>
        <v/>
      </c>
      <c r="H15" s="1" t="s">
        <v>39</v>
      </c>
      <c r="J15" s="150" t="str">
        <f>IF(Worksheet!N9="","",Worksheet!N9)</f>
        <v/>
      </c>
      <c r="K15" s="150"/>
    </row>
    <row r="16" spans="1:54"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3" t="s">
        <v>104</v>
      </c>
      <c r="B20" s="103" t="s">
        <v>53</v>
      </c>
      <c r="C20" s="15" t="s">
        <v>56</v>
      </c>
      <c r="D20" s="15" t="s">
        <v>57</v>
      </c>
      <c r="E20" s="15" t="s">
        <v>58</v>
      </c>
      <c r="F20" s="15" t="s">
        <v>59</v>
      </c>
      <c r="G20" s="15" t="s">
        <v>60</v>
      </c>
      <c r="H20" s="15" t="s">
        <v>61</v>
      </c>
      <c r="I20" s="15" t="s">
        <v>62</v>
      </c>
      <c r="J20" s="15" t="s">
        <v>63</v>
      </c>
      <c r="K20" s="36" t="s">
        <v>64</v>
      </c>
      <c r="L20" s="15" t="s">
        <v>105</v>
      </c>
    </row>
    <row r="21" spans="1:17" ht="15.75" x14ac:dyDescent="0.25">
      <c r="A21" s="100" t="str" cm="1">
        <f t="array" ref="A21">_xlfn._xlws.FILTER('Filter Cert Data'!A36:L38,'Filter Cert Data'!A36:A38&lt;&gt;"","")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_xlfn._xlws.FILTER('Filter Cert Data'!A40:L42,'Filter Cert Data'!A40:A42&lt;&gt;"","")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_xlfn._xlws.FILTER('Filter Cert Data'!A44:L46,'Filter Cert Data'!A44:A46&lt;&gt;"","")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_xlfn._xlws.FILTER('Filter Cert Data'!A48:L50,'Filter Cert Data'!A48:A50&lt;&gt;"","")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_xlfn._xlws.FILTER('Filter Cert Data'!A52:L54,'Filter Cert Data'!A52:A54&lt;&gt;"","")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_xlfn._xlws.FILTER('Filter Cert Data'!A56:L58,'Filter Cert Data'!A56:A58&lt;&gt;"","")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_xlfn._xlws.FILTER('Filter Cert Data'!A60:L62,'Filter Cert Data'!A60:A62&lt;&gt;"","")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4"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4"/>
      <c r="C52" s="154"/>
      <c r="D52" s="154"/>
      <c r="E52" s="154"/>
      <c r="F52" s="154"/>
      <c r="G52" s="154"/>
      <c r="H52" s="154"/>
      <c r="I52" s="154"/>
      <c r="J52" s="154"/>
      <c r="K52" s="154"/>
      <c r="L52" s="154"/>
      <c r="M52" s="154"/>
    </row>
    <row r="53" spans="1:27" x14ac:dyDescent="0.25">
      <c r="A53" s="122" t="s">
        <v>100</v>
      </c>
      <c r="B53" s="122"/>
      <c r="C53" s="122"/>
      <c r="D53" s="122"/>
      <c r="E53" s="122"/>
      <c r="F53" s="122"/>
      <c r="G53" s="122"/>
      <c r="H53" s="122"/>
      <c r="I53" s="122"/>
      <c r="J53" s="122"/>
      <c r="K53" s="122"/>
      <c r="L53" s="122"/>
      <c r="M53" s="122"/>
    </row>
    <row r="54" spans="1:27" ht="15" customHeight="1" x14ac:dyDescent="0.25">
      <c r="A54" s="77" t="s">
        <v>109</v>
      </c>
      <c r="B54" s="155" t="s">
        <v>110</v>
      </c>
      <c r="C54" s="155"/>
      <c r="D54" s="155"/>
      <c r="E54" s="155"/>
      <c r="F54" s="155"/>
      <c r="G54" s="155"/>
      <c r="H54" s="155"/>
      <c r="I54" s="155"/>
      <c r="J54" s="155"/>
      <c r="K54" s="155"/>
      <c r="L54" s="155"/>
      <c r="M54" s="155"/>
      <c r="O54" s="151" t="str">
        <f>IFERROR(VLOOKUP(Worksheet!$B47,DropDowns!H3:J8,3,FALSE),"")</f>
        <v/>
      </c>
      <c r="P54" s="151"/>
      <c r="Q54" s="151"/>
      <c r="R54" s="151"/>
      <c r="S54" s="151"/>
      <c r="T54" s="151"/>
      <c r="U54" s="151"/>
      <c r="V54" s="151"/>
      <c r="W54" s="151"/>
      <c r="X54" s="151"/>
      <c r="Y54" s="151"/>
      <c r="Z54" s="151"/>
      <c r="AA54" s="151"/>
    </row>
    <row r="55" spans="1:27" ht="15" customHeight="1" x14ac:dyDescent="0.25">
      <c r="A55" s="1"/>
      <c r="B55" s="155"/>
      <c r="C55" s="155"/>
      <c r="D55" s="155"/>
      <c r="E55" s="155"/>
      <c r="F55" s="155"/>
      <c r="G55" s="155"/>
      <c r="H55" s="155"/>
      <c r="I55" s="155"/>
      <c r="J55" s="155"/>
      <c r="K55" s="155"/>
      <c r="L55" s="155"/>
      <c r="M55" s="155"/>
      <c r="O55" s="151"/>
      <c r="P55" s="151"/>
      <c r="Q55" s="151"/>
      <c r="R55" s="151"/>
      <c r="S55" s="151"/>
      <c r="T55" s="151"/>
      <c r="U55" s="151"/>
      <c r="V55" s="151"/>
      <c r="W55" s="151"/>
      <c r="X55" s="151"/>
      <c r="Y55" s="151"/>
      <c r="Z55" s="151"/>
      <c r="AA55" s="151"/>
    </row>
    <row r="56" spans="1:27" ht="20.100000000000001" customHeight="1" x14ac:dyDescent="0.25">
      <c r="A56" s="1"/>
      <c r="B56" s="155"/>
      <c r="C56" s="155"/>
      <c r="D56" s="155"/>
      <c r="E56" s="155"/>
      <c r="F56" s="155"/>
      <c r="G56" s="155"/>
      <c r="H56" s="155"/>
      <c r="I56" s="155"/>
      <c r="J56" s="155"/>
      <c r="K56" s="155"/>
      <c r="L56" s="155"/>
      <c r="M56" s="155"/>
      <c r="O56" s="151"/>
      <c r="P56" s="151"/>
      <c r="Q56" s="151"/>
      <c r="R56" s="151"/>
      <c r="S56" s="151"/>
      <c r="T56" s="151"/>
      <c r="U56" s="151"/>
      <c r="V56" s="151"/>
      <c r="W56" s="151"/>
      <c r="X56" s="151"/>
      <c r="Y56" s="151"/>
      <c r="Z56" s="151"/>
      <c r="AA56" s="151"/>
    </row>
    <row r="57" spans="1:27" ht="15.75" x14ac:dyDescent="0.25">
      <c r="A57" s="1" t="s">
        <v>9</v>
      </c>
      <c r="B57" s="143" t="str">
        <f>IF(Worksheet!L3="","",Worksheet!L3)</f>
        <v>Used</v>
      </c>
      <c r="C57" s="143"/>
    </row>
    <row r="58" spans="1:27" ht="15.75" x14ac:dyDescent="0.25">
      <c r="A58" s="1" t="s">
        <v>111</v>
      </c>
      <c r="B58" s="143" t="str">
        <f>Worksheet!O47</f>
        <v/>
      </c>
      <c r="C58" s="143"/>
    </row>
    <row r="59" spans="1:27" ht="12" customHeight="1" x14ac:dyDescent="0.25">
      <c r="A59" s="153" t="str">
        <f>IF(Worksheet!D11="YES",'CERT AL'!A87,"")</f>
        <v/>
      </c>
      <c r="B59" s="153"/>
      <c r="C59" s="153"/>
      <c r="D59" s="153"/>
      <c r="E59" s="153"/>
      <c r="F59" s="153"/>
      <c r="G59" s="153"/>
      <c r="H59" s="153"/>
      <c r="I59" s="153"/>
      <c r="J59" s="153"/>
      <c r="K59" s="153"/>
      <c r="L59" s="153"/>
      <c r="M59" s="153"/>
    </row>
    <row r="60" spans="1:27" ht="12" customHeight="1" x14ac:dyDescent="0.25">
      <c r="A60" s="153"/>
      <c r="B60" s="153"/>
      <c r="C60" s="153"/>
      <c r="D60" s="153"/>
      <c r="E60" s="153"/>
      <c r="F60" s="153"/>
      <c r="G60" s="153"/>
      <c r="H60" s="153"/>
      <c r="I60" s="153"/>
      <c r="J60" s="153"/>
      <c r="K60" s="153"/>
      <c r="L60" s="153"/>
      <c r="M60" s="153"/>
    </row>
    <row r="61" spans="1:27" x14ac:dyDescent="0.25">
      <c r="A61" s="122" t="s">
        <v>100</v>
      </c>
      <c r="B61" s="122"/>
      <c r="C61" s="122"/>
      <c r="D61" s="122"/>
      <c r="E61" s="122"/>
      <c r="F61" s="122"/>
      <c r="G61" s="122"/>
      <c r="H61" s="122"/>
      <c r="I61" s="122"/>
      <c r="J61" s="122"/>
      <c r="K61" s="122"/>
      <c r="L61" s="122"/>
      <c r="M61" s="122"/>
    </row>
    <row r="65" spans="1:16" x14ac:dyDescent="0.25">
      <c r="A65" s="65" t="s">
        <v>112</v>
      </c>
    </row>
    <row r="66" spans="1:16" x14ac:dyDescent="0.25">
      <c r="A66" s="152" t="s">
        <v>1145</v>
      </c>
      <c r="B66" s="152"/>
      <c r="C66" s="152"/>
      <c r="D66" s="152"/>
      <c r="E66" s="152"/>
      <c r="F66" s="152"/>
      <c r="G66" s="152"/>
      <c r="H66" s="152"/>
      <c r="I66" s="152"/>
      <c r="J66" s="152"/>
      <c r="K66" s="152"/>
      <c r="L66" s="152"/>
      <c r="M66" s="152"/>
      <c r="N66" s="152"/>
      <c r="O66" s="152"/>
    </row>
    <row r="67" spans="1:16" x14ac:dyDescent="0.25">
      <c r="A67" s="152"/>
      <c r="B67" s="152"/>
      <c r="C67" s="152"/>
      <c r="D67" s="152"/>
      <c r="E67" s="152"/>
      <c r="F67" s="152"/>
      <c r="G67" s="152"/>
      <c r="H67" s="152"/>
      <c r="I67" s="152"/>
      <c r="J67" s="152"/>
      <c r="K67" s="152"/>
      <c r="L67" s="152"/>
      <c r="M67" s="152"/>
      <c r="N67" s="152"/>
      <c r="O67" s="152"/>
    </row>
    <row r="68" spans="1:16" x14ac:dyDescent="0.25">
      <c r="A68" s="152"/>
      <c r="B68" s="152"/>
      <c r="C68" s="152"/>
      <c r="D68" s="152"/>
      <c r="E68" s="152"/>
      <c r="F68" s="152"/>
      <c r="G68" s="152"/>
      <c r="H68" s="152"/>
      <c r="I68" s="152"/>
      <c r="J68" s="152"/>
      <c r="K68" s="152"/>
      <c r="L68" s="152"/>
      <c r="M68" s="152"/>
      <c r="N68" s="152"/>
      <c r="O68" s="152"/>
    </row>
    <row r="69" spans="1:16" x14ac:dyDescent="0.25">
      <c r="A69" s="152"/>
      <c r="B69" s="152"/>
      <c r="C69" s="152"/>
      <c r="D69" s="152"/>
      <c r="E69" s="152"/>
      <c r="F69" s="152"/>
      <c r="G69" s="152"/>
      <c r="H69" s="152"/>
      <c r="I69" s="152"/>
      <c r="J69" s="152"/>
      <c r="K69" s="152"/>
      <c r="L69" s="152"/>
      <c r="M69" s="152"/>
      <c r="N69" s="152"/>
      <c r="O69" s="152"/>
    </row>
    <row r="70" spans="1:16" x14ac:dyDescent="0.25">
      <c r="A70" s="152"/>
      <c r="B70" s="152"/>
      <c r="C70" s="152"/>
      <c r="D70" s="152"/>
      <c r="E70" s="152"/>
      <c r="F70" s="152"/>
      <c r="G70" s="152"/>
      <c r="H70" s="152"/>
      <c r="I70" s="152"/>
      <c r="J70" s="152"/>
      <c r="K70" s="152"/>
      <c r="L70" s="152"/>
      <c r="M70" s="152"/>
      <c r="N70" s="152"/>
      <c r="O70" s="152"/>
    </row>
    <row r="71" spans="1:16" x14ac:dyDescent="0.25">
      <c r="A71" s="152"/>
      <c r="B71" s="152"/>
      <c r="C71" s="152"/>
      <c r="D71" s="152"/>
      <c r="E71" s="152"/>
      <c r="F71" s="152"/>
      <c r="G71" s="152"/>
      <c r="H71" s="152"/>
      <c r="I71" s="152"/>
      <c r="J71" s="152"/>
      <c r="K71" s="152"/>
      <c r="L71" s="152"/>
      <c r="M71" s="152"/>
      <c r="N71" s="152"/>
      <c r="O71" s="152"/>
    </row>
    <row r="72" spans="1:16" x14ac:dyDescent="0.25">
      <c r="A72" s="152"/>
      <c r="B72" s="152"/>
      <c r="C72" s="152"/>
      <c r="D72" s="152"/>
      <c r="E72" s="152"/>
      <c r="F72" s="152"/>
      <c r="G72" s="152"/>
      <c r="H72" s="152"/>
      <c r="I72" s="152"/>
      <c r="J72" s="152"/>
      <c r="K72" s="152"/>
      <c r="L72" s="152"/>
      <c r="M72" s="152"/>
      <c r="N72" s="152"/>
      <c r="O72" s="152"/>
    </row>
    <row r="73" spans="1:16" x14ac:dyDescent="0.25">
      <c r="A73" s="152"/>
      <c r="B73" s="152"/>
      <c r="C73" s="152"/>
      <c r="D73" s="152"/>
      <c r="E73" s="152"/>
      <c r="F73" s="152"/>
      <c r="G73" s="152"/>
      <c r="H73" s="152"/>
      <c r="I73" s="152"/>
      <c r="J73" s="152"/>
      <c r="K73" s="152"/>
      <c r="L73" s="152"/>
      <c r="M73" s="152"/>
      <c r="N73" s="152"/>
      <c r="O73" s="152"/>
    </row>
    <row r="76" spans="1:16" x14ac:dyDescent="0.25">
      <c r="A76" s="65" t="s">
        <v>113</v>
      </c>
    </row>
    <row r="77" spans="1:16" ht="15" customHeight="1" x14ac:dyDescent="0.25">
      <c r="A77" s="152" t="s">
        <v>1146</v>
      </c>
      <c r="B77" s="152"/>
      <c r="C77" s="152"/>
      <c r="D77" s="152"/>
      <c r="E77" s="152"/>
      <c r="F77" s="152"/>
      <c r="G77" s="152"/>
      <c r="H77" s="152"/>
      <c r="I77" s="152"/>
      <c r="J77" s="152"/>
      <c r="K77" s="152"/>
      <c r="L77" s="152"/>
      <c r="M77" s="152"/>
      <c r="N77" s="152"/>
      <c r="O77" s="152"/>
      <c r="P77" s="24"/>
    </row>
    <row r="78" spans="1:16" x14ac:dyDescent="0.25">
      <c r="A78" s="152"/>
      <c r="B78" s="152"/>
      <c r="C78" s="152"/>
      <c r="D78" s="152"/>
      <c r="E78" s="152"/>
      <c r="F78" s="152"/>
      <c r="G78" s="152"/>
      <c r="H78" s="152"/>
      <c r="I78" s="152"/>
      <c r="J78" s="152"/>
      <c r="K78" s="152"/>
      <c r="L78" s="152"/>
      <c r="M78" s="152"/>
      <c r="N78" s="152"/>
      <c r="O78" s="152"/>
      <c r="P78" s="24"/>
    </row>
    <row r="79" spans="1:16" x14ac:dyDescent="0.25">
      <c r="A79" s="152"/>
      <c r="B79" s="152"/>
      <c r="C79" s="152"/>
      <c r="D79" s="152"/>
      <c r="E79" s="152"/>
      <c r="F79" s="152"/>
      <c r="G79" s="152"/>
      <c r="H79" s="152"/>
      <c r="I79" s="152"/>
      <c r="J79" s="152"/>
      <c r="K79" s="152"/>
      <c r="L79" s="152"/>
      <c r="M79" s="152"/>
      <c r="N79" s="152"/>
      <c r="O79" s="152"/>
      <c r="P79" s="24"/>
    </row>
    <row r="80" spans="1:16" x14ac:dyDescent="0.25">
      <c r="A80" s="152"/>
      <c r="B80" s="152"/>
      <c r="C80" s="152"/>
      <c r="D80" s="152"/>
      <c r="E80" s="152"/>
      <c r="F80" s="152"/>
      <c r="G80" s="152"/>
      <c r="H80" s="152"/>
      <c r="I80" s="152"/>
      <c r="J80" s="152"/>
      <c r="K80" s="152"/>
      <c r="L80" s="152"/>
      <c r="M80" s="152"/>
      <c r="N80" s="152"/>
      <c r="O80" s="152"/>
      <c r="P80" s="24"/>
    </row>
    <row r="81" spans="1:16" x14ac:dyDescent="0.25">
      <c r="A81" s="152"/>
      <c r="B81" s="152"/>
      <c r="C81" s="152"/>
      <c r="D81" s="152"/>
      <c r="E81" s="152"/>
      <c r="F81" s="152"/>
      <c r="G81" s="152"/>
      <c r="H81" s="152"/>
      <c r="I81" s="152"/>
      <c r="J81" s="152"/>
      <c r="K81" s="152"/>
      <c r="L81" s="152"/>
      <c r="M81" s="152"/>
      <c r="N81" s="152"/>
      <c r="O81" s="152"/>
      <c r="P81" s="24"/>
    </row>
    <row r="82" spans="1:16" x14ac:dyDescent="0.25">
      <c r="A82" s="152"/>
      <c r="B82" s="152"/>
      <c r="C82" s="152"/>
      <c r="D82" s="152"/>
      <c r="E82" s="152"/>
      <c r="F82" s="152"/>
      <c r="G82" s="152"/>
      <c r="H82" s="152"/>
      <c r="I82" s="152"/>
      <c r="J82" s="152"/>
      <c r="K82" s="152"/>
      <c r="L82" s="152"/>
      <c r="M82" s="152"/>
      <c r="N82" s="152"/>
      <c r="O82" s="152"/>
      <c r="P82" s="24"/>
    </row>
    <row r="83" spans="1:16" x14ac:dyDescent="0.25">
      <c r="A83" s="152"/>
      <c r="B83" s="152"/>
      <c r="C83" s="152"/>
      <c r="D83" s="152"/>
      <c r="E83" s="152"/>
      <c r="F83" s="152"/>
      <c r="G83" s="152"/>
      <c r="H83" s="152"/>
      <c r="I83" s="152"/>
      <c r="J83" s="152"/>
      <c r="K83" s="152"/>
      <c r="L83" s="152"/>
      <c r="M83" s="152"/>
      <c r="N83" s="152"/>
      <c r="O83" s="152"/>
      <c r="P83" s="24"/>
    </row>
    <row r="84" spans="1:16" x14ac:dyDescent="0.25">
      <c r="A84" s="152"/>
      <c r="B84" s="152"/>
      <c r="C84" s="152"/>
      <c r="D84" s="152"/>
      <c r="E84" s="152"/>
      <c r="F84" s="152"/>
      <c r="G84" s="152"/>
      <c r="H84" s="152"/>
      <c r="I84" s="152"/>
      <c r="J84" s="152"/>
      <c r="K84" s="152"/>
      <c r="L84" s="152"/>
      <c r="M84" s="152"/>
      <c r="N84" s="152"/>
      <c r="O84" s="152"/>
      <c r="P84" s="24"/>
    </row>
    <row r="86" spans="1:16" x14ac:dyDescent="0.25">
      <c r="A86" s="65" t="s">
        <v>123</v>
      </c>
    </row>
    <row r="87" spans="1:16" x14ac:dyDescent="0.25">
      <c r="A87" s="152" t="s">
        <v>124</v>
      </c>
      <c r="B87" s="152"/>
      <c r="C87" s="152"/>
      <c r="D87" s="152"/>
      <c r="E87" s="152"/>
      <c r="F87" s="152"/>
      <c r="G87" s="152"/>
      <c r="H87" s="152"/>
      <c r="I87" s="152"/>
      <c r="J87" s="152"/>
      <c r="K87" s="152"/>
      <c r="L87" s="152"/>
      <c r="M87" s="152"/>
      <c r="N87" s="152"/>
      <c r="O87" s="152"/>
    </row>
    <row r="88" spans="1:16" x14ac:dyDescent="0.25">
      <c r="A88" s="152"/>
      <c r="B88" s="152"/>
      <c r="C88" s="152"/>
      <c r="D88" s="152"/>
      <c r="E88" s="152"/>
      <c r="F88" s="152"/>
      <c r="G88" s="152"/>
      <c r="H88" s="152"/>
      <c r="I88" s="152"/>
      <c r="J88" s="152"/>
      <c r="K88" s="152"/>
      <c r="L88" s="152"/>
      <c r="M88" s="152"/>
      <c r="N88" s="152"/>
      <c r="O88" s="152"/>
    </row>
  </sheetData>
  <sheetProtection algorithmName="SHA-512" hashValue="QITagOvb2yXaEeIFD7Le1TDubTxBVUEaErVP32bXbYndc2UQhXy+HAKYIFLJio1bI3WO61g95GHYa03/ArY9Ng==" saltValue="tkugrx/A/pZxyI5jPM1irQ=="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24"/>
  <sheetViews>
    <sheetView workbookViewId="0">
      <selection activeCell="G19" sqref="G19"/>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108" t="s">
        <v>137</v>
      </c>
      <c r="D2" s="108" t="s">
        <v>138</v>
      </c>
      <c r="H2" s="108" t="s">
        <v>139</v>
      </c>
      <c r="I2" s="108" t="s">
        <v>140</v>
      </c>
      <c r="J2" s="156" t="s">
        <v>1117</v>
      </c>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row>
    <row r="3" spans="2:35" x14ac:dyDescent="0.25">
      <c r="B3" t="s">
        <v>141</v>
      </c>
      <c r="D3" t="s">
        <v>142</v>
      </c>
      <c r="H3" s="25" t="s">
        <v>114</v>
      </c>
      <c r="I3" t="s">
        <v>143</v>
      </c>
      <c r="J3" t="s">
        <v>110</v>
      </c>
    </row>
    <row r="4" spans="2:35" ht="15" customHeight="1" x14ac:dyDescent="0.25">
      <c r="B4" t="s">
        <v>144</v>
      </c>
      <c r="D4" t="s">
        <v>10</v>
      </c>
      <c r="H4" t="s">
        <v>115</v>
      </c>
      <c r="I4" t="s">
        <v>143</v>
      </c>
      <c r="J4" t="s">
        <v>116</v>
      </c>
    </row>
    <row r="5" spans="2:35" x14ac:dyDescent="0.25">
      <c r="B5" t="s">
        <v>145</v>
      </c>
      <c r="H5" t="s">
        <v>117</v>
      </c>
      <c r="I5" t="s">
        <v>143</v>
      </c>
      <c r="J5" t="s">
        <v>118</v>
      </c>
    </row>
    <row r="6" spans="2:35" x14ac:dyDescent="0.25">
      <c r="H6" t="s">
        <v>119</v>
      </c>
      <c r="I6" t="s">
        <v>143</v>
      </c>
      <c r="J6" t="s">
        <v>120</v>
      </c>
    </row>
    <row r="7" spans="2:35" x14ac:dyDescent="0.25">
      <c r="H7" t="s">
        <v>121</v>
      </c>
      <c r="I7" t="s">
        <v>146</v>
      </c>
      <c r="J7" t="s">
        <v>122</v>
      </c>
    </row>
    <row r="8" spans="2:35" x14ac:dyDescent="0.25">
      <c r="H8" t="s">
        <v>147</v>
      </c>
      <c r="I8" t="s">
        <v>143</v>
      </c>
      <c r="J8" t="s">
        <v>125</v>
      </c>
    </row>
    <row r="10" spans="2:35" x14ac:dyDescent="0.25">
      <c r="B10" s="108" t="s">
        <v>148</v>
      </c>
    </row>
    <row r="12" spans="2:35" x14ac:dyDescent="0.25">
      <c r="B12" t="str" cm="1">
        <f t="array" ref="B12:B24">Thresholds[Scale]</f>
        <v>HRA</v>
      </c>
      <c r="H12" s="108" t="s">
        <v>149</v>
      </c>
      <c r="I12" s="108" t="s">
        <v>150</v>
      </c>
      <c r="J12" s="156" t="s">
        <v>1116</v>
      </c>
      <c r="K12" s="156"/>
      <c r="L12" s="156"/>
      <c r="M12" s="156"/>
      <c r="N12" s="156"/>
      <c r="O12" s="156"/>
      <c r="P12" s="156"/>
      <c r="Q12" s="156"/>
      <c r="R12" s="156"/>
      <c r="S12" s="156"/>
      <c r="T12" s="156"/>
      <c r="U12" s="156"/>
      <c r="V12" s="156"/>
      <c r="W12" s="156"/>
      <c r="X12" s="156"/>
      <c r="Y12" s="156"/>
      <c r="Z12" s="156"/>
      <c r="AA12" s="156"/>
      <c r="AB12" s="156"/>
      <c r="AC12" s="156"/>
    </row>
    <row r="13" spans="2:35" x14ac:dyDescent="0.25">
      <c r="B13" t="str">
        <v>HRBW</v>
      </c>
      <c r="H13" t="s">
        <v>129</v>
      </c>
      <c r="I13" t="s">
        <v>151</v>
      </c>
      <c r="J13" t="s">
        <v>128</v>
      </c>
    </row>
    <row r="14" spans="2:35" x14ac:dyDescent="0.25">
      <c r="B14" t="str">
        <v>HRC</v>
      </c>
      <c r="H14" t="s">
        <v>130</v>
      </c>
      <c r="I14" t="s">
        <v>146</v>
      </c>
      <c r="J14" t="s">
        <v>131</v>
      </c>
    </row>
    <row r="15" spans="2:35" x14ac:dyDescent="0.25">
      <c r="B15" t="str">
        <v>HREW</v>
      </c>
      <c r="H15" t="s">
        <v>132</v>
      </c>
      <c r="I15" t="s">
        <v>151</v>
      </c>
      <c r="J15" t="s">
        <v>133</v>
      </c>
    </row>
    <row r="16" spans="2:35" x14ac:dyDescent="0.25">
      <c r="B16" t="str">
        <v>HRFW</v>
      </c>
      <c r="I16" t="s">
        <v>152</v>
      </c>
    </row>
    <row r="17" spans="2:14" x14ac:dyDescent="0.25">
      <c r="B17" t="str">
        <v>HRHW</v>
      </c>
    </row>
    <row r="18" spans="2:14" x14ac:dyDescent="0.25">
      <c r="B18" t="str">
        <v>HR15N</v>
      </c>
      <c r="D18" t="s">
        <v>153</v>
      </c>
      <c r="I18" t="s">
        <v>1118</v>
      </c>
    </row>
    <row r="19" spans="2:14" ht="15.75" thickBot="1" x14ac:dyDescent="0.3">
      <c r="B19" t="str">
        <v>HR30N</v>
      </c>
      <c r="D19" s="86" t="s">
        <v>154</v>
      </c>
      <c r="E19" s="87" t="s">
        <v>155</v>
      </c>
      <c r="F19" s="86" t="s">
        <v>156</v>
      </c>
      <c r="I19" s="85" t="s">
        <v>158</v>
      </c>
      <c r="J19" s="85" t="s">
        <v>159</v>
      </c>
      <c r="K19" s="85" t="s">
        <v>160</v>
      </c>
      <c r="L19" s="85" t="s">
        <v>161</v>
      </c>
      <c r="N19" s="88" t="s">
        <v>162</v>
      </c>
    </row>
    <row r="20" spans="2:14" ht="15.75" thickTop="1" x14ac:dyDescent="0.25">
      <c r="B20" t="str">
        <v>HR45N</v>
      </c>
      <c r="D20" t="str" cm="1">
        <f t="array" ref="D20">_xlfn._xlws.SORT(_xlfn.UNIQUE(_xlfn._xlws.FILTER(Table6[categoryname],Table6[categoryname FILTER],"")))</f>
        <v/>
      </c>
      <c r="N20" t="e">
        <f>VLOOKUP(Worksheet!$D$4,Table1[],7,FALSE)</f>
        <v>#N/A</v>
      </c>
    </row>
    <row r="21" spans="2:14" x14ac:dyDescent="0.25">
      <c r="B21" t="str">
        <v>HR15TW</v>
      </c>
      <c r="E21" t="str" cm="1">
        <f t="array" ref="E21">_xlfn._xlws.SORT(_xlfn.UNIQUE(_xlfn._xlws.FILTER(Table6[Manufacturer],Table6[Manufacturer FILTER],"")))</f>
        <v/>
      </c>
      <c r="F21" t="str" cm="1">
        <f t="array" ref="F21">_xlfn._xlws.SORT(_xlfn.UNIQUE(_xlfn._xlws.FILTER(Table6[Model No.],Table6[Model FILTER],"")))</f>
        <v/>
      </c>
      <c r="I21" t="str" cm="1">
        <f t="array" ref="I21">IF(AND(Table6[companyid FILTER]),_xlfn._xlws.SORT(_xlfn.UNIQUE(Table1[companyname])),_xlfn._xlws.SORT(_xlfn.UNIQUE(_xlfn._xlws.FILTER(Table1[companyname],Table1[FILTER],""))))</f>
        <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row>
    <row r="23" spans="2:14" x14ac:dyDescent="0.25">
      <c r="B23" t="str">
        <v>HR45TW</v>
      </c>
    </row>
    <row r="24" spans="2:14" x14ac:dyDescent="0.25">
      <c r="B24" t="str">
        <v>HRMW</v>
      </c>
    </row>
  </sheetData>
  <sheetProtection algorithmName="SHA-512" hashValue="SFyYF0E33k2IVziaJ6vO/0q4e7WL9sN7Cdjb5YlMNq5OYIeUDSnI1Z4y7lzVM7J7lHYzleBDvmgOHhV3PkAgrw==" saltValue="a7F6jC8pi1sIXzhkigQwZw=="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163</v>
      </c>
      <c r="B1" t="s">
        <v>164</v>
      </c>
      <c r="C1" t="s">
        <v>165</v>
      </c>
      <c r="D1" t="s">
        <v>166</v>
      </c>
      <c r="E1" t="s">
        <v>167</v>
      </c>
      <c r="F1" t="s">
        <v>168</v>
      </c>
      <c r="G1" t="s">
        <v>169</v>
      </c>
      <c r="H1" t="s">
        <v>170</v>
      </c>
      <c r="I1" t="s">
        <v>171</v>
      </c>
      <c r="J1" t="s">
        <v>172</v>
      </c>
    </row>
    <row r="2" spans="1:10" x14ac:dyDescent="0.25">
      <c r="A2" t="s">
        <v>173</v>
      </c>
      <c r="B2" s="31" t="s">
        <v>174</v>
      </c>
      <c r="C2" s="32">
        <v>0.1</v>
      </c>
      <c r="D2" s="32">
        <v>0.31</v>
      </c>
      <c r="E2" s="32">
        <v>0</v>
      </c>
      <c r="F2" s="32">
        <v>0.28600278396116963</v>
      </c>
      <c r="G2" s="32">
        <v>0</v>
      </c>
      <c r="H2" s="32">
        <v>1</v>
      </c>
      <c r="I2" s="32" t="s">
        <v>175</v>
      </c>
      <c r="J2" s="32" t="str">
        <f>IF(Table3[[#This Row],[Item_C]]="Rockwell Indirect",
    IF(ISNUMBER(SEARCH("≥", Table3[[#This Row],[Main Name]])), "HIGH",
        IF(ISNUMBER(SEARCH("≤", Table3[[#This Row],[Main Name]])), "MID", "LOW")),
    "")</f>
        <v>LOW</v>
      </c>
    </row>
    <row r="3" spans="1:10" x14ac:dyDescent="0.25">
      <c r="A3" t="s">
        <v>176</v>
      </c>
      <c r="B3" s="33" t="s">
        <v>174</v>
      </c>
      <c r="C3">
        <v>0.1</v>
      </c>
      <c r="D3">
        <v>0.32</v>
      </c>
      <c r="E3">
        <v>0</v>
      </c>
      <c r="F3">
        <v>0.29579991959691171</v>
      </c>
      <c r="G3">
        <v>0</v>
      </c>
      <c r="H3">
        <v>1</v>
      </c>
      <c r="I3" t="s">
        <v>175</v>
      </c>
      <c r="J3" t="str">
        <f>IF(Table3[[#This Row],[Item_C]]="Rockwell Indirect",
    IF(ISNUMBER(SEARCH("≥", Table3[[#This Row],[Main Name]])), "HIGH",
        IF(ISNUMBER(SEARCH("≤", Table3[[#This Row],[Main Name]])), "MID", "LOW")),
    "")</f>
        <v>MID</v>
      </c>
    </row>
    <row r="4" spans="1:10" ht="15.75" thickBot="1" x14ac:dyDescent="0.3">
      <c r="A4" t="s">
        <v>177</v>
      </c>
      <c r="B4" s="33" t="s">
        <v>174</v>
      </c>
      <c r="C4">
        <v>0.1</v>
      </c>
      <c r="D4">
        <v>0.2</v>
      </c>
      <c r="E4">
        <v>0</v>
      </c>
      <c r="F4">
        <v>0.17971530940223054</v>
      </c>
      <c r="G4">
        <v>0</v>
      </c>
      <c r="H4">
        <v>1</v>
      </c>
      <c r="I4" t="s">
        <v>175</v>
      </c>
      <c r="J4" t="str">
        <f>IF(Table3[[#This Row],[Item_C]]="Rockwell Indirect",
    IF(ISNUMBER(SEARCH("≥", Table3[[#This Row],[Main Name]])), "HIGH",
        IF(ISNUMBER(SEARCH("≤", Table3[[#This Row],[Main Name]])), "MID", "LOW")),
    "")</f>
        <v>HIGH</v>
      </c>
    </row>
    <row r="5" spans="1:10" x14ac:dyDescent="0.25">
      <c r="A5" t="s">
        <v>178</v>
      </c>
      <c r="B5" s="33" t="s">
        <v>174</v>
      </c>
      <c r="C5">
        <v>0.1</v>
      </c>
      <c r="D5">
        <v>0.36</v>
      </c>
      <c r="E5">
        <v>0</v>
      </c>
      <c r="F5">
        <v>0.33510832940041863</v>
      </c>
      <c r="G5">
        <v>0</v>
      </c>
      <c r="H5">
        <v>1</v>
      </c>
      <c r="I5" t="s">
        <v>179</v>
      </c>
      <c r="J5" s="32" t="str">
        <f>IF(Table3[[#This Row],[Item_C]]="Rockwell Indirect",
    IF(ISNUMBER(SEARCH("≥", Table3[[#This Row],[Main Name]])), "HIGH",
        IF(ISNUMBER(SEARCH("≤", Table3[[#This Row],[Main Name]])), "MID", "LOW")),
    "")</f>
        <v>LOW</v>
      </c>
    </row>
    <row r="6" spans="1:10" x14ac:dyDescent="0.25">
      <c r="A6" t="s">
        <v>180</v>
      </c>
      <c r="B6" s="33" t="s">
        <v>174</v>
      </c>
      <c r="C6">
        <v>0.1</v>
      </c>
      <c r="D6">
        <v>0.26</v>
      </c>
      <c r="E6">
        <v>0</v>
      </c>
      <c r="F6">
        <v>0.24697690668064382</v>
      </c>
      <c r="G6">
        <v>0</v>
      </c>
      <c r="H6">
        <v>1</v>
      </c>
      <c r="I6" t="s">
        <v>179</v>
      </c>
      <c r="J6" t="str">
        <f>IF(Table3[[#This Row],[Item_C]]="Rockwell Indirect",
    IF(ISNUMBER(SEARCH("≥", Table3[[#This Row],[Main Name]])), "HIGH",
        IF(ISNUMBER(SEARCH("≤", Table3[[#This Row],[Main Name]])), "MID", "LOW")),
    "")</f>
        <v>MID</v>
      </c>
    </row>
    <row r="7" spans="1:10" ht="15.75" thickBot="1" x14ac:dyDescent="0.3">
      <c r="A7" t="s">
        <v>181</v>
      </c>
      <c r="B7" s="33" t="s">
        <v>174</v>
      </c>
      <c r="C7">
        <v>0.1</v>
      </c>
      <c r="D7">
        <v>0.39</v>
      </c>
      <c r="E7">
        <v>0</v>
      </c>
      <c r="F7">
        <v>0.37456320218828149</v>
      </c>
      <c r="G7">
        <v>0</v>
      </c>
      <c r="H7">
        <v>1</v>
      </c>
      <c r="I7" t="s">
        <v>179</v>
      </c>
      <c r="J7" t="str">
        <f>IF(Table3[[#This Row],[Item_C]]="Rockwell Indirect",
    IF(ISNUMBER(SEARCH("≥", Table3[[#This Row],[Main Name]])), "HIGH",
        IF(ISNUMBER(SEARCH("≤", Table3[[#This Row],[Main Name]])), "MID", "LOW")),
    "")</f>
        <v>HIGH</v>
      </c>
    </row>
    <row r="8" spans="1:10" x14ac:dyDescent="0.25">
      <c r="A8" t="s">
        <v>182</v>
      </c>
      <c r="B8" s="33" t="s">
        <v>174</v>
      </c>
      <c r="C8">
        <v>0.1</v>
      </c>
      <c r="D8">
        <v>0.39</v>
      </c>
      <c r="E8">
        <v>0</v>
      </c>
      <c r="F8">
        <v>0.37456320218828149</v>
      </c>
      <c r="G8">
        <v>0</v>
      </c>
      <c r="H8">
        <v>1</v>
      </c>
      <c r="I8" t="s">
        <v>183</v>
      </c>
      <c r="J8" s="32" t="str">
        <f>IF(Table3[[#This Row],[Item_C]]="Rockwell Indirect",
    IF(ISNUMBER(SEARCH("≥", Table3[[#This Row],[Main Name]])), "HIGH",
        IF(ISNUMBER(SEARCH("≤", Table3[[#This Row],[Main Name]])), "MID", "LOW")),
    "")</f>
        <v>LOW</v>
      </c>
    </row>
    <row r="9" spans="1:10" x14ac:dyDescent="0.25">
      <c r="A9" t="s">
        <v>184</v>
      </c>
      <c r="B9" s="33" t="s">
        <v>174</v>
      </c>
      <c r="C9">
        <v>0.1</v>
      </c>
      <c r="D9">
        <v>0.34</v>
      </c>
      <c r="E9">
        <v>0</v>
      </c>
      <c r="F9">
        <v>0.32526541844090873</v>
      </c>
      <c r="G9">
        <v>0</v>
      </c>
      <c r="H9">
        <v>1</v>
      </c>
      <c r="I9" t="s">
        <v>183</v>
      </c>
      <c r="J9" t="str">
        <f>IF(Table3[[#This Row],[Item_C]]="Rockwell Indirect",
    IF(ISNUMBER(SEARCH("≥", Table3[[#This Row],[Main Name]])), "HIGH",
        IF(ISNUMBER(SEARCH("≤", Table3[[#This Row],[Main Name]])), "MID", "LOW")),
    "")</f>
        <v>MID</v>
      </c>
    </row>
    <row r="10" spans="1:10" ht="15.75" thickBot="1" x14ac:dyDescent="0.3">
      <c r="A10" t="s">
        <v>185</v>
      </c>
      <c r="B10" s="33" t="s">
        <v>174</v>
      </c>
      <c r="C10">
        <v>0.1</v>
      </c>
      <c r="D10">
        <v>0.32</v>
      </c>
      <c r="E10">
        <v>0</v>
      </c>
      <c r="F10">
        <v>0.31543238963926873</v>
      </c>
      <c r="G10">
        <v>0</v>
      </c>
      <c r="H10">
        <v>1</v>
      </c>
      <c r="I10" t="s">
        <v>183</v>
      </c>
      <c r="J10" t="str">
        <f>IF(Table3[[#This Row],[Item_C]]="Rockwell Indirect",
    IF(ISNUMBER(SEARCH("≥", Table3[[#This Row],[Main Name]])), "HIGH",
        IF(ISNUMBER(SEARCH("≤", Table3[[#This Row],[Main Name]])), "MID", "LOW")),
    "")</f>
        <v>HIGH</v>
      </c>
    </row>
    <row r="11" spans="1:10" x14ac:dyDescent="0.25">
      <c r="A11" t="s">
        <v>186</v>
      </c>
      <c r="B11" s="33" t="s">
        <v>174</v>
      </c>
      <c r="C11">
        <v>0.1</v>
      </c>
      <c r="D11">
        <v>0.39</v>
      </c>
      <c r="E11">
        <v>0</v>
      </c>
      <c r="F11">
        <v>0.3646883497365106</v>
      </c>
      <c r="G11">
        <v>0</v>
      </c>
      <c r="H11">
        <v>1</v>
      </c>
      <c r="I11" t="s">
        <v>187</v>
      </c>
      <c r="J11" s="32" t="str">
        <f>IF(Table3[[#This Row],[Item_C]]="Rockwell Indirect",
    IF(ISNUMBER(SEARCH("≥", Table3[[#This Row],[Main Name]])), "HIGH",
        IF(ISNUMBER(SEARCH("≤", Table3[[#This Row],[Main Name]])), "MID", "LOW")),
    "")</f>
        <v>LOW</v>
      </c>
    </row>
    <row r="12" spans="1:10" x14ac:dyDescent="0.25">
      <c r="A12" t="s">
        <v>188</v>
      </c>
      <c r="B12" s="33" t="s">
        <v>174</v>
      </c>
      <c r="C12">
        <v>0.1</v>
      </c>
      <c r="D12">
        <v>0.49</v>
      </c>
      <c r="E12">
        <v>0</v>
      </c>
      <c r="F12">
        <v>0.48352620656334588</v>
      </c>
      <c r="G12">
        <v>0</v>
      </c>
      <c r="H12">
        <v>1</v>
      </c>
      <c r="I12" t="s">
        <v>187</v>
      </c>
      <c r="J12" t="str">
        <f>IF(Table3[[#This Row],[Item_C]]="Rockwell Indirect",
    IF(ISNUMBER(SEARCH("≥", Table3[[#This Row],[Main Name]])), "HIGH",
        IF(ISNUMBER(SEARCH("≤", Table3[[#This Row],[Main Name]])), "MID", "LOW")),
    "")</f>
        <v>MID</v>
      </c>
    </row>
    <row r="13" spans="1:10" ht="15.75" thickBot="1" x14ac:dyDescent="0.3">
      <c r="A13" t="s">
        <v>189</v>
      </c>
      <c r="B13" s="33" t="s">
        <v>174</v>
      </c>
      <c r="C13">
        <v>0.1</v>
      </c>
      <c r="D13">
        <v>0.49</v>
      </c>
      <c r="E13">
        <v>0</v>
      </c>
      <c r="F13">
        <v>0.48352620656334588</v>
      </c>
      <c r="G13">
        <v>0</v>
      </c>
      <c r="H13">
        <v>1</v>
      </c>
      <c r="I13" t="s">
        <v>187</v>
      </c>
      <c r="J13" t="str">
        <f>IF(Table3[[#This Row],[Item_C]]="Rockwell Indirect",
    IF(ISNUMBER(SEARCH("≥", Table3[[#This Row],[Main Name]])), "HIGH",
        IF(ISNUMBER(SEARCH("≤", Table3[[#This Row],[Main Name]])), "MID", "LOW")),
    "")</f>
        <v>HIGH</v>
      </c>
    </row>
    <row r="14" spans="1:10" x14ac:dyDescent="0.25">
      <c r="A14" t="s">
        <v>190</v>
      </c>
      <c r="B14" s="33" t="s">
        <v>174</v>
      </c>
      <c r="C14">
        <v>0.1</v>
      </c>
      <c r="D14">
        <v>0.28000000000000003</v>
      </c>
      <c r="E14">
        <v>0</v>
      </c>
      <c r="F14">
        <v>0.25670526374334329</v>
      </c>
      <c r="G14">
        <v>0</v>
      </c>
      <c r="H14">
        <v>1</v>
      </c>
      <c r="I14" t="s">
        <v>191</v>
      </c>
      <c r="J14" s="32" t="str">
        <f>IF(Table3[[#This Row],[Item_C]]="Rockwell Indirect",
    IF(ISNUMBER(SEARCH("≥", Table3[[#This Row],[Main Name]])), "HIGH",
        IF(ISNUMBER(SEARCH("≤", Table3[[#This Row],[Main Name]])), "MID", "LOW")),
    "")</f>
        <v>LOW</v>
      </c>
    </row>
    <row r="15" spans="1:10" x14ac:dyDescent="0.25">
      <c r="A15" t="s">
        <v>192</v>
      </c>
      <c r="B15" s="33" t="s">
        <v>174</v>
      </c>
      <c r="C15">
        <v>0.1</v>
      </c>
      <c r="D15">
        <v>0.47</v>
      </c>
      <c r="E15">
        <v>0</v>
      </c>
      <c r="F15">
        <v>0.4537593992784496</v>
      </c>
      <c r="G15">
        <v>0</v>
      </c>
      <c r="H15">
        <v>1</v>
      </c>
      <c r="I15" t="s">
        <v>191</v>
      </c>
      <c r="J15" t="str">
        <f>IF(Table3[[#This Row],[Item_C]]="Rockwell Indirect",
    IF(ISNUMBER(SEARCH("≥", Table3[[#This Row],[Main Name]])), "HIGH",
        IF(ISNUMBER(SEARCH("≤", Table3[[#This Row],[Main Name]])), "MID", "LOW")),
    "")</f>
        <v>MID</v>
      </c>
    </row>
    <row r="16" spans="1:10" ht="15.75" thickBot="1" x14ac:dyDescent="0.3">
      <c r="A16" t="s">
        <v>193</v>
      </c>
      <c r="B16" s="33" t="s">
        <v>174</v>
      </c>
      <c r="C16">
        <v>0.1</v>
      </c>
      <c r="D16">
        <v>0.45</v>
      </c>
      <c r="E16">
        <v>0</v>
      </c>
      <c r="F16">
        <v>0.44384410825597254</v>
      </c>
      <c r="G16">
        <v>0</v>
      </c>
      <c r="H16">
        <v>1</v>
      </c>
      <c r="I16" t="s">
        <v>191</v>
      </c>
      <c r="J16" t="str">
        <f>IF(Table3[[#This Row],[Item_C]]="Rockwell Indirect",
    IF(ISNUMBER(SEARCH("≥", Table3[[#This Row],[Main Name]])), "HIGH",
        IF(ISNUMBER(SEARCH("≤", Table3[[#This Row],[Main Name]])), "MID", "LOW")),
    "")</f>
        <v>HIGH</v>
      </c>
    </row>
    <row r="17" spans="1:10" x14ac:dyDescent="0.25">
      <c r="A17" t="s">
        <v>194</v>
      </c>
      <c r="B17" s="33" t="s">
        <v>174</v>
      </c>
      <c r="C17">
        <v>0.1</v>
      </c>
      <c r="D17">
        <v>0.45</v>
      </c>
      <c r="E17">
        <v>0</v>
      </c>
      <c r="F17">
        <v>0.44384410825597254</v>
      </c>
      <c r="G17">
        <v>0</v>
      </c>
      <c r="H17">
        <v>1</v>
      </c>
      <c r="I17" t="s">
        <v>195</v>
      </c>
      <c r="J17" s="32" t="str">
        <f>IF(Table3[[#This Row],[Item_C]]="Rockwell Indirect",
    IF(ISNUMBER(SEARCH("≥", Table3[[#This Row],[Main Name]])), "HIGH",
        IF(ISNUMBER(SEARCH("≤", Table3[[#This Row],[Main Name]])), "MID", "LOW")),
    "")</f>
        <v>LOW</v>
      </c>
    </row>
    <row r="18" spans="1:10" ht="15.75" thickBot="1" x14ac:dyDescent="0.3">
      <c r="A18" t="s">
        <v>196</v>
      </c>
      <c r="B18" s="33" t="s">
        <v>174</v>
      </c>
      <c r="C18">
        <v>0.1</v>
      </c>
      <c r="D18">
        <v>0.36</v>
      </c>
      <c r="E18">
        <v>0</v>
      </c>
      <c r="F18">
        <v>0.35482050734637566</v>
      </c>
      <c r="G18">
        <v>0</v>
      </c>
      <c r="H18">
        <v>1</v>
      </c>
      <c r="I18" t="s">
        <v>195</v>
      </c>
      <c r="J18" t="str">
        <f>IF(Table3[[#This Row],[Item_C]]="Rockwell Indirect",
    IF(ISNUMBER(SEARCH("≥", Table3[[#This Row],[Main Name]])), "HIGH",
        IF(ISNUMBER(SEARCH("≤", Table3[[#This Row],[Main Name]])), "MID", "LOW")),
    "")</f>
        <v>HIGH</v>
      </c>
    </row>
    <row r="19" spans="1:10" x14ac:dyDescent="0.25">
      <c r="A19" t="s">
        <v>197</v>
      </c>
      <c r="B19" s="33" t="s">
        <v>174</v>
      </c>
      <c r="C19">
        <v>0.1</v>
      </c>
      <c r="D19">
        <v>0.42</v>
      </c>
      <c r="E19">
        <v>0</v>
      </c>
      <c r="F19">
        <v>0.39433183035806213</v>
      </c>
      <c r="G19">
        <v>0</v>
      </c>
      <c r="H19">
        <v>1</v>
      </c>
      <c r="I19" t="s">
        <v>198</v>
      </c>
      <c r="J19" s="32" t="str">
        <f>IF(Table3[[#This Row],[Item_C]]="Rockwell Indirect",
    IF(ISNUMBER(SEARCH("≥", Table3[[#This Row],[Main Name]])), "HIGH",
        IF(ISNUMBER(SEARCH("≤", Table3[[#This Row],[Main Name]])), "MID", "LOW")),
    "")</f>
        <v>LOW</v>
      </c>
    </row>
    <row r="20" spans="1:10" x14ac:dyDescent="0.25">
      <c r="A20" t="s">
        <v>199</v>
      </c>
      <c r="B20" s="33" t="s">
        <v>174</v>
      </c>
      <c r="C20">
        <v>0.1</v>
      </c>
      <c r="D20">
        <v>0.42</v>
      </c>
      <c r="E20">
        <v>0</v>
      </c>
      <c r="F20">
        <v>0.40422468063385181</v>
      </c>
      <c r="G20">
        <v>0</v>
      </c>
      <c r="H20">
        <v>1</v>
      </c>
      <c r="I20" t="s">
        <v>198</v>
      </c>
      <c r="J20" t="str">
        <f>IF(Table3[[#This Row],[Item_C]]="Rockwell Indirect",
    IF(ISNUMBER(SEARCH("≥", Table3[[#This Row],[Main Name]])), "HIGH",
        IF(ISNUMBER(SEARCH("≤", Table3[[#This Row],[Main Name]])), "MID", "LOW")),
    "")</f>
        <v>MID</v>
      </c>
    </row>
    <row r="21" spans="1:10" ht="15.75" thickBot="1" x14ac:dyDescent="0.3">
      <c r="A21" t="s">
        <v>200</v>
      </c>
      <c r="B21" s="33" t="s">
        <v>174</v>
      </c>
      <c r="C21">
        <v>0.1</v>
      </c>
      <c r="D21">
        <v>0.51</v>
      </c>
      <c r="E21">
        <v>0</v>
      </c>
      <c r="F21">
        <v>0.50338612658032145</v>
      </c>
      <c r="G21">
        <v>0</v>
      </c>
      <c r="H21">
        <v>1</v>
      </c>
      <c r="I21" t="s">
        <v>198</v>
      </c>
      <c r="J21" t="str">
        <f>IF(Table3[[#This Row],[Item_C]]="Rockwell Indirect",
    IF(ISNUMBER(SEARCH("≥", Table3[[#This Row],[Main Name]])), "HIGH",
        IF(ISNUMBER(SEARCH("≤", Table3[[#This Row],[Main Name]])), "MID", "LOW")),
    "")</f>
        <v>HIGH</v>
      </c>
    </row>
    <row r="22" spans="1:10" x14ac:dyDescent="0.25">
      <c r="A22" t="s">
        <v>201</v>
      </c>
      <c r="B22" s="33" t="s">
        <v>174</v>
      </c>
      <c r="C22">
        <v>0.1</v>
      </c>
      <c r="D22">
        <v>0.3</v>
      </c>
      <c r="E22">
        <v>0</v>
      </c>
      <c r="F22">
        <v>0.26645373413322521</v>
      </c>
      <c r="G22">
        <v>0</v>
      </c>
      <c r="H22">
        <v>1</v>
      </c>
      <c r="I22" t="s">
        <v>202</v>
      </c>
      <c r="J22" s="32" t="str">
        <f>IF(Table3[[#This Row],[Item_C]]="Rockwell Indirect",
    IF(ISNUMBER(SEARCH("≥", Table3[[#This Row],[Main Name]])), "HIGH",
        IF(ISNUMBER(SEARCH("≤", Table3[[#This Row],[Main Name]])), "MID", "LOW")),
    "")</f>
        <v>LOW</v>
      </c>
    </row>
    <row r="23" spans="1:10" x14ac:dyDescent="0.25">
      <c r="A23" t="s">
        <v>203</v>
      </c>
      <c r="B23" s="33" t="s">
        <v>174</v>
      </c>
      <c r="C23">
        <v>0.1</v>
      </c>
      <c r="D23">
        <v>0.47</v>
      </c>
      <c r="E23">
        <v>0</v>
      </c>
      <c r="F23">
        <v>0.4537593992784496</v>
      </c>
      <c r="G23">
        <v>0</v>
      </c>
      <c r="H23">
        <v>1</v>
      </c>
      <c r="I23" t="s">
        <v>202</v>
      </c>
      <c r="J23" t="str">
        <f>IF(Table3[[#This Row],[Item_C]]="Rockwell Indirect",
    IF(ISNUMBER(SEARCH("≥", Table3[[#This Row],[Main Name]])), "HIGH",
        IF(ISNUMBER(SEARCH("≤", Table3[[#This Row],[Main Name]])), "MID", "LOW")),
    "")</f>
        <v>MID</v>
      </c>
    </row>
    <row r="24" spans="1:10" ht="15.75" thickBot="1" x14ac:dyDescent="0.3">
      <c r="A24" t="s">
        <v>204</v>
      </c>
      <c r="B24" s="33" t="s">
        <v>174</v>
      </c>
      <c r="C24">
        <v>0.1</v>
      </c>
      <c r="D24">
        <v>0.54</v>
      </c>
      <c r="E24">
        <v>0</v>
      </c>
      <c r="F24">
        <v>0.52325671752356839</v>
      </c>
      <c r="G24">
        <v>0</v>
      </c>
      <c r="H24">
        <v>1</v>
      </c>
      <c r="I24" t="s">
        <v>202</v>
      </c>
      <c r="J24" t="str">
        <f>IF(Table3[[#This Row],[Item_C]]="Rockwell Indirect",
    IF(ISNUMBER(SEARCH("≥", Table3[[#This Row],[Main Name]])), "HIGH",
        IF(ISNUMBER(SEARCH("≤", Table3[[#This Row],[Main Name]])), "MID", "LOW")),
    "")</f>
        <v>HIGH</v>
      </c>
    </row>
    <row r="25" spans="1:10" x14ac:dyDescent="0.25">
      <c r="A25" t="s">
        <v>205</v>
      </c>
      <c r="B25" s="33" t="s">
        <v>174</v>
      </c>
      <c r="C25">
        <v>0.1</v>
      </c>
      <c r="D25">
        <v>0.5</v>
      </c>
      <c r="E25">
        <v>0</v>
      </c>
      <c r="F25">
        <v>0.4736006676869654</v>
      </c>
      <c r="G25">
        <v>0</v>
      </c>
      <c r="H25">
        <v>1</v>
      </c>
      <c r="I25" t="s">
        <v>206</v>
      </c>
      <c r="J25" s="32" t="str">
        <f>IF(Table3[[#This Row],[Item_C]]="Rockwell Indirect",
    IF(ISNUMBER(SEARCH("≥", Table3[[#This Row],[Main Name]])), "HIGH",
        IF(ISNUMBER(SEARCH("≤", Table3[[#This Row],[Main Name]])), "MID", "LOW")),
    "")</f>
        <v>LOW</v>
      </c>
    </row>
    <row r="26" spans="1:10" x14ac:dyDescent="0.25">
      <c r="A26" t="s">
        <v>207</v>
      </c>
      <c r="B26" s="33" t="s">
        <v>174</v>
      </c>
      <c r="C26">
        <v>0.1</v>
      </c>
      <c r="D26">
        <v>0.25</v>
      </c>
      <c r="E26">
        <v>0</v>
      </c>
      <c r="F26">
        <v>0.21793942377077957</v>
      </c>
      <c r="G26">
        <v>0</v>
      </c>
      <c r="H26">
        <v>1</v>
      </c>
      <c r="I26" t="s">
        <v>206</v>
      </c>
      <c r="J26" t="str">
        <f>IF(Table3[[#This Row],[Item_C]]="Rockwell Indirect",
    IF(ISNUMBER(SEARCH("≥", Table3[[#This Row],[Main Name]])), "HIGH",
        IF(ISNUMBER(SEARCH("≤", Table3[[#This Row],[Main Name]])), "MID", "LOW")),
    "")</f>
        <v>MID</v>
      </c>
    </row>
    <row r="27" spans="1:10" ht="15.75" thickBot="1" x14ac:dyDescent="0.3">
      <c r="A27" t="s">
        <v>208</v>
      </c>
      <c r="B27" s="33" t="s">
        <v>174</v>
      </c>
      <c r="C27">
        <v>0.1</v>
      </c>
      <c r="D27">
        <v>0.2</v>
      </c>
      <c r="E27">
        <v>0</v>
      </c>
      <c r="F27">
        <v>0.17971530940223054</v>
      </c>
      <c r="G27">
        <v>0</v>
      </c>
      <c r="H27">
        <v>1</v>
      </c>
      <c r="I27" t="s">
        <v>206</v>
      </c>
      <c r="J27" t="str">
        <f>IF(Table3[[#This Row],[Item_C]]="Rockwell Indirect",
    IF(ISNUMBER(SEARCH("≥", Table3[[#This Row],[Main Name]])), "HIGH",
        IF(ISNUMBER(SEARCH("≤", Table3[[#This Row],[Main Name]])), "MID", "LOW")),
    "")</f>
        <v>HIGH</v>
      </c>
    </row>
    <row r="28" spans="1:10" x14ac:dyDescent="0.25">
      <c r="A28" t="s">
        <v>209</v>
      </c>
      <c r="B28" s="33" t="s">
        <v>174</v>
      </c>
      <c r="C28">
        <v>0.1</v>
      </c>
      <c r="D28">
        <v>0.45</v>
      </c>
      <c r="E28">
        <v>0</v>
      </c>
      <c r="F28">
        <v>0.4141226779995747</v>
      </c>
      <c r="G28">
        <v>0</v>
      </c>
      <c r="H28">
        <v>1</v>
      </c>
      <c r="I28" t="s">
        <v>210</v>
      </c>
      <c r="J28" s="32" t="str">
        <f>IF(Table3[[#This Row],[Item_C]]="Rockwell Indirect",
    IF(ISNUMBER(SEARCH("≥", Table3[[#This Row],[Main Name]])), "HIGH",
        IF(ISNUMBER(SEARCH("≤", Table3[[#This Row],[Main Name]])), "MID", "LOW")),
    "")</f>
        <v>LOW</v>
      </c>
    </row>
    <row r="29" spans="1:10" x14ac:dyDescent="0.25">
      <c r="A29" t="s">
        <v>211</v>
      </c>
      <c r="B29" s="33" t="s">
        <v>174</v>
      </c>
      <c r="C29">
        <v>0.1</v>
      </c>
      <c r="D29">
        <v>0.39</v>
      </c>
      <c r="E29">
        <v>0</v>
      </c>
      <c r="F29">
        <v>0.3646883497365106</v>
      </c>
      <c r="G29">
        <v>0</v>
      </c>
      <c r="H29">
        <v>1</v>
      </c>
      <c r="I29" t="s">
        <v>210</v>
      </c>
      <c r="J29" t="str">
        <f>IF(Table3[[#This Row],[Item_C]]="Rockwell Indirect",
    IF(ISNUMBER(SEARCH("≥", Table3[[#This Row],[Main Name]])), "HIGH",
        IF(ISNUMBER(SEARCH("≤", Table3[[#This Row],[Main Name]])), "MID", "LOW")),
    "")</f>
        <v>MID</v>
      </c>
    </row>
    <row r="30" spans="1:10" ht="15.75" thickBot="1" x14ac:dyDescent="0.3">
      <c r="A30" t="s">
        <v>212</v>
      </c>
      <c r="B30" s="33" t="s">
        <v>174</v>
      </c>
      <c r="C30">
        <v>0.1</v>
      </c>
      <c r="D30">
        <v>0.32</v>
      </c>
      <c r="E30">
        <v>0</v>
      </c>
      <c r="F30">
        <v>0.29579991959691171</v>
      </c>
      <c r="G30">
        <v>0</v>
      </c>
      <c r="H30">
        <v>1</v>
      </c>
      <c r="I30" t="s">
        <v>210</v>
      </c>
      <c r="J30" t="str">
        <f>IF(Table3[[#This Row],[Item_C]]="Rockwell Indirect",
    IF(ISNUMBER(SEARCH("≥", Table3[[#This Row],[Main Name]])), "HIGH",
        IF(ISNUMBER(SEARCH("≤", Table3[[#This Row],[Main Name]])), "MID", "LOW")),
    "")</f>
        <v>HIGH</v>
      </c>
    </row>
    <row r="31" spans="1:10" x14ac:dyDescent="0.25">
      <c r="A31" t="s">
        <v>213</v>
      </c>
      <c r="B31" s="33" t="s">
        <v>174</v>
      </c>
      <c r="C31">
        <v>0.1</v>
      </c>
      <c r="D31">
        <v>0.57999999999999996</v>
      </c>
      <c r="E31">
        <v>0</v>
      </c>
      <c r="F31">
        <v>0.55308009585731743</v>
      </c>
      <c r="G31">
        <v>0</v>
      </c>
      <c r="H31">
        <v>1</v>
      </c>
      <c r="I31" t="s">
        <v>214</v>
      </c>
      <c r="J31" s="32" t="str">
        <f>IF(Table3[[#This Row],[Item_C]]="Rockwell Indirect",
    IF(ISNUMBER(SEARCH("≥", Table3[[#This Row],[Main Name]])), "HIGH",
        IF(ISNUMBER(SEARCH("≤", Table3[[#This Row],[Main Name]])), "MID", "LOW")),
    "")</f>
        <v>LOW</v>
      </c>
    </row>
    <row r="32" spans="1:10" x14ac:dyDescent="0.25">
      <c r="A32" t="s">
        <v>215</v>
      </c>
      <c r="B32" s="33" t="s">
        <v>174</v>
      </c>
      <c r="C32">
        <v>0.1</v>
      </c>
      <c r="D32">
        <v>0.64</v>
      </c>
      <c r="E32">
        <v>0</v>
      </c>
      <c r="F32">
        <v>0.62273396601882847</v>
      </c>
      <c r="G32">
        <v>0</v>
      </c>
      <c r="H32">
        <v>1</v>
      </c>
      <c r="I32" t="s">
        <v>214</v>
      </c>
      <c r="J32" t="str">
        <f>IF(Table3[[#This Row],[Item_C]]="Rockwell Indirect",
    IF(ISNUMBER(SEARCH("≥", Table3[[#This Row],[Main Name]])), "HIGH",
        IF(ISNUMBER(SEARCH("≤", Table3[[#This Row],[Main Name]])), "MID", "LOW")),
    "")</f>
        <v>MID</v>
      </c>
    </row>
    <row r="33" spans="1:10" ht="15.75" thickBot="1" x14ac:dyDescent="0.3">
      <c r="A33" t="s">
        <v>216</v>
      </c>
      <c r="B33" s="33" t="s">
        <v>174</v>
      </c>
      <c r="C33">
        <v>0.1</v>
      </c>
      <c r="D33">
        <v>0.22</v>
      </c>
      <c r="E33">
        <v>0</v>
      </c>
      <c r="F33">
        <v>0.19874001216045914</v>
      </c>
      <c r="G33">
        <v>0</v>
      </c>
      <c r="H33">
        <v>1</v>
      </c>
      <c r="I33" t="s">
        <v>214</v>
      </c>
      <c r="J33" t="str">
        <f>IF(Table3[[#This Row],[Item_C]]="Rockwell Indirect",
    IF(ISNUMBER(SEARCH("≥", Table3[[#This Row],[Main Name]])), "HIGH",
        IF(ISNUMBER(SEARCH("≤", Table3[[#This Row],[Main Name]])), "MID", "LOW")),
    "")</f>
        <v>HIGH</v>
      </c>
    </row>
    <row r="34" spans="1:10" x14ac:dyDescent="0.25">
      <c r="A34" t="s">
        <v>217</v>
      </c>
      <c r="B34" s="33" t="s">
        <v>174</v>
      </c>
      <c r="C34">
        <v>0.1</v>
      </c>
      <c r="D34">
        <v>0.7</v>
      </c>
      <c r="E34">
        <v>0</v>
      </c>
      <c r="F34">
        <v>0.68249365743099732</v>
      </c>
      <c r="G34">
        <v>0</v>
      </c>
      <c r="H34">
        <v>1</v>
      </c>
      <c r="I34" t="s">
        <v>218</v>
      </c>
      <c r="J34" s="32" t="str">
        <f>IF(Table3[[#This Row],[Item_C]]="Rockwell Indirect",
    IF(ISNUMBER(SEARCH("≥", Table3[[#This Row],[Main Name]])), "HIGH",
        IF(ISNUMBER(SEARCH("≤", Table3[[#This Row],[Main Name]])), "MID", "LOW")),
    "")</f>
        <v>LOW</v>
      </c>
    </row>
    <row r="35" spans="1:10" x14ac:dyDescent="0.25">
      <c r="A35" t="s">
        <v>219</v>
      </c>
      <c r="B35" s="33" t="s">
        <v>174</v>
      </c>
      <c r="C35">
        <v>0.1</v>
      </c>
      <c r="D35">
        <v>0.41</v>
      </c>
      <c r="E35">
        <v>0</v>
      </c>
      <c r="F35">
        <v>0.38444452452016981</v>
      </c>
      <c r="G35">
        <v>0</v>
      </c>
      <c r="H35">
        <v>1</v>
      </c>
      <c r="I35" t="s">
        <v>218</v>
      </c>
      <c r="J35" t="str">
        <f>IF(Table3[[#This Row],[Item_C]]="Rockwell Indirect",
    IF(ISNUMBER(SEARCH("≥", Table3[[#This Row],[Main Name]])), "HIGH",
        IF(ISNUMBER(SEARCH("≤", Table3[[#This Row],[Main Name]])), "MID", "LOW")),
    "")</f>
        <v>MID</v>
      </c>
    </row>
    <row r="36" spans="1:10" ht="15.75" thickBot="1" x14ac:dyDescent="0.3">
      <c r="A36" t="s">
        <v>220</v>
      </c>
      <c r="B36" s="33" t="s">
        <v>174</v>
      </c>
      <c r="C36">
        <v>0.1</v>
      </c>
      <c r="D36">
        <v>0.39</v>
      </c>
      <c r="E36">
        <v>0</v>
      </c>
      <c r="F36">
        <v>0.37456320218828149</v>
      </c>
      <c r="G36">
        <v>0</v>
      </c>
      <c r="H36">
        <v>1</v>
      </c>
      <c r="I36" t="s">
        <v>218</v>
      </c>
      <c r="J36" t="str">
        <f>IF(Table3[[#This Row],[Item_C]]="Rockwell Indirect",
    IF(ISNUMBER(SEARCH("≥", Table3[[#This Row],[Main Name]])), "HIGH",
        IF(ISNUMBER(SEARCH("≤", Table3[[#This Row],[Main Name]])), "MID", "LOW")),
    "")</f>
        <v>HIGH</v>
      </c>
    </row>
    <row r="37" spans="1:10" x14ac:dyDescent="0.25">
      <c r="A37" t="s">
        <v>221</v>
      </c>
      <c r="B37" s="33" t="s">
        <v>174</v>
      </c>
      <c r="C37">
        <v>0.1</v>
      </c>
      <c r="D37">
        <v>0.44</v>
      </c>
      <c r="E37">
        <v>0</v>
      </c>
      <c r="G37">
        <v>0</v>
      </c>
      <c r="H37">
        <v>1</v>
      </c>
      <c r="I37" t="s">
        <v>222</v>
      </c>
      <c r="J37" s="32" t="str">
        <f>IF(Table3[[#This Row],[Item_C]]="Rockwell Indirect",
    IF(ISNUMBER(SEARCH("≥", Table3[[#This Row],[Main Name]])), "HIGH",
        IF(ISNUMBER(SEARCH("≤", Table3[[#This Row],[Main Name]])), "MID", "LOW")),
    "")</f>
        <v>MID</v>
      </c>
    </row>
    <row r="38" spans="1:10" ht="15.75" thickBot="1" x14ac:dyDescent="0.3">
      <c r="A38" t="s">
        <v>223</v>
      </c>
      <c r="B38" s="34" t="s">
        <v>174</v>
      </c>
      <c r="C38" s="35">
        <v>0.1</v>
      </c>
      <c r="D38" s="35">
        <v>0.55000000000000004</v>
      </c>
      <c r="E38" s="35">
        <v>0</v>
      </c>
      <c r="F38" s="35"/>
      <c r="G38" s="35">
        <v>0</v>
      </c>
      <c r="H38" s="35">
        <v>1</v>
      </c>
      <c r="I38" s="35" t="s">
        <v>222</v>
      </c>
      <c r="J38" s="35"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8"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224</v>
      </c>
      <c r="B2" s="86" t="s">
        <v>225</v>
      </c>
      <c r="C2" s="86" t="s">
        <v>226</v>
      </c>
      <c r="D2" s="88" t="s">
        <v>227</v>
      </c>
      <c r="H2" s="17" t="s">
        <v>63</v>
      </c>
      <c r="M2" s="17" t="s">
        <v>81</v>
      </c>
      <c r="R2" s="17" t="s">
        <v>105</v>
      </c>
      <c r="S2" s="17"/>
      <c r="T2" s="17"/>
      <c r="U2" s="17"/>
    </row>
    <row r="3" spans="1:21" ht="15.75" thickTop="1" x14ac:dyDescent="0.25">
      <c r="A3" t="s">
        <v>65</v>
      </c>
      <c r="B3" t="s">
        <v>228</v>
      </c>
      <c r="C3" t="s">
        <v>229</v>
      </c>
      <c r="D3" t="s">
        <v>230</v>
      </c>
      <c r="E3" t="s">
        <v>231</v>
      </c>
      <c r="F3" t="s">
        <v>232</v>
      </c>
      <c r="H3" t="s">
        <v>65</v>
      </c>
      <c r="I3" t="s">
        <v>225</v>
      </c>
      <c r="J3" t="s">
        <v>226</v>
      </c>
      <c r="K3" t="s">
        <v>227</v>
      </c>
      <c r="M3" t="s">
        <v>24</v>
      </c>
      <c r="N3" t="s">
        <v>225</v>
      </c>
      <c r="O3" t="s">
        <v>226</v>
      </c>
      <c r="P3" t="s">
        <v>227</v>
      </c>
      <c r="R3" t="s">
        <v>65</v>
      </c>
      <c r="S3" t="s">
        <v>225</v>
      </c>
      <c r="T3" t="s">
        <v>226</v>
      </c>
      <c r="U3" t="s">
        <v>227</v>
      </c>
    </row>
    <row r="4" spans="1:21" x14ac:dyDescent="0.25">
      <c r="A4" t="s">
        <v>175</v>
      </c>
      <c r="B4" t="str">
        <f>"&lt; "&amp;Thresholds[[#This Row],[Threshold1]]</f>
        <v>&lt; 70</v>
      </c>
      <c r="C4" t="str">
        <f>"≥ "&amp;Thresholds[[#This Row],[Threshold1]]&amp;" and &lt; "&amp;Thresholds[[#This Row],[Threshold2]]</f>
        <v>≥ 70 and &lt; 80</v>
      </c>
      <c r="D4" t="str">
        <f>"≥ "&amp;Thresholds[[#This Row],[Threshold2]]</f>
        <v>≥ 80</v>
      </c>
      <c r="E4">
        <v>70</v>
      </c>
      <c r="F4">
        <v>80</v>
      </c>
      <c r="H4" t="s">
        <v>175</v>
      </c>
      <c r="I4">
        <v>1</v>
      </c>
      <c r="J4">
        <v>1</v>
      </c>
      <c r="K4">
        <v>0.5</v>
      </c>
      <c r="M4" t="s">
        <v>175</v>
      </c>
      <c r="N4">
        <v>2</v>
      </c>
      <c r="O4">
        <v>1.5</v>
      </c>
      <c r="P4">
        <v>1</v>
      </c>
      <c r="R4" t="s">
        <v>198</v>
      </c>
      <c r="S4" t="s">
        <v>1121</v>
      </c>
      <c r="T4" t="s">
        <v>1121</v>
      </c>
      <c r="U4" t="s">
        <v>1122</v>
      </c>
    </row>
    <row r="5" spans="1:21" x14ac:dyDescent="0.25">
      <c r="A5" t="s">
        <v>179</v>
      </c>
      <c r="B5" t="str">
        <f>"&lt; "&amp;Thresholds[[#This Row],[Threshold1]]</f>
        <v>&lt; 60</v>
      </c>
      <c r="C5" t="str">
        <f>"≥ "&amp;Thresholds[[#This Row],[Threshold1]]&amp;" and &lt; "&amp;Thresholds[[#This Row],[Threshold2]]</f>
        <v>≥ 60 and &lt; 88</v>
      </c>
      <c r="D5" t="str">
        <f>"≥ "&amp;Thresholds[[#This Row],[Threshold2]]</f>
        <v>≥ 88</v>
      </c>
      <c r="E5">
        <v>60</v>
      </c>
      <c r="F5">
        <v>88</v>
      </c>
      <c r="H5" t="s">
        <v>179</v>
      </c>
      <c r="I5">
        <v>2.5</v>
      </c>
      <c r="J5">
        <v>2.5</v>
      </c>
      <c r="K5">
        <v>1</v>
      </c>
      <c r="M5" t="s">
        <v>179</v>
      </c>
      <c r="N5">
        <v>2</v>
      </c>
      <c r="O5">
        <v>1.5</v>
      </c>
      <c r="P5">
        <v>1.5</v>
      </c>
      <c r="R5" t="s">
        <v>210</v>
      </c>
      <c r="S5" t="s">
        <v>1123</v>
      </c>
      <c r="T5" t="s">
        <v>1124</v>
      </c>
      <c r="U5" t="s">
        <v>1125</v>
      </c>
    </row>
    <row r="6" spans="1:21" x14ac:dyDescent="0.25">
      <c r="A6" t="s">
        <v>183</v>
      </c>
      <c r="B6" t="str">
        <f>"&lt; "&amp;Thresholds[[#This Row],[Threshold1]]</f>
        <v>&lt; 35</v>
      </c>
      <c r="C6" t="str">
        <f>"≥ "&amp;Thresholds[[#This Row],[Threshold1]]&amp;" and &lt; "&amp;Thresholds[[#This Row],[Threshold2]]</f>
        <v>≥ 35 and &lt; 60</v>
      </c>
      <c r="D6" t="str">
        <f>"≥ "&amp;Thresholds[[#This Row],[Threshold2]]</f>
        <v>≥ 60</v>
      </c>
      <c r="E6">
        <v>35</v>
      </c>
      <c r="F6">
        <v>60</v>
      </c>
      <c r="H6" t="s">
        <v>183</v>
      </c>
      <c r="I6">
        <v>1</v>
      </c>
      <c r="J6">
        <v>1</v>
      </c>
      <c r="K6">
        <v>0.5</v>
      </c>
      <c r="M6" t="s">
        <v>183</v>
      </c>
      <c r="N6">
        <v>2</v>
      </c>
      <c r="O6">
        <v>1.5</v>
      </c>
      <c r="P6">
        <v>1</v>
      </c>
      <c r="R6" t="s">
        <v>202</v>
      </c>
      <c r="S6" t="s">
        <v>1126</v>
      </c>
      <c r="T6" t="s">
        <v>1127</v>
      </c>
      <c r="U6" t="s">
        <v>1128</v>
      </c>
    </row>
    <row r="7" spans="1:21" x14ac:dyDescent="0.25">
      <c r="A7" t="s">
        <v>187</v>
      </c>
      <c r="B7" t="str">
        <f>"&lt; "&amp;Thresholds[[#This Row],[Threshold1]]</f>
        <v>&lt; 84</v>
      </c>
      <c r="C7" t="str">
        <f>"≥ "&amp;Thresholds[[#This Row],[Threshold1]]&amp;" and &lt; "&amp;Thresholds[[#This Row],[Threshold2]]</f>
        <v>≥ 84 and &lt; 93</v>
      </c>
      <c r="D7" t="str">
        <f>"≥ "&amp;Thresholds[[#This Row],[Threshold2]]</f>
        <v>≥ 93</v>
      </c>
      <c r="E7">
        <v>84</v>
      </c>
      <c r="F7">
        <v>93</v>
      </c>
      <c r="H7" t="s">
        <v>187</v>
      </c>
      <c r="I7">
        <v>1</v>
      </c>
      <c r="J7">
        <v>1</v>
      </c>
      <c r="K7">
        <v>1</v>
      </c>
      <c r="M7" t="s">
        <v>187</v>
      </c>
      <c r="N7">
        <v>1.5</v>
      </c>
      <c r="O7">
        <v>1.5</v>
      </c>
      <c r="P7">
        <v>1</v>
      </c>
      <c r="R7" t="s">
        <v>214</v>
      </c>
      <c r="S7" t="s">
        <v>1129</v>
      </c>
      <c r="T7" t="s">
        <v>1130</v>
      </c>
      <c r="U7" t="s">
        <v>1131</v>
      </c>
    </row>
    <row r="8" spans="1:21" x14ac:dyDescent="0.25">
      <c r="A8" t="s">
        <v>191</v>
      </c>
      <c r="B8" t="str">
        <f>"&lt; "&amp;Thresholds[[#This Row],[Threshold1]]</f>
        <v>&lt; 80</v>
      </c>
      <c r="C8" t="str">
        <f>"≥ "&amp;Thresholds[[#This Row],[Threshold1]]&amp;" and &lt; "&amp;Thresholds[[#This Row],[Threshold2]]</f>
        <v>≥ 80 and &lt; 94</v>
      </c>
      <c r="D8" t="str">
        <f>"≥ "&amp;Thresholds[[#This Row],[Threshold2]]</f>
        <v>≥ 94</v>
      </c>
      <c r="E8">
        <v>80</v>
      </c>
      <c r="F8">
        <v>94</v>
      </c>
      <c r="H8" t="s">
        <v>191</v>
      </c>
      <c r="I8">
        <v>1</v>
      </c>
      <c r="J8">
        <v>1</v>
      </c>
      <c r="K8">
        <v>1</v>
      </c>
      <c r="M8" t="s">
        <v>191</v>
      </c>
      <c r="N8">
        <v>1.5</v>
      </c>
      <c r="O8">
        <v>1.5</v>
      </c>
      <c r="P8">
        <v>1</v>
      </c>
      <c r="R8" t="s">
        <v>206</v>
      </c>
      <c r="S8" t="s">
        <v>1132</v>
      </c>
      <c r="T8" t="s">
        <v>1133</v>
      </c>
      <c r="U8" t="s">
        <v>1134</v>
      </c>
    </row>
    <row r="9" spans="1:21" x14ac:dyDescent="0.25">
      <c r="A9" t="s">
        <v>195</v>
      </c>
      <c r="B9" t="str">
        <f>"&lt; "&amp;Thresholds[[#This Row],[Threshold1]]</f>
        <v>&lt; 96</v>
      </c>
      <c r="C9" t="s">
        <v>233</v>
      </c>
      <c r="D9" t="str">
        <f>"≥ "&amp;Thresholds[[#This Row],[Threshold2]]</f>
        <v>≥ 96</v>
      </c>
      <c r="E9">
        <v>96</v>
      </c>
      <c r="F9">
        <v>96</v>
      </c>
      <c r="H9" t="s">
        <v>195</v>
      </c>
      <c r="I9">
        <v>1</v>
      </c>
      <c r="J9" t="e">
        <v>#N/A</v>
      </c>
      <c r="K9">
        <v>1</v>
      </c>
      <c r="M9" t="s">
        <v>195</v>
      </c>
      <c r="N9">
        <v>2</v>
      </c>
      <c r="O9" t="e">
        <v>#N/A</v>
      </c>
      <c r="P9">
        <v>1.5</v>
      </c>
      <c r="R9" t="s">
        <v>218</v>
      </c>
      <c r="S9" t="s">
        <v>1135</v>
      </c>
      <c r="T9" t="s">
        <v>1136</v>
      </c>
      <c r="U9" t="s">
        <v>1124</v>
      </c>
    </row>
    <row r="10" spans="1:21" x14ac:dyDescent="0.25">
      <c r="A10" t="s">
        <v>198</v>
      </c>
      <c r="B10" t="str">
        <f>"&lt; "&amp;Thresholds[[#This Row],[Threshold1]]</f>
        <v>&lt; 78</v>
      </c>
      <c r="C10" t="str">
        <f>"≥ "&amp;Thresholds[[#This Row],[Threshold1]]&amp;" and &lt; "&amp;Thresholds[[#This Row],[Threshold2]]</f>
        <v>≥ 78 and &lt; 90</v>
      </c>
      <c r="D10" t="str">
        <f>"≥ "&amp;Thresholds[[#This Row],[Threshold2]]</f>
        <v>≥ 90</v>
      </c>
      <c r="E10">
        <v>78</v>
      </c>
      <c r="F10">
        <v>90</v>
      </c>
      <c r="H10" t="s">
        <v>198</v>
      </c>
      <c r="I10">
        <v>1</v>
      </c>
      <c r="J10">
        <v>1</v>
      </c>
      <c r="K10">
        <v>0.7</v>
      </c>
      <c r="M10" t="s">
        <v>198</v>
      </c>
      <c r="N10">
        <v>2</v>
      </c>
      <c r="O10">
        <v>1.5</v>
      </c>
      <c r="P10">
        <v>1</v>
      </c>
      <c r="R10" t="s">
        <v>175</v>
      </c>
      <c r="S10" t="s">
        <v>1137</v>
      </c>
      <c r="T10" t="s">
        <v>1125</v>
      </c>
      <c r="U10" t="s">
        <v>1134</v>
      </c>
    </row>
    <row r="11" spans="1:21" x14ac:dyDescent="0.25">
      <c r="A11" t="s">
        <v>202</v>
      </c>
      <c r="B11" t="str">
        <f>"&lt; "&amp;Thresholds[[#This Row],[Threshold1]]</f>
        <v>&lt; 55</v>
      </c>
      <c r="C11" t="str">
        <f>"≥ "&amp;Thresholds[[#This Row],[Threshold1]]&amp;" and &lt; "&amp;Thresholds[[#This Row],[Threshold2]]</f>
        <v>≥ 55 and &lt; 77</v>
      </c>
      <c r="D11" t="str">
        <f>"≥ "&amp;Thresholds[[#This Row],[Threshold2]]</f>
        <v>≥ 77</v>
      </c>
      <c r="E11">
        <v>55</v>
      </c>
      <c r="F11">
        <v>77</v>
      </c>
      <c r="H11" t="s">
        <v>202</v>
      </c>
      <c r="I11">
        <v>1</v>
      </c>
      <c r="J11">
        <v>1</v>
      </c>
      <c r="K11">
        <v>0.7</v>
      </c>
      <c r="M11" t="s">
        <v>202</v>
      </c>
      <c r="N11">
        <v>2</v>
      </c>
      <c r="O11">
        <v>1.5</v>
      </c>
      <c r="P11">
        <v>1</v>
      </c>
      <c r="R11" t="s">
        <v>179</v>
      </c>
      <c r="S11" t="s">
        <v>1138</v>
      </c>
      <c r="T11" t="s">
        <v>1139</v>
      </c>
      <c r="U11" t="s">
        <v>1124</v>
      </c>
    </row>
    <row r="12" spans="1:21" x14ac:dyDescent="0.25">
      <c r="A12" t="s">
        <v>206</v>
      </c>
      <c r="B12" t="str">
        <f>"&lt; "&amp;Thresholds[[#This Row],[Threshold1]]</f>
        <v>&lt; 37</v>
      </c>
      <c r="C12" t="str">
        <f>"≥ "&amp;Thresholds[[#This Row],[Threshold1]]&amp;" and &lt; "&amp;Thresholds[[#This Row],[Threshold2]]</f>
        <v>≥ 37 and &lt; 66</v>
      </c>
      <c r="D12" t="str">
        <f>"≥ "&amp;Thresholds[[#This Row],[Threshold2]]</f>
        <v>≥ 66</v>
      </c>
      <c r="E12">
        <v>37</v>
      </c>
      <c r="F12">
        <v>66</v>
      </c>
      <c r="H12" t="s">
        <v>206</v>
      </c>
      <c r="I12">
        <v>1</v>
      </c>
      <c r="J12">
        <v>1</v>
      </c>
      <c r="K12">
        <v>0.7</v>
      </c>
      <c r="M12" t="s">
        <v>206</v>
      </c>
      <c r="N12">
        <v>2</v>
      </c>
      <c r="O12">
        <v>1.5</v>
      </c>
      <c r="P12">
        <v>1</v>
      </c>
      <c r="R12" t="s">
        <v>183</v>
      </c>
      <c r="S12" t="s">
        <v>1124</v>
      </c>
      <c r="T12" t="s">
        <v>1140</v>
      </c>
      <c r="U12" t="s">
        <v>1125</v>
      </c>
    </row>
    <row r="13" spans="1:21" x14ac:dyDescent="0.25">
      <c r="A13" t="s">
        <v>210</v>
      </c>
      <c r="B13" t="str">
        <f>"&lt; "&amp;Thresholds[[#This Row],[Threshold1]]</f>
        <v>&lt; 81</v>
      </c>
      <c r="C13" t="str">
        <f>"≥ "&amp;Thresholds[[#This Row],[Threshold1]]&amp;" and &lt; "&amp;Thresholds[[#This Row],[Threshold2]]</f>
        <v>≥ 81 and &lt; 87</v>
      </c>
      <c r="D13" t="str">
        <f>"≥ "&amp;Thresholds[[#This Row],[Threshold2]]</f>
        <v>≥ 87</v>
      </c>
      <c r="E13">
        <v>81</v>
      </c>
      <c r="F13">
        <v>87</v>
      </c>
      <c r="H13" t="s">
        <v>210</v>
      </c>
      <c r="I13">
        <v>1.5</v>
      </c>
      <c r="J13">
        <v>1</v>
      </c>
      <c r="K13">
        <v>1</v>
      </c>
      <c r="M13" t="s">
        <v>210</v>
      </c>
      <c r="N13">
        <v>2</v>
      </c>
      <c r="O13">
        <v>1.5</v>
      </c>
      <c r="P13">
        <v>1.5</v>
      </c>
      <c r="R13" t="s">
        <v>187</v>
      </c>
      <c r="S13" t="s">
        <v>1124</v>
      </c>
      <c r="T13" t="s">
        <v>1141</v>
      </c>
      <c r="U13" t="s">
        <v>1141</v>
      </c>
    </row>
    <row r="14" spans="1:21" x14ac:dyDescent="0.25">
      <c r="A14" t="s">
        <v>214</v>
      </c>
      <c r="B14" t="str">
        <f>"&lt; "&amp;Thresholds[[#This Row],[Threshold1]]</f>
        <v>&lt; 57</v>
      </c>
      <c r="C14" t="str">
        <f>"≥ "&amp;Thresholds[[#This Row],[Threshold1]]&amp;" and &lt; "&amp;Thresholds[[#This Row],[Threshold2]]</f>
        <v>≥ 57 and &lt; 70</v>
      </c>
      <c r="D14" t="str">
        <f>"≥ "&amp;Thresholds[[#This Row],[Threshold2]]</f>
        <v>≥ 70</v>
      </c>
      <c r="E14">
        <v>57</v>
      </c>
      <c r="F14">
        <v>70</v>
      </c>
      <c r="H14" t="s">
        <v>214</v>
      </c>
      <c r="I14">
        <v>1.5</v>
      </c>
      <c r="J14">
        <v>1</v>
      </c>
      <c r="K14">
        <v>1</v>
      </c>
      <c r="M14" t="s">
        <v>214</v>
      </c>
      <c r="N14">
        <v>2</v>
      </c>
      <c r="O14">
        <v>1.5</v>
      </c>
      <c r="P14">
        <v>1.5</v>
      </c>
      <c r="R14" t="s">
        <v>191</v>
      </c>
      <c r="S14" t="s">
        <v>1142</v>
      </c>
      <c r="T14" t="s">
        <v>1127</v>
      </c>
      <c r="U14" t="s">
        <v>1123</v>
      </c>
    </row>
    <row r="15" spans="1:21" x14ac:dyDescent="0.25">
      <c r="A15" t="s">
        <v>218</v>
      </c>
      <c r="B15" t="str">
        <f>"&lt; "&amp;Thresholds[[#This Row],[Threshold1]]</f>
        <v>&lt; 33</v>
      </c>
      <c r="C15" t="str">
        <f>"≥ "&amp;Thresholds[[#This Row],[Threshold1]]&amp;" and &lt; "&amp;Thresholds[[#This Row],[Threshold2]]</f>
        <v>≥ 33 and &lt; 53</v>
      </c>
      <c r="D15" t="str">
        <f>"≥ "&amp;Thresholds[[#This Row],[Threshold2]]</f>
        <v>≥ 53</v>
      </c>
      <c r="E15">
        <v>33</v>
      </c>
      <c r="F15">
        <v>53</v>
      </c>
      <c r="H15" t="s">
        <v>218</v>
      </c>
      <c r="I15">
        <v>1.5</v>
      </c>
      <c r="J15">
        <v>1</v>
      </c>
      <c r="K15">
        <v>1</v>
      </c>
      <c r="M15" t="s">
        <v>218</v>
      </c>
      <c r="N15">
        <v>2</v>
      </c>
      <c r="O15">
        <v>1.5</v>
      </c>
      <c r="P15">
        <v>1.5</v>
      </c>
      <c r="R15" t="s">
        <v>195</v>
      </c>
      <c r="S15" t="s">
        <v>1123</v>
      </c>
      <c r="U15" t="s">
        <v>1138</v>
      </c>
    </row>
    <row r="16" spans="1:21" x14ac:dyDescent="0.25">
      <c r="A16" t="s">
        <v>222</v>
      </c>
      <c r="B16" t="s">
        <v>233</v>
      </c>
      <c r="C16" t="str">
        <f>"≥ "&amp;Thresholds[[#This Row],[Threshold1]]&amp;" and &lt; "&amp;Thresholds[[#This Row],[Threshold2]]</f>
        <v>≥ 80 and &lt; 91</v>
      </c>
      <c r="D16" t="str">
        <f>"≥ "&amp;Thresholds[[#This Row],[Threshold2]]</f>
        <v>≥ 91</v>
      </c>
      <c r="E16">
        <v>80</v>
      </c>
      <c r="F16">
        <v>91</v>
      </c>
      <c r="H16" t="s">
        <v>222</v>
      </c>
      <c r="I16" t="e">
        <v>#N/A</v>
      </c>
      <c r="J16">
        <v>1</v>
      </c>
      <c r="K16">
        <v>1</v>
      </c>
      <c r="M16" t="s">
        <v>222</v>
      </c>
      <c r="N16" t="e">
        <f>NA()</f>
        <v>#N/A</v>
      </c>
      <c r="O16">
        <v>2</v>
      </c>
      <c r="P16">
        <v>2</v>
      </c>
      <c r="R16" t="s">
        <v>222</v>
      </c>
      <c r="T16" t="s">
        <v>1143</v>
      </c>
      <c r="U16" t="s">
        <v>1144</v>
      </c>
    </row>
  </sheetData>
  <sheetProtection algorithmName="SHA-512" hashValue="5aTZjqnMUbZHsqJU+HyOpJ09V8lmYzZCGdlWYk0X5n1OvTnixu9rR2nBplNSPHa33FjuLm1KxnHdn+4lpzfWFQ==" saltValue="mXTj2gsk9GQY9hmAN0ie8g==" spinCount="100000" sheet="1" objects="1" scenarios="1"/>
  <phoneticPr fontId="31" type="noConversion"/>
  <conditionalFormatting sqref="B4:D16">
    <cfRule type="cellIs" dxfId="7" priority="7" operator="equal">
      <formula>"no test"</formula>
    </cfRule>
  </conditionalFormatting>
  <conditionalFormatting sqref="I4:K16">
    <cfRule type="cellIs" dxfId="6" priority="6" operator="equal">
      <formula>""</formula>
    </cfRule>
  </conditionalFormatting>
  <conditionalFormatting sqref="N4:P16">
    <cfRule type="cellIs" dxfId="5" priority="5" operator="equal">
      <formula>""</formula>
    </cfRule>
  </conditionalFormatting>
  <conditionalFormatting sqref="I4:K16 N4:P16">
    <cfRule type="containsErrors" dxfId="4" priority="8">
      <formula>ISERROR(I4)</formula>
    </cfRule>
  </conditionalFormatting>
  <conditionalFormatting sqref="R4:R16">
    <cfRule type="containsBlanks" dxfId="3" priority="9">
      <formula>LEN(TRIM(R4))=0</formula>
    </cfRule>
  </conditionalFormatting>
  <conditionalFormatting sqref="O9">
    <cfRule type="cellIs" dxfId="2"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158</v>
      </c>
      <c r="B1" t="s">
        <v>234</v>
      </c>
      <c r="C1" t="s">
        <v>235</v>
      </c>
      <c r="D1" t="s">
        <v>236</v>
      </c>
      <c r="E1" t="s">
        <v>237</v>
      </c>
      <c r="F1" t="s">
        <v>238</v>
      </c>
      <c r="G1" t="s">
        <v>239</v>
      </c>
    </row>
    <row r="2" spans="1:7" x14ac:dyDescent="0.25">
      <c r="A2" t="s">
        <v>240</v>
      </c>
      <c r="B2" t="s">
        <v>241</v>
      </c>
      <c r="C2" t="s">
        <v>242</v>
      </c>
      <c r="D2" t="s">
        <v>243</v>
      </c>
      <c r="E2">
        <v>71</v>
      </c>
      <c r="F2" t="b" cm="1">
        <f t="array" ref="F2">IFERROR(OR(_xlfn._xlws.FILTER(Table6[companyid FILTER],Table6[companyid]=Table1[[#This Row],[companyid]])),FALSE)</f>
        <v>0</v>
      </c>
      <c r="G2">
        <v>57132</v>
      </c>
    </row>
    <row r="3" spans="1:7" x14ac:dyDescent="0.25">
      <c r="A3" t="s">
        <v>244</v>
      </c>
      <c r="B3" t="s">
        <v>245</v>
      </c>
      <c r="C3" t="s">
        <v>246</v>
      </c>
      <c r="D3" t="s">
        <v>247</v>
      </c>
      <c r="E3">
        <v>43</v>
      </c>
      <c r="F3" t="b" cm="1">
        <f t="array" ref="F3">IFERROR(OR(_xlfn._xlws.FILTER(Table6[companyid FILTER],Table6[companyid]=Table1[[#This Row],[companyid]])),FALSE)</f>
        <v>0</v>
      </c>
      <c r="G3">
        <v>57170</v>
      </c>
    </row>
    <row r="4" spans="1:7" x14ac:dyDescent="0.25">
      <c r="A4" t="s">
        <v>244</v>
      </c>
      <c r="B4" t="s">
        <v>248</v>
      </c>
      <c r="C4" t="s">
        <v>246</v>
      </c>
      <c r="D4" t="s">
        <v>247</v>
      </c>
      <c r="E4">
        <v>13</v>
      </c>
      <c r="F4" t="b" cm="1">
        <f t="array" ref="F4">IFERROR(OR(_xlfn._xlws.FILTER(Table6[companyid FILTER],Table6[companyid]=Table1[[#This Row],[companyid]])),FALSE)</f>
        <v>0</v>
      </c>
      <c r="G4">
        <v>57170</v>
      </c>
    </row>
    <row r="5" spans="1:7" x14ac:dyDescent="0.25">
      <c r="A5" t="s">
        <v>249</v>
      </c>
      <c r="B5" t="s">
        <v>250</v>
      </c>
      <c r="C5" t="s">
        <v>251</v>
      </c>
      <c r="D5" t="s">
        <v>252</v>
      </c>
      <c r="E5">
        <v>125</v>
      </c>
      <c r="F5" t="b" cm="1">
        <f t="array" ref="F5">IFERROR(OR(_xlfn._xlws.FILTER(Table6[companyid FILTER],Table6[companyid]=Table1[[#This Row],[companyid]])),FALSE)</f>
        <v>0</v>
      </c>
      <c r="G5">
        <v>57113</v>
      </c>
    </row>
    <row r="6" spans="1:7" x14ac:dyDescent="0.25">
      <c r="A6" t="s">
        <v>253</v>
      </c>
      <c r="B6" t="s">
        <v>254</v>
      </c>
      <c r="C6" t="s">
        <v>255</v>
      </c>
      <c r="D6" t="s">
        <v>256</v>
      </c>
      <c r="E6">
        <v>1</v>
      </c>
      <c r="F6" t="b" cm="1">
        <f t="array" ref="F6">IFERROR(OR(_xlfn._xlws.FILTER(Table6[companyid FILTER],Table6[companyid]=Table1[[#This Row],[companyid]])),FALSE)</f>
        <v>0</v>
      </c>
      <c r="G6">
        <v>57158</v>
      </c>
    </row>
    <row r="7" spans="1:7" x14ac:dyDescent="0.25">
      <c r="A7" t="s">
        <v>257</v>
      </c>
      <c r="B7" t="s">
        <v>258</v>
      </c>
      <c r="C7" t="s">
        <v>259</v>
      </c>
      <c r="D7" t="s">
        <v>260</v>
      </c>
      <c r="E7">
        <v>6</v>
      </c>
      <c r="F7" t="b" cm="1">
        <f t="array" ref="F7">IFERROR(OR(_xlfn._xlws.FILTER(Table6[companyid FILTER],Table6[companyid]=Table1[[#This Row],[companyid]])),FALSE)</f>
        <v>0</v>
      </c>
      <c r="G7">
        <v>57240</v>
      </c>
    </row>
    <row r="8" spans="1:7" x14ac:dyDescent="0.25">
      <c r="A8" t="s">
        <v>261</v>
      </c>
      <c r="B8" t="s">
        <v>262</v>
      </c>
      <c r="C8" t="s">
        <v>259</v>
      </c>
      <c r="D8" t="s">
        <v>263</v>
      </c>
      <c r="E8">
        <v>394</v>
      </c>
      <c r="F8" t="b" cm="1">
        <f t="array" ref="F8">IFERROR(OR(_xlfn._xlws.FILTER(Table6[companyid FILTER],Table6[companyid]=Table1[[#This Row],[companyid]])),FALSE)</f>
        <v>0</v>
      </c>
      <c r="G8">
        <v>57248</v>
      </c>
    </row>
    <row r="9" spans="1:7" x14ac:dyDescent="0.25">
      <c r="A9" t="s">
        <v>261</v>
      </c>
      <c r="B9" t="s">
        <v>262</v>
      </c>
      <c r="C9" t="s">
        <v>259</v>
      </c>
      <c r="D9" t="s">
        <v>264</v>
      </c>
      <c r="E9">
        <v>103</v>
      </c>
      <c r="F9" t="b" cm="1">
        <f t="array" ref="F9">IFERROR(OR(_xlfn._xlws.FILTER(Table6[companyid FILTER],Table6[companyid]=Table1[[#This Row],[companyid]])),FALSE)</f>
        <v>0</v>
      </c>
      <c r="G9">
        <v>57248</v>
      </c>
    </row>
    <row r="10" spans="1:7" x14ac:dyDescent="0.25">
      <c r="A10" t="s">
        <v>265</v>
      </c>
      <c r="B10" t="s">
        <v>266</v>
      </c>
      <c r="C10" t="s">
        <v>259</v>
      </c>
      <c r="D10" t="s">
        <v>263</v>
      </c>
      <c r="E10">
        <v>692</v>
      </c>
      <c r="F10" t="b" cm="1">
        <f t="array" ref="F10">IFERROR(OR(_xlfn._xlws.FILTER(Table6[companyid FILTER],Table6[companyid]=Table1[[#This Row],[companyid]])),FALSE)</f>
        <v>0</v>
      </c>
      <c r="G10">
        <v>57221</v>
      </c>
    </row>
    <row r="11" spans="1:7" x14ac:dyDescent="0.25">
      <c r="A11" t="s">
        <v>265</v>
      </c>
      <c r="B11" t="s">
        <v>267</v>
      </c>
      <c r="C11" t="s">
        <v>268</v>
      </c>
      <c r="D11" t="s">
        <v>263</v>
      </c>
      <c r="E11">
        <v>665</v>
      </c>
      <c r="F11" t="b" cm="1">
        <f t="array" ref="F11">IFERROR(OR(_xlfn._xlws.FILTER(Table6[companyid FILTER],Table6[companyid]=Table1[[#This Row],[companyid]])),FALSE)</f>
        <v>0</v>
      </c>
      <c r="G11">
        <v>57221</v>
      </c>
    </row>
    <row r="12" spans="1:7" x14ac:dyDescent="0.25">
      <c r="A12" t="s">
        <v>265</v>
      </c>
      <c r="B12" t="s">
        <v>267</v>
      </c>
      <c r="C12" t="s">
        <v>268</v>
      </c>
      <c r="D12" t="s">
        <v>269</v>
      </c>
      <c r="E12">
        <v>593</v>
      </c>
      <c r="F12" t="b" cm="1">
        <f t="array" ref="F12">IFERROR(OR(_xlfn._xlws.FILTER(Table6[companyid FILTER],Table6[companyid]=Table1[[#This Row],[companyid]])),FALSE)</f>
        <v>0</v>
      </c>
      <c r="G12">
        <v>57221</v>
      </c>
    </row>
    <row r="13" spans="1:7" x14ac:dyDescent="0.25">
      <c r="A13" t="s">
        <v>270</v>
      </c>
      <c r="B13" t="s">
        <v>271</v>
      </c>
      <c r="C13" t="s">
        <v>272</v>
      </c>
      <c r="D13" t="s">
        <v>273</v>
      </c>
      <c r="E13">
        <v>9</v>
      </c>
      <c r="F13" t="b" cm="1">
        <f t="array" ref="F13">IFERROR(OR(_xlfn._xlws.FILTER(Table6[companyid FILTER],Table6[companyid]=Table1[[#This Row],[companyid]])),FALSE)</f>
        <v>0</v>
      </c>
      <c r="G13">
        <v>57178</v>
      </c>
    </row>
    <row r="14" spans="1:7" x14ac:dyDescent="0.25">
      <c r="A14" t="s">
        <v>274</v>
      </c>
      <c r="B14" t="s">
        <v>275</v>
      </c>
      <c r="C14" t="s">
        <v>276</v>
      </c>
      <c r="D14" t="s">
        <v>277</v>
      </c>
      <c r="E14">
        <v>45</v>
      </c>
      <c r="F14" t="b" cm="1">
        <f t="array" ref="F14">IFERROR(OR(_xlfn._xlws.FILTER(Table6[companyid FILTER],Table6[companyid]=Table1[[#This Row],[companyid]])),FALSE)</f>
        <v>0</v>
      </c>
      <c r="G14">
        <v>57332</v>
      </c>
    </row>
    <row r="15" spans="1:7" x14ac:dyDescent="0.25">
      <c r="A15" t="s">
        <v>278</v>
      </c>
      <c r="B15" t="s">
        <v>279</v>
      </c>
      <c r="C15" t="s">
        <v>280</v>
      </c>
      <c r="D15" t="s">
        <v>281</v>
      </c>
      <c r="E15">
        <v>372</v>
      </c>
      <c r="F15" t="b" cm="1">
        <f t="array" ref="F15">IFERROR(OR(_xlfn._xlws.FILTER(Table6[companyid FILTER],Table6[companyid]=Table1[[#This Row],[companyid]])),FALSE)</f>
        <v>0</v>
      </c>
      <c r="G15">
        <v>57283</v>
      </c>
    </row>
    <row r="16" spans="1:7" x14ac:dyDescent="0.25">
      <c r="A16" t="s">
        <v>282</v>
      </c>
      <c r="C16" t="s">
        <v>283</v>
      </c>
      <c r="E16">
        <v>0</v>
      </c>
      <c r="F16" t="b" cm="1">
        <f t="array" ref="F16">IFERROR(OR(_xlfn._xlws.FILTER(Table6[companyid FILTER],Table6[companyid]=Table1[[#This Row],[companyid]])),FALSE)</f>
        <v>0</v>
      </c>
      <c r="G16">
        <v>57280</v>
      </c>
    </row>
    <row r="17" spans="1:7" x14ac:dyDescent="0.25">
      <c r="A17" t="s">
        <v>284</v>
      </c>
      <c r="B17" t="s">
        <v>285</v>
      </c>
      <c r="C17" t="s">
        <v>286</v>
      </c>
      <c r="D17" t="s">
        <v>287</v>
      </c>
      <c r="E17">
        <v>174</v>
      </c>
      <c r="F17" t="b" cm="1">
        <f t="array" ref="F17">IFERROR(OR(_xlfn._xlws.FILTER(Table6[companyid FILTER],Table6[companyid]=Table1[[#This Row],[companyid]])),FALSE)</f>
        <v>0</v>
      </c>
      <c r="G17">
        <v>57298</v>
      </c>
    </row>
    <row r="18" spans="1:7" x14ac:dyDescent="0.25">
      <c r="A18" t="s">
        <v>284</v>
      </c>
      <c r="B18" t="s">
        <v>288</v>
      </c>
      <c r="C18" t="s">
        <v>289</v>
      </c>
      <c r="D18" t="s">
        <v>287</v>
      </c>
      <c r="E18">
        <v>172</v>
      </c>
      <c r="F18" t="b" cm="1">
        <f t="array" ref="F18">IFERROR(OR(_xlfn._xlws.FILTER(Table6[companyid FILTER],Table6[companyid]=Table1[[#This Row],[companyid]])),FALSE)</f>
        <v>0</v>
      </c>
      <c r="G18">
        <v>57298</v>
      </c>
    </row>
    <row r="19" spans="1:7" x14ac:dyDescent="0.25">
      <c r="A19" t="s">
        <v>290</v>
      </c>
      <c r="B19" t="s">
        <v>291</v>
      </c>
      <c r="C19" t="s">
        <v>292</v>
      </c>
      <c r="D19" t="s">
        <v>293</v>
      </c>
      <c r="E19">
        <v>21</v>
      </c>
      <c r="F19" t="b" cm="1">
        <f t="array" ref="F19">IFERROR(OR(_xlfn._xlws.FILTER(Table6[companyid FILTER],Table6[companyid]=Table1[[#This Row],[companyid]])),FALSE)</f>
        <v>0</v>
      </c>
      <c r="G19">
        <v>57439</v>
      </c>
    </row>
    <row r="20" spans="1:7" x14ac:dyDescent="0.25">
      <c r="A20" t="s">
        <v>290</v>
      </c>
      <c r="B20" t="s">
        <v>294</v>
      </c>
      <c r="C20" t="s">
        <v>295</v>
      </c>
      <c r="D20" t="s">
        <v>293</v>
      </c>
      <c r="E20">
        <v>14</v>
      </c>
      <c r="F20" t="b" cm="1">
        <f t="array" ref="F20">IFERROR(OR(_xlfn._xlws.FILTER(Table6[companyid FILTER],Table6[companyid]=Table1[[#This Row],[companyid]])),FALSE)</f>
        <v>0</v>
      </c>
      <c r="G20">
        <v>57439</v>
      </c>
    </row>
    <row r="21" spans="1:7" x14ac:dyDescent="0.25">
      <c r="A21" t="s">
        <v>296</v>
      </c>
      <c r="B21" t="s">
        <v>297</v>
      </c>
      <c r="C21" t="s">
        <v>298</v>
      </c>
      <c r="D21" t="s">
        <v>299</v>
      </c>
      <c r="E21">
        <v>18</v>
      </c>
      <c r="F21" t="b" cm="1">
        <f t="array" ref="F21">IFERROR(OR(_xlfn._xlws.FILTER(Table6[companyid FILTER],Table6[companyid]=Table1[[#This Row],[companyid]])),FALSE)</f>
        <v>0</v>
      </c>
      <c r="G21">
        <v>57437</v>
      </c>
    </row>
    <row r="22" spans="1:7" x14ac:dyDescent="0.25">
      <c r="A22" t="s">
        <v>300</v>
      </c>
      <c r="B22" t="s">
        <v>301</v>
      </c>
      <c r="C22" t="s">
        <v>302</v>
      </c>
      <c r="D22" t="s">
        <v>303</v>
      </c>
      <c r="E22">
        <v>28</v>
      </c>
      <c r="F22" t="b" cm="1">
        <f t="array" ref="F22">IFERROR(OR(_xlfn._xlws.FILTER(Table6[companyid FILTER],Table6[companyid]=Table1[[#This Row],[companyid]])),FALSE)</f>
        <v>0</v>
      </c>
      <c r="G22">
        <v>57464</v>
      </c>
    </row>
    <row r="23" spans="1:7" x14ac:dyDescent="0.25">
      <c r="A23" t="s">
        <v>300</v>
      </c>
      <c r="B23" t="s">
        <v>301</v>
      </c>
      <c r="C23" t="s">
        <v>302</v>
      </c>
      <c r="D23" t="s">
        <v>304</v>
      </c>
      <c r="E23">
        <v>17</v>
      </c>
      <c r="F23" t="b" cm="1">
        <f t="array" ref="F23">IFERROR(OR(_xlfn._xlws.FILTER(Table6[companyid FILTER],Table6[companyid]=Table1[[#This Row],[companyid]])),FALSE)</f>
        <v>0</v>
      </c>
      <c r="G23">
        <v>57464</v>
      </c>
    </row>
    <row r="24" spans="1:7" x14ac:dyDescent="0.25">
      <c r="A24" t="s">
        <v>305</v>
      </c>
      <c r="B24" t="s">
        <v>306</v>
      </c>
      <c r="C24" t="s">
        <v>307</v>
      </c>
      <c r="D24" t="s">
        <v>308</v>
      </c>
      <c r="E24">
        <v>410</v>
      </c>
      <c r="F24" t="b" cm="1">
        <f t="array" ref="F24">IFERROR(OR(_xlfn._xlws.FILTER(Table6[companyid FILTER],Table6[companyid]=Table1[[#This Row],[companyid]])),FALSE)</f>
        <v>0</v>
      </c>
      <c r="G24">
        <v>57461</v>
      </c>
    </row>
    <row r="25" spans="1:7" x14ac:dyDescent="0.25">
      <c r="A25" t="s">
        <v>305</v>
      </c>
      <c r="B25" t="s">
        <v>309</v>
      </c>
      <c r="C25" t="s">
        <v>307</v>
      </c>
      <c r="D25" t="s">
        <v>308</v>
      </c>
      <c r="E25">
        <v>407</v>
      </c>
      <c r="F25" t="b" cm="1">
        <f t="array" ref="F25">IFERROR(OR(_xlfn._xlws.FILTER(Table6[companyid FILTER],Table6[companyid]=Table1[[#This Row],[companyid]])),FALSE)</f>
        <v>0</v>
      </c>
      <c r="G25">
        <v>57461</v>
      </c>
    </row>
    <row r="26" spans="1:7" x14ac:dyDescent="0.25">
      <c r="A26" t="s">
        <v>305</v>
      </c>
      <c r="B26" t="s">
        <v>309</v>
      </c>
      <c r="C26" t="s">
        <v>307</v>
      </c>
      <c r="E26">
        <v>365</v>
      </c>
      <c r="F26" t="b" cm="1">
        <f t="array" ref="F26">IFERROR(OR(_xlfn._xlws.FILTER(Table6[companyid FILTER],Table6[companyid]=Table1[[#This Row],[companyid]])),FALSE)</f>
        <v>0</v>
      </c>
      <c r="G26">
        <v>57461</v>
      </c>
    </row>
    <row r="27" spans="1:7" x14ac:dyDescent="0.25">
      <c r="A27" t="s">
        <v>310</v>
      </c>
      <c r="B27" t="s">
        <v>311</v>
      </c>
      <c r="C27" t="s">
        <v>312</v>
      </c>
      <c r="D27" t="s">
        <v>313</v>
      </c>
      <c r="E27">
        <v>190</v>
      </c>
      <c r="F27" t="b" cm="1">
        <f t="array" ref="F27">IFERROR(OR(_xlfn._xlws.FILTER(Table6[companyid FILTER],Table6[companyid]=Table1[[#This Row],[companyid]])),FALSE)</f>
        <v>0</v>
      </c>
      <c r="G27">
        <v>57460</v>
      </c>
    </row>
    <row r="28" spans="1:7" x14ac:dyDescent="0.25">
      <c r="A28" t="s">
        <v>310</v>
      </c>
      <c r="B28" t="s">
        <v>309</v>
      </c>
      <c r="C28" t="s">
        <v>307</v>
      </c>
      <c r="D28" t="s">
        <v>308</v>
      </c>
      <c r="E28">
        <v>190</v>
      </c>
      <c r="F28" t="b" cm="1">
        <f t="array" ref="F28">IFERROR(OR(_xlfn._xlws.FILTER(Table6[companyid FILTER],Table6[companyid]=Table1[[#This Row],[companyid]])),FALSE)</f>
        <v>0</v>
      </c>
      <c r="G28">
        <v>57460</v>
      </c>
    </row>
    <row r="29" spans="1:7" x14ac:dyDescent="0.25">
      <c r="A29" t="s">
        <v>314</v>
      </c>
      <c r="B29" t="s">
        <v>315</v>
      </c>
      <c r="C29" t="s">
        <v>316</v>
      </c>
      <c r="D29" t="s">
        <v>317</v>
      </c>
      <c r="E29">
        <v>81</v>
      </c>
      <c r="F29" t="b" cm="1">
        <f t="array" ref="F29">IFERROR(OR(_xlfn._xlws.FILTER(Table6[companyid FILTER],Table6[companyid]=Table1[[#This Row],[companyid]])),FALSE)</f>
        <v>0</v>
      </c>
      <c r="G29">
        <v>57421</v>
      </c>
    </row>
    <row r="30" spans="1:7" x14ac:dyDescent="0.25">
      <c r="A30" t="s">
        <v>318</v>
      </c>
      <c r="C30" t="s">
        <v>283</v>
      </c>
      <c r="E30">
        <v>0</v>
      </c>
      <c r="F30" t="b" cm="1">
        <f t="array" ref="F30">IFERROR(OR(_xlfn._xlws.FILTER(Table6[companyid FILTER],Table6[companyid]=Table1[[#This Row],[companyid]])),FALSE)</f>
        <v>0</v>
      </c>
      <c r="G30">
        <v>57381</v>
      </c>
    </row>
    <row r="31" spans="1:7" x14ac:dyDescent="0.25">
      <c r="A31" t="s">
        <v>319</v>
      </c>
      <c r="B31" t="s">
        <v>320</v>
      </c>
      <c r="C31" t="s">
        <v>321</v>
      </c>
      <c r="D31" t="s">
        <v>322</v>
      </c>
      <c r="E31">
        <v>138</v>
      </c>
      <c r="F31" t="b" cm="1">
        <f t="array" ref="F31">IFERROR(OR(_xlfn._xlws.FILTER(Table6[companyid FILTER],Table6[companyid]=Table1[[#This Row],[companyid]])),FALSE)</f>
        <v>0</v>
      </c>
      <c r="G31">
        <v>57534</v>
      </c>
    </row>
    <row r="32" spans="1:7" x14ac:dyDescent="0.25">
      <c r="A32" t="s">
        <v>323</v>
      </c>
      <c r="B32" t="s">
        <v>324</v>
      </c>
      <c r="C32" t="s">
        <v>325</v>
      </c>
      <c r="D32" t="s">
        <v>326</v>
      </c>
      <c r="E32">
        <v>8</v>
      </c>
      <c r="F32" t="b" cm="1">
        <f t="array" ref="F32">IFERROR(OR(_xlfn._xlws.FILTER(Table6[companyid FILTER],Table6[companyid]=Table1[[#This Row],[companyid]])),FALSE)</f>
        <v>0</v>
      </c>
      <c r="G32">
        <v>57562</v>
      </c>
    </row>
    <row r="33" spans="1:7" x14ac:dyDescent="0.25">
      <c r="A33" t="s">
        <v>323</v>
      </c>
      <c r="B33" t="s">
        <v>327</v>
      </c>
      <c r="C33" t="s">
        <v>325</v>
      </c>
      <c r="D33" t="s">
        <v>326</v>
      </c>
      <c r="E33">
        <v>2</v>
      </c>
      <c r="F33" t="b" cm="1">
        <f t="array" ref="F33">IFERROR(OR(_xlfn._xlws.FILTER(Table6[companyid FILTER],Table6[companyid]=Table1[[#This Row],[companyid]])),FALSE)</f>
        <v>0</v>
      </c>
      <c r="G33">
        <v>57562</v>
      </c>
    </row>
    <row r="34" spans="1:7" x14ac:dyDescent="0.25">
      <c r="A34" t="s">
        <v>328</v>
      </c>
      <c r="C34" t="s">
        <v>283</v>
      </c>
      <c r="E34">
        <v>3</v>
      </c>
      <c r="F34" t="b" cm="1">
        <f t="array" ref="F34">IFERROR(OR(_xlfn._xlws.FILTER(Table6[companyid FILTER],Table6[companyid]=Table1[[#This Row],[companyid]])),FALSE)</f>
        <v>0</v>
      </c>
      <c r="G34">
        <v>61312</v>
      </c>
    </row>
    <row r="35" spans="1:7" x14ac:dyDescent="0.25">
      <c r="A35" t="s">
        <v>329</v>
      </c>
      <c r="B35" t="s">
        <v>330</v>
      </c>
      <c r="C35" t="s">
        <v>331</v>
      </c>
      <c r="D35" t="s">
        <v>332</v>
      </c>
      <c r="E35">
        <v>13</v>
      </c>
      <c r="F35" t="b" cm="1">
        <f t="array" ref="F35">IFERROR(OR(_xlfn._xlws.FILTER(Table6[companyid FILTER],Table6[companyid]=Table1[[#This Row],[companyid]])),FALSE)</f>
        <v>0</v>
      </c>
      <c r="G35">
        <v>87871</v>
      </c>
    </row>
    <row r="36" spans="1:7" x14ac:dyDescent="0.25">
      <c r="A36" t="s">
        <v>333</v>
      </c>
      <c r="B36" t="s">
        <v>334</v>
      </c>
      <c r="C36" t="s">
        <v>335</v>
      </c>
      <c r="D36" t="s">
        <v>336</v>
      </c>
      <c r="E36">
        <v>94</v>
      </c>
      <c r="F36" t="b" cm="1">
        <f t="array" ref="F36">IFERROR(OR(_xlfn._xlws.FILTER(Table6[companyid FILTER],Table6[companyid]=Table1[[#This Row],[companyid]])),FALSE)</f>
        <v>0</v>
      </c>
      <c r="G36">
        <v>57492</v>
      </c>
    </row>
    <row r="37" spans="1:7" x14ac:dyDescent="0.25">
      <c r="A37" t="s">
        <v>337</v>
      </c>
      <c r="B37" t="s">
        <v>338</v>
      </c>
      <c r="C37" t="s">
        <v>339</v>
      </c>
      <c r="D37" t="s">
        <v>340</v>
      </c>
      <c r="E37">
        <v>303</v>
      </c>
      <c r="F37" t="b" cm="1">
        <f t="array" ref="F37">IFERROR(OR(_xlfn._xlws.FILTER(Table6[companyid FILTER],Table6[companyid]=Table1[[#This Row],[companyid]])),FALSE)</f>
        <v>0</v>
      </c>
      <c r="G37">
        <v>57481</v>
      </c>
    </row>
    <row r="38" spans="1:7" x14ac:dyDescent="0.25">
      <c r="A38" t="s">
        <v>337</v>
      </c>
      <c r="B38" t="s">
        <v>341</v>
      </c>
      <c r="C38" t="s">
        <v>339</v>
      </c>
      <c r="D38" t="s">
        <v>340</v>
      </c>
      <c r="E38">
        <v>294</v>
      </c>
      <c r="F38" t="b" cm="1">
        <f t="array" ref="F38">IFERROR(OR(_xlfn._xlws.FILTER(Table6[companyid FILTER],Table6[companyid]=Table1[[#This Row],[companyid]])),FALSE)</f>
        <v>0</v>
      </c>
      <c r="G38">
        <v>57481</v>
      </c>
    </row>
    <row r="39" spans="1:7" x14ac:dyDescent="0.25">
      <c r="A39" t="s">
        <v>337</v>
      </c>
      <c r="B39" t="s">
        <v>341</v>
      </c>
      <c r="C39" t="s">
        <v>339</v>
      </c>
      <c r="D39" t="s">
        <v>342</v>
      </c>
      <c r="E39">
        <v>276</v>
      </c>
      <c r="F39" t="b" cm="1">
        <f t="array" ref="F39">IFERROR(OR(_xlfn._xlws.FILTER(Table6[companyid FILTER],Table6[companyid]=Table1[[#This Row],[companyid]])),FALSE)</f>
        <v>0</v>
      </c>
      <c r="G39">
        <v>57481</v>
      </c>
    </row>
    <row r="40" spans="1:7" x14ac:dyDescent="0.25">
      <c r="A40" t="s">
        <v>343</v>
      </c>
      <c r="B40" t="s">
        <v>344</v>
      </c>
      <c r="C40" t="s">
        <v>345</v>
      </c>
      <c r="D40" t="s">
        <v>346</v>
      </c>
      <c r="E40">
        <v>369</v>
      </c>
      <c r="F40" t="b" cm="1">
        <f t="array" ref="F40">IFERROR(OR(_xlfn._xlws.FILTER(Table6[companyid FILTER],Table6[companyid]=Table1[[#This Row],[companyid]])),FALSE)</f>
        <v>0</v>
      </c>
      <c r="G40">
        <v>57508</v>
      </c>
    </row>
    <row r="41" spans="1:7" x14ac:dyDescent="0.25">
      <c r="A41" t="s">
        <v>343</v>
      </c>
      <c r="B41" t="s">
        <v>347</v>
      </c>
      <c r="C41" t="s">
        <v>348</v>
      </c>
      <c r="D41" t="s">
        <v>346</v>
      </c>
      <c r="E41">
        <v>132</v>
      </c>
      <c r="F41" t="b" cm="1">
        <f t="array" ref="F41">IFERROR(OR(_xlfn._xlws.FILTER(Table6[companyid FILTER],Table6[companyid]=Table1[[#This Row],[companyid]])),FALSE)</f>
        <v>0</v>
      </c>
      <c r="G41">
        <v>57508</v>
      </c>
    </row>
    <row r="42" spans="1:7" x14ac:dyDescent="0.25">
      <c r="A42" t="s">
        <v>349</v>
      </c>
      <c r="C42" t="s">
        <v>283</v>
      </c>
      <c r="E42">
        <v>0</v>
      </c>
      <c r="F42" t="b" cm="1">
        <f t="array" ref="F42">IFERROR(OR(_xlfn._xlws.FILTER(Table6[companyid FILTER],Table6[companyid]=Table1[[#This Row],[companyid]])),FALSE)</f>
        <v>0</v>
      </c>
      <c r="G42">
        <v>57613</v>
      </c>
    </row>
    <row r="43" spans="1:7" x14ac:dyDescent="0.25">
      <c r="A43" t="s">
        <v>350</v>
      </c>
      <c r="B43" t="s">
        <v>351</v>
      </c>
      <c r="C43" t="s">
        <v>259</v>
      </c>
      <c r="D43" t="s">
        <v>352</v>
      </c>
      <c r="E43">
        <v>30</v>
      </c>
      <c r="F43" t="b" cm="1">
        <f t="array" ref="F43">IFERROR(OR(_xlfn._xlws.FILTER(Table6[companyid FILTER],Table6[companyid]=Table1[[#This Row],[companyid]])),FALSE)</f>
        <v>0</v>
      </c>
      <c r="G43">
        <v>57598</v>
      </c>
    </row>
    <row r="44" spans="1:7" x14ac:dyDescent="0.25">
      <c r="A44" t="s">
        <v>350</v>
      </c>
      <c r="B44" t="s">
        <v>351</v>
      </c>
      <c r="C44" t="s">
        <v>259</v>
      </c>
      <c r="D44" t="s">
        <v>353</v>
      </c>
      <c r="E44">
        <v>15</v>
      </c>
      <c r="F44" t="b" cm="1">
        <f t="array" ref="F44">IFERROR(OR(_xlfn._xlws.FILTER(Table6[companyid FILTER],Table6[companyid]=Table1[[#This Row],[companyid]])),FALSE)</f>
        <v>0</v>
      </c>
      <c r="G44">
        <v>57598</v>
      </c>
    </row>
    <row r="45" spans="1:7" x14ac:dyDescent="0.25">
      <c r="A45" t="s">
        <v>354</v>
      </c>
      <c r="B45" t="s">
        <v>355</v>
      </c>
      <c r="C45" t="s">
        <v>356</v>
      </c>
      <c r="D45" t="s">
        <v>357</v>
      </c>
      <c r="E45">
        <v>12</v>
      </c>
      <c r="F45" t="b" cm="1">
        <f t="array" ref="F45">IFERROR(OR(_xlfn._xlws.FILTER(Table6[companyid FILTER],Table6[companyid]=Table1[[#This Row],[companyid]])),FALSE)</f>
        <v>0</v>
      </c>
      <c r="G45">
        <v>57762</v>
      </c>
    </row>
    <row r="46" spans="1:7" x14ac:dyDescent="0.25">
      <c r="A46" t="s">
        <v>354</v>
      </c>
      <c r="B46" t="s">
        <v>358</v>
      </c>
      <c r="C46" t="s">
        <v>356</v>
      </c>
      <c r="D46" t="s">
        <v>357</v>
      </c>
      <c r="E46">
        <v>3</v>
      </c>
      <c r="F46" t="b" cm="1">
        <f t="array" ref="F46">IFERROR(OR(_xlfn._xlws.FILTER(Table6[companyid FILTER],Table6[companyid]=Table1[[#This Row],[companyid]])),FALSE)</f>
        <v>0</v>
      </c>
      <c r="G46">
        <v>57762</v>
      </c>
    </row>
    <row r="47" spans="1:7" x14ac:dyDescent="0.25">
      <c r="A47" t="s">
        <v>354</v>
      </c>
      <c r="C47" t="s">
        <v>283</v>
      </c>
      <c r="E47">
        <v>0</v>
      </c>
      <c r="F47" t="b" cm="1">
        <f t="array" ref="F47">IFERROR(OR(_xlfn._xlws.FILTER(Table6[companyid FILTER],Table6[companyid]=Table1[[#This Row],[companyid]])),FALSE)</f>
        <v>0</v>
      </c>
      <c r="G47">
        <v>57762</v>
      </c>
    </row>
    <row r="48" spans="1:7" x14ac:dyDescent="0.25">
      <c r="A48" t="s">
        <v>359</v>
      </c>
      <c r="B48" t="s">
        <v>360</v>
      </c>
      <c r="C48" t="s">
        <v>361</v>
      </c>
      <c r="D48" t="s">
        <v>362</v>
      </c>
      <c r="E48">
        <v>14</v>
      </c>
      <c r="F48" t="b" cm="1">
        <f t="array" ref="F48">IFERROR(OR(_xlfn._xlws.FILTER(Table6[companyid FILTER],Table6[companyid]=Table1[[#This Row],[companyid]])),FALSE)</f>
        <v>0</v>
      </c>
      <c r="G48">
        <v>57755</v>
      </c>
    </row>
    <row r="49" spans="1:7" x14ac:dyDescent="0.25">
      <c r="A49" t="s">
        <v>363</v>
      </c>
      <c r="B49" t="s">
        <v>364</v>
      </c>
      <c r="C49" t="s">
        <v>365</v>
      </c>
      <c r="D49" t="s">
        <v>366</v>
      </c>
      <c r="E49">
        <v>31</v>
      </c>
      <c r="F49" t="b" cm="1">
        <f t="array" ref="F49">IFERROR(OR(_xlfn._xlws.FILTER(Table6[companyid FILTER],Table6[companyid]=Table1[[#This Row],[companyid]])),FALSE)</f>
        <v>0</v>
      </c>
      <c r="G49">
        <v>57682</v>
      </c>
    </row>
    <row r="50" spans="1:7" x14ac:dyDescent="0.25">
      <c r="A50" t="s">
        <v>363</v>
      </c>
      <c r="C50" t="s">
        <v>283</v>
      </c>
      <c r="E50">
        <v>0</v>
      </c>
      <c r="F50" t="b" cm="1">
        <f t="array" ref="F50">IFERROR(OR(_xlfn._xlws.FILTER(Table6[companyid FILTER],Table6[companyid]=Table1[[#This Row],[companyid]])),FALSE)</f>
        <v>0</v>
      </c>
      <c r="G50">
        <v>57682</v>
      </c>
    </row>
    <row r="51" spans="1:7" x14ac:dyDescent="0.25">
      <c r="A51" t="s">
        <v>367</v>
      </c>
      <c r="B51" t="s">
        <v>368</v>
      </c>
      <c r="C51" t="s">
        <v>369</v>
      </c>
      <c r="D51" t="s">
        <v>370</v>
      </c>
      <c r="E51">
        <v>38</v>
      </c>
      <c r="F51" t="b" cm="1">
        <f t="array" ref="F51">IFERROR(OR(_xlfn._xlws.FILTER(Table6[companyid FILTER],Table6[companyid]=Table1[[#This Row],[companyid]])),FALSE)</f>
        <v>0</v>
      </c>
      <c r="G51">
        <v>57718</v>
      </c>
    </row>
    <row r="52" spans="1:7" x14ac:dyDescent="0.25">
      <c r="A52" t="s">
        <v>367</v>
      </c>
      <c r="B52" t="s">
        <v>368</v>
      </c>
      <c r="C52" t="s">
        <v>369</v>
      </c>
      <c r="D52" t="s">
        <v>371</v>
      </c>
      <c r="E52">
        <v>26</v>
      </c>
      <c r="F52" t="b" cm="1">
        <f t="array" ref="F52">IFERROR(OR(_xlfn._xlws.FILTER(Table6[companyid FILTER],Table6[companyid]=Table1[[#This Row],[companyid]])),FALSE)</f>
        <v>0</v>
      </c>
      <c r="G52">
        <v>57718</v>
      </c>
    </row>
    <row r="53" spans="1:7" x14ac:dyDescent="0.25">
      <c r="A53" t="s">
        <v>372</v>
      </c>
      <c r="B53" t="s">
        <v>373</v>
      </c>
      <c r="C53" t="s">
        <v>374</v>
      </c>
      <c r="D53" t="s">
        <v>375</v>
      </c>
      <c r="E53">
        <v>26</v>
      </c>
      <c r="F53" t="b" cm="1">
        <f t="array" ref="F53">IFERROR(OR(_xlfn._xlws.FILTER(Table6[companyid FILTER],Table6[companyid]=Table1[[#This Row],[companyid]])),FALSE)</f>
        <v>0</v>
      </c>
      <c r="G53">
        <v>57704</v>
      </c>
    </row>
    <row r="54" spans="1:7" x14ac:dyDescent="0.25">
      <c r="A54" t="s">
        <v>376</v>
      </c>
      <c r="B54" t="s">
        <v>377</v>
      </c>
      <c r="C54" t="s">
        <v>378</v>
      </c>
      <c r="E54">
        <v>27</v>
      </c>
      <c r="F54" t="b" cm="1">
        <f t="array" ref="F54">IFERROR(OR(_xlfn._xlws.FILTER(Table6[companyid FILTER],Table6[companyid]=Table1[[#This Row],[companyid]])),FALSE)</f>
        <v>0</v>
      </c>
      <c r="G54">
        <v>57844</v>
      </c>
    </row>
    <row r="55" spans="1:7" x14ac:dyDescent="0.25">
      <c r="A55" t="s">
        <v>376</v>
      </c>
      <c r="B55" t="s">
        <v>379</v>
      </c>
      <c r="C55" t="s">
        <v>380</v>
      </c>
      <c r="D55" t="s">
        <v>381</v>
      </c>
      <c r="E55">
        <v>9</v>
      </c>
      <c r="F55" t="b" cm="1">
        <f t="array" ref="F55">IFERROR(OR(_xlfn._xlws.FILTER(Table6[companyid FILTER],Table6[companyid]=Table1[[#This Row],[companyid]])),FALSE)</f>
        <v>0</v>
      </c>
      <c r="G55">
        <v>57844</v>
      </c>
    </row>
    <row r="56" spans="1:7" x14ac:dyDescent="0.25">
      <c r="A56" t="s">
        <v>376</v>
      </c>
      <c r="C56" t="s">
        <v>283</v>
      </c>
      <c r="E56">
        <v>0</v>
      </c>
      <c r="F56" t="b" cm="1">
        <f t="array" ref="F56">IFERROR(OR(_xlfn._xlws.FILTER(Table6[companyid FILTER],Table6[companyid]=Table1[[#This Row],[companyid]])),FALSE)</f>
        <v>0</v>
      </c>
      <c r="G56">
        <v>57844</v>
      </c>
    </row>
    <row r="57" spans="1:7" x14ac:dyDescent="0.25">
      <c r="A57" t="s">
        <v>382</v>
      </c>
      <c r="B57" t="s">
        <v>383</v>
      </c>
      <c r="C57" t="s">
        <v>384</v>
      </c>
      <c r="D57" t="s">
        <v>385</v>
      </c>
      <c r="E57">
        <v>686</v>
      </c>
      <c r="F57" t="b" cm="1">
        <f t="array" ref="F57">IFERROR(OR(_xlfn._xlws.FILTER(Table6[companyid FILTER],Table6[companyid]=Table1[[#This Row],[companyid]])),FALSE)</f>
        <v>0</v>
      </c>
      <c r="G57">
        <v>57819</v>
      </c>
    </row>
    <row r="58" spans="1:7" x14ac:dyDescent="0.25">
      <c r="A58" t="s">
        <v>382</v>
      </c>
      <c r="B58" t="s">
        <v>386</v>
      </c>
      <c r="C58" t="s">
        <v>259</v>
      </c>
      <c r="D58" t="s">
        <v>385</v>
      </c>
      <c r="E58">
        <v>414</v>
      </c>
      <c r="F58" t="b" cm="1">
        <f t="array" ref="F58">IFERROR(OR(_xlfn._xlws.FILTER(Table6[companyid FILTER],Table6[companyid]=Table1[[#This Row],[companyid]])),FALSE)</f>
        <v>0</v>
      </c>
      <c r="G58">
        <v>57819</v>
      </c>
    </row>
    <row r="59" spans="1:7" x14ac:dyDescent="0.25">
      <c r="A59" t="s">
        <v>387</v>
      </c>
      <c r="B59" t="s">
        <v>388</v>
      </c>
      <c r="C59" t="s">
        <v>384</v>
      </c>
      <c r="D59" t="s">
        <v>385</v>
      </c>
      <c r="E59">
        <v>160</v>
      </c>
      <c r="F59" t="b" cm="1">
        <f t="array" ref="F59">IFERROR(OR(_xlfn._xlws.FILTER(Table6[companyid FILTER],Table6[companyid]=Table1[[#This Row],[companyid]])),FALSE)</f>
        <v>0</v>
      </c>
      <c r="G59">
        <v>57820</v>
      </c>
    </row>
    <row r="60" spans="1:7" x14ac:dyDescent="0.25">
      <c r="A60" t="s">
        <v>389</v>
      </c>
      <c r="B60" t="s">
        <v>390</v>
      </c>
      <c r="C60" t="s">
        <v>374</v>
      </c>
      <c r="D60" t="s">
        <v>391</v>
      </c>
      <c r="E60">
        <v>1</v>
      </c>
      <c r="F60" t="b" cm="1">
        <f t="array" ref="F60">IFERROR(OR(_xlfn._xlws.FILTER(Table6[companyid FILTER],Table6[companyid]=Table1[[#This Row],[companyid]])),FALSE)</f>
        <v>0</v>
      </c>
      <c r="G60">
        <v>115311</v>
      </c>
    </row>
    <row r="61" spans="1:7" x14ac:dyDescent="0.25">
      <c r="A61" t="s">
        <v>392</v>
      </c>
      <c r="B61" t="s">
        <v>393</v>
      </c>
      <c r="C61" t="s">
        <v>394</v>
      </c>
      <c r="D61" t="s">
        <v>395</v>
      </c>
      <c r="E61">
        <v>27</v>
      </c>
      <c r="F61" t="b" cm="1">
        <f t="array" ref="F61">IFERROR(OR(_xlfn._xlws.FILTER(Table6[companyid FILTER],Table6[companyid]=Table1[[#This Row],[companyid]])),FALSE)</f>
        <v>0</v>
      </c>
      <c r="G61">
        <v>57777</v>
      </c>
    </row>
    <row r="62" spans="1:7" x14ac:dyDescent="0.25">
      <c r="A62" t="s">
        <v>392</v>
      </c>
      <c r="B62" t="s">
        <v>396</v>
      </c>
      <c r="C62" t="s">
        <v>394</v>
      </c>
      <c r="D62" t="s">
        <v>395</v>
      </c>
      <c r="E62">
        <v>9</v>
      </c>
      <c r="F62" t="b" cm="1">
        <f t="array" ref="F62">IFERROR(OR(_xlfn._xlws.FILTER(Table6[companyid FILTER],Table6[companyid]=Table1[[#This Row],[companyid]])),FALSE)</f>
        <v>0</v>
      </c>
      <c r="G62">
        <v>57777</v>
      </c>
    </row>
    <row r="63" spans="1:7" x14ac:dyDescent="0.25">
      <c r="A63" t="s">
        <v>397</v>
      </c>
      <c r="B63" t="s">
        <v>398</v>
      </c>
      <c r="C63" t="s">
        <v>242</v>
      </c>
      <c r="E63">
        <v>13</v>
      </c>
      <c r="F63" t="b" cm="1">
        <f t="array" ref="F63">IFERROR(OR(_xlfn._xlws.FILTER(Table6[companyid FILTER],Table6[companyid]=Table1[[#This Row],[companyid]])),FALSE)</f>
        <v>0</v>
      </c>
      <c r="G63">
        <v>66118</v>
      </c>
    </row>
    <row r="64" spans="1:7" x14ac:dyDescent="0.25">
      <c r="A64" t="s">
        <v>399</v>
      </c>
      <c r="C64" t="s">
        <v>283</v>
      </c>
      <c r="E64">
        <v>0</v>
      </c>
      <c r="F64" t="b" cm="1">
        <f t="array" ref="F64">IFERROR(OR(_xlfn._xlws.FILTER(Table6[companyid FILTER],Table6[companyid]=Table1[[#This Row],[companyid]])),FALSE)</f>
        <v>0</v>
      </c>
      <c r="G64">
        <v>57962</v>
      </c>
    </row>
    <row r="65" spans="1:7" x14ac:dyDescent="0.25">
      <c r="A65" t="s">
        <v>400</v>
      </c>
      <c r="B65" t="s">
        <v>401</v>
      </c>
      <c r="C65" t="s">
        <v>402</v>
      </c>
      <c r="D65" t="s">
        <v>403</v>
      </c>
      <c r="E65">
        <v>313</v>
      </c>
      <c r="F65" t="b" cm="1">
        <f t="array" ref="F65">IFERROR(OR(_xlfn._xlws.FILTER(Table6[companyid FILTER],Table6[companyid]=Table1[[#This Row],[companyid]])),FALSE)</f>
        <v>0</v>
      </c>
      <c r="G65">
        <v>57961</v>
      </c>
    </row>
    <row r="66" spans="1:7" x14ac:dyDescent="0.25">
      <c r="A66" t="s">
        <v>400</v>
      </c>
      <c r="B66" t="s">
        <v>404</v>
      </c>
      <c r="C66" t="s">
        <v>339</v>
      </c>
      <c r="D66" t="s">
        <v>403</v>
      </c>
      <c r="E66">
        <v>168</v>
      </c>
      <c r="F66" t="b" cm="1">
        <f t="array" ref="F66">IFERROR(OR(_xlfn._xlws.FILTER(Table6[companyid FILTER],Table6[companyid]=Table1[[#This Row],[companyid]])),FALSE)</f>
        <v>0</v>
      </c>
      <c r="G66">
        <v>57961</v>
      </c>
    </row>
    <row r="67" spans="1:7" x14ac:dyDescent="0.25">
      <c r="A67" t="s">
        <v>400</v>
      </c>
      <c r="B67" t="s">
        <v>405</v>
      </c>
      <c r="C67" t="s">
        <v>365</v>
      </c>
      <c r="D67" t="s">
        <v>403</v>
      </c>
      <c r="E67">
        <v>56</v>
      </c>
      <c r="F67" t="b" cm="1">
        <f t="array" ref="F67">IFERROR(OR(_xlfn._xlws.FILTER(Table6[companyid FILTER],Table6[companyid]=Table1[[#This Row],[companyid]])),FALSE)</f>
        <v>0</v>
      </c>
      <c r="G67">
        <v>57961</v>
      </c>
    </row>
    <row r="68" spans="1:7" x14ac:dyDescent="0.25">
      <c r="A68" t="s">
        <v>406</v>
      </c>
      <c r="B68" t="s">
        <v>407</v>
      </c>
      <c r="C68" t="s">
        <v>259</v>
      </c>
      <c r="D68" t="s">
        <v>408</v>
      </c>
      <c r="E68">
        <v>87</v>
      </c>
      <c r="F68" t="b" cm="1">
        <f t="array" ref="F68">IFERROR(OR(_xlfn._xlws.FILTER(Table6[companyid FILTER],Table6[companyid]=Table1[[#This Row],[companyid]])),FALSE)</f>
        <v>0</v>
      </c>
      <c r="G68">
        <v>57958</v>
      </c>
    </row>
    <row r="69" spans="1:7" x14ac:dyDescent="0.25">
      <c r="A69" t="s">
        <v>409</v>
      </c>
      <c r="B69" t="s">
        <v>410</v>
      </c>
      <c r="C69" t="s">
        <v>411</v>
      </c>
      <c r="D69" t="s">
        <v>412</v>
      </c>
      <c r="E69">
        <v>44</v>
      </c>
      <c r="F69" t="b" cm="1">
        <f t="array" ref="F69">IFERROR(OR(_xlfn._xlws.FILTER(Table6[companyid FILTER],Table6[companyid]=Table1[[#This Row],[companyid]])),FALSE)</f>
        <v>0</v>
      </c>
      <c r="G69">
        <v>57952</v>
      </c>
    </row>
    <row r="70" spans="1:7" x14ac:dyDescent="0.25">
      <c r="A70" t="s">
        <v>409</v>
      </c>
      <c r="B70" t="s">
        <v>410</v>
      </c>
      <c r="C70" t="s">
        <v>411</v>
      </c>
      <c r="E70">
        <v>19</v>
      </c>
      <c r="F70" t="b" cm="1">
        <f t="array" ref="F70">IFERROR(OR(_xlfn._xlws.FILTER(Table6[companyid FILTER],Table6[companyid]=Table1[[#This Row],[companyid]])),FALSE)</f>
        <v>0</v>
      </c>
      <c r="G70">
        <v>57952</v>
      </c>
    </row>
    <row r="71" spans="1:7" x14ac:dyDescent="0.25">
      <c r="A71" t="s">
        <v>413</v>
      </c>
      <c r="B71" t="s">
        <v>414</v>
      </c>
      <c r="C71" t="s">
        <v>384</v>
      </c>
      <c r="D71" t="s">
        <v>415</v>
      </c>
      <c r="E71">
        <v>50</v>
      </c>
      <c r="F71" t="b" cm="1">
        <f t="array" ref="F71">IFERROR(OR(_xlfn._xlws.FILTER(Table6[companyid FILTER],Table6[companyid]=Table1[[#This Row],[companyid]])),FALSE)</f>
        <v>0</v>
      </c>
      <c r="G71">
        <v>57881</v>
      </c>
    </row>
    <row r="72" spans="1:7" x14ac:dyDescent="0.25">
      <c r="A72" t="s">
        <v>416</v>
      </c>
      <c r="B72" t="s">
        <v>417</v>
      </c>
      <c r="C72" t="s">
        <v>280</v>
      </c>
      <c r="D72" t="s">
        <v>418</v>
      </c>
      <c r="E72">
        <v>35</v>
      </c>
      <c r="F72" t="b" cm="1">
        <f t="array" ref="F72">IFERROR(OR(_xlfn._xlws.FILTER(Table6[companyid FILTER],Table6[companyid]=Table1[[#This Row],[companyid]])),FALSE)</f>
        <v>0</v>
      </c>
      <c r="G72">
        <v>57912</v>
      </c>
    </row>
    <row r="73" spans="1:7" x14ac:dyDescent="0.25">
      <c r="A73" t="s">
        <v>419</v>
      </c>
      <c r="B73" t="s">
        <v>420</v>
      </c>
      <c r="C73" t="s">
        <v>421</v>
      </c>
      <c r="D73" t="s">
        <v>422</v>
      </c>
      <c r="E73">
        <v>10</v>
      </c>
      <c r="F73" t="b" cm="1">
        <f t="array" ref="F73">IFERROR(OR(_xlfn._xlws.FILTER(Table6[companyid FILTER],Table6[companyid]=Table1[[#This Row],[companyid]])),FALSE)</f>
        <v>0</v>
      </c>
      <c r="G73">
        <v>57911</v>
      </c>
    </row>
    <row r="74" spans="1:7" x14ac:dyDescent="0.25">
      <c r="A74" t="s">
        <v>423</v>
      </c>
      <c r="B74" t="s">
        <v>424</v>
      </c>
      <c r="C74" t="s">
        <v>276</v>
      </c>
      <c r="D74" t="s">
        <v>425</v>
      </c>
      <c r="E74">
        <v>349</v>
      </c>
      <c r="F74" t="b" cm="1">
        <f t="array" ref="F74">IFERROR(OR(_xlfn._xlws.FILTER(Table6[companyid FILTER],Table6[companyid]=Table1[[#This Row],[companyid]])),FALSE)</f>
        <v>0</v>
      </c>
      <c r="G74">
        <v>57901</v>
      </c>
    </row>
    <row r="75" spans="1:7" x14ac:dyDescent="0.25">
      <c r="A75" t="s">
        <v>426</v>
      </c>
      <c r="B75" t="s">
        <v>427</v>
      </c>
      <c r="C75" t="s">
        <v>365</v>
      </c>
      <c r="D75" t="s">
        <v>428</v>
      </c>
      <c r="E75">
        <v>208</v>
      </c>
      <c r="F75" t="b" cm="1">
        <f t="array" ref="F75">IFERROR(OR(_xlfn._xlws.FILTER(Table6[companyid FILTER],Table6[companyid]=Table1[[#This Row],[companyid]])),FALSE)</f>
        <v>0</v>
      </c>
      <c r="G75">
        <v>57525</v>
      </c>
    </row>
    <row r="76" spans="1:7" x14ac:dyDescent="0.25">
      <c r="A76" t="s">
        <v>426</v>
      </c>
      <c r="B76" t="s">
        <v>429</v>
      </c>
      <c r="C76" t="s">
        <v>365</v>
      </c>
      <c r="D76" t="s">
        <v>428</v>
      </c>
      <c r="E76">
        <v>208</v>
      </c>
      <c r="F76" t="b" cm="1">
        <f t="array" ref="F76">IFERROR(OR(_xlfn._xlws.FILTER(Table6[companyid FILTER],Table6[companyid]=Table1[[#This Row],[companyid]])),FALSE)</f>
        <v>0</v>
      </c>
      <c r="G76">
        <v>57525</v>
      </c>
    </row>
    <row r="77" spans="1:7" x14ac:dyDescent="0.25">
      <c r="A77" t="s">
        <v>426</v>
      </c>
      <c r="B77" t="s">
        <v>430</v>
      </c>
      <c r="C77" t="s">
        <v>276</v>
      </c>
      <c r="D77" t="s">
        <v>431</v>
      </c>
      <c r="E77">
        <v>172</v>
      </c>
      <c r="F77" t="b" cm="1">
        <f t="array" ref="F77">IFERROR(OR(_xlfn._xlws.FILTER(Table6[companyid FILTER],Table6[companyid]=Table1[[#This Row],[companyid]])),FALSE)</f>
        <v>0</v>
      </c>
      <c r="G77">
        <v>57525</v>
      </c>
    </row>
    <row r="78" spans="1:7" x14ac:dyDescent="0.25">
      <c r="A78" t="s">
        <v>432</v>
      </c>
      <c r="B78" t="s">
        <v>433</v>
      </c>
      <c r="C78" t="s">
        <v>434</v>
      </c>
      <c r="D78" t="s">
        <v>435</v>
      </c>
      <c r="E78">
        <v>1</v>
      </c>
      <c r="F78" t="b" cm="1">
        <f t="array" ref="F78">IFERROR(OR(_xlfn._xlws.FILTER(Table6[companyid FILTER],Table6[companyid]=Table1[[#This Row],[companyid]])),FALSE)</f>
        <v>0</v>
      </c>
      <c r="G78">
        <v>58041</v>
      </c>
    </row>
    <row r="79" spans="1:7" x14ac:dyDescent="0.25">
      <c r="A79" t="s">
        <v>436</v>
      </c>
      <c r="B79" t="s">
        <v>437</v>
      </c>
      <c r="C79" t="s">
        <v>259</v>
      </c>
      <c r="D79" t="s">
        <v>438</v>
      </c>
      <c r="E79">
        <v>36</v>
      </c>
      <c r="F79" t="b" cm="1">
        <f t="array" ref="F79">IFERROR(OR(_xlfn._xlws.FILTER(Table6[companyid FILTER],Table6[companyid]=Table1[[#This Row],[companyid]])),FALSE)</f>
        <v>0</v>
      </c>
      <c r="G79">
        <v>57983</v>
      </c>
    </row>
    <row r="80" spans="1:7" x14ac:dyDescent="0.25">
      <c r="A80" t="s">
        <v>439</v>
      </c>
      <c r="C80" t="s">
        <v>283</v>
      </c>
      <c r="E80">
        <v>0</v>
      </c>
      <c r="F80" t="b" cm="1">
        <f t="array" ref="F80">IFERROR(OR(_xlfn._xlws.FILTER(Table6[companyid FILTER],Table6[companyid]=Table1[[#This Row],[companyid]])),FALSE)</f>
        <v>0</v>
      </c>
      <c r="G80">
        <v>58162</v>
      </c>
    </row>
    <row r="81" spans="1:7" x14ac:dyDescent="0.25">
      <c r="A81" t="s">
        <v>440</v>
      </c>
      <c r="B81" t="s">
        <v>441</v>
      </c>
      <c r="C81" t="s">
        <v>442</v>
      </c>
      <c r="D81" t="s">
        <v>443</v>
      </c>
      <c r="E81">
        <v>120</v>
      </c>
      <c r="F81" t="b" cm="1">
        <f t="array" ref="F81">IFERROR(OR(_xlfn._xlws.FILTER(Table6[companyid FILTER],Table6[companyid]=Table1[[#This Row],[companyid]])),FALSE)</f>
        <v>0</v>
      </c>
      <c r="G81">
        <v>58121</v>
      </c>
    </row>
    <row r="82" spans="1:7" x14ac:dyDescent="0.25">
      <c r="A82" t="s">
        <v>444</v>
      </c>
      <c r="B82" t="s">
        <v>445</v>
      </c>
      <c r="C82" t="s">
        <v>446</v>
      </c>
      <c r="D82" t="s">
        <v>447</v>
      </c>
      <c r="E82">
        <v>116</v>
      </c>
      <c r="F82" t="b" cm="1">
        <f t="array" ref="F82">IFERROR(OR(_xlfn._xlws.FILTER(Table6[companyid FILTER],Table6[companyid]=Table1[[#This Row],[companyid]])),FALSE)</f>
        <v>0</v>
      </c>
      <c r="G82">
        <v>58078</v>
      </c>
    </row>
    <row r="83" spans="1:7" x14ac:dyDescent="0.25">
      <c r="A83" t="s">
        <v>444</v>
      </c>
      <c r="B83" t="s">
        <v>448</v>
      </c>
      <c r="C83" t="s">
        <v>302</v>
      </c>
      <c r="D83" t="s">
        <v>447</v>
      </c>
      <c r="E83">
        <v>29</v>
      </c>
      <c r="F83" t="b" cm="1">
        <f t="array" ref="F83">IFERROR(OR(_xlfn._xlws.FILTER(Table6[companyid FILTER],Table6[companyid]=Table1[[#This Row],[companyid]])),FALSE)</f>
        <v>0</v>
      </c>
      <c r="G83">
        <v>58078</v>
      </c>
    </row>
    <row r="84" spans="1:7" x14ac:dyDescent="0.25">
      <c r="A84" t="s">
        <v>449</v>
      </c>
      <c r="B84" t="s">
        <v>450</v>
      </c>
      <c r="C84" t="s">
        <v>451</v>
      </c>
      <c r="D84" t="s">
        <v>452</v>
      </c>
      <c r="E84">
        <v>1309</v>
      </c>
      <c r="F84" t="b" cm="1">
        <f t="array" ref="F84">IFERROR(OR(_xlfn._xlws.FILTER(Table6[companyid FILTER],Table6[companyid]=Table1[[#This Row],[companyid]])),FALSE)</f>
        <v>0</v>
      </c>
      <c r="G84">
        <v>58115</v>
      </c>
    </row>
    <row r="85" spans="1:7" x14ac:dyDescent="0.25">
      <c r="A85" t="s">
        <v>449</v>
      </c>
      <c r="B85" t="s">
        <v>453</v>
      </c>
      <c r="C85" t="s">
        <v>454</v>
      </c>
      <c r="E85">
        <v>224</v>
      </c>
      <c r="F85" t="b" cm="1">
        <f t="array" ref="F85">IFERROR(OR(_xlfn._xlws.FILTER(Table6[companyid FILTER],Table6[companyid]=Table1[[#This Row],[companyid]])),FALSE)</f>
        <v>0</v>
      </c>
      <c r="G85">
        <v>58115</v>
      </c>
    </row>
    <row r="86" spans="1:7" x14ac:dyDescent="0.25">
      <c r="A86" t="s">
        <v>449</v>
      </c>
      <c r="B86" t="s">
        <v>455</v>
      </c>
      <c r="C86" t="s">
        <v>456</v>
      </c>
      <c r="E86">
        <v>99</v>
      </c>
      <c r="F86" t="b" cm="1">
        <f t="array" ref="F86">IFERROR(OR(_xlfn._xlws.FILTER(Table6[companyid FILTER],Table6[companyid]=Table1[[#This Row],[companyid]])),FALSE)</f>
        <v>0</v>
      </c>
      <c r="G86">
        <v>58115</v>
      </c>
    </row>
    <row r="87" spans="1:7" x14ac:dyDescent="0.25">
      <c r="A87" t="s">
        <v>449</v>
      </c>
      <c r="B87" t="s">
        <v>457</v>
      </c>
      <c r="C87" t="s">
        <v>451</v>
      </c>
      <c r="E87">
        <v>66</v>
      </c>
      <c r="F87" t="b" cm="1">
        <f t="array" ref="F87">IFERROR(OR(_xlfn._xlws.FILTER(Table6[companyid FILTER],Table6[companyid]=Table1[[#This Row],[companyid]])),FALSE)</f>
        <v>0</v>
      </c>
      <c r="G87">
        <v>58115</v>
      </c>
    </row>
    <row r="88" spans="1:7" x14ac:dyDescent="0.25">
      <c r="A88" t="s">
        <v>449</v>
      </c>
      <c r="B88" t="s">
        <v>458</v>
      </c>
      <c r="C88" t="s">
        <v>459</v>
      </c>
      <c r="E88">
        <v>10</v>
      </c>
      <c r="F88" t="b" cm="1">
        <f t="array" ref="F88">IFERROR(OR(_xlfn._xlws.FILTER(Table6[companyid FILTER],Table6[companyid]=Table1[[#This Row],[companyid]])),FALSE)</f>
        <v>0</v>
      </c>
      <c r="G88">
        <v>58115</v>
      </c>
    </row>
    <row r="89" spans="1:7" x14ac:dyDescent="0.25">
      <c r="A89" t="s">
        <v>449</v>
      </c>
      <c r="B89" t="s">
        <v>460</v>
      </c>
      <c r="C89" t="s">
        <v>276</v>
      </c>
      <c r="E89">
        <v>4</v>
      </c>
      <c r="F89" t="b" cm="1">
        <f t="array" ref="F89">IFERROR(OR(_xlfn._xlws.FILTER(Table6[companyid FILTER],Table6[companyid]=Table1[[#This Row],[companyid]])),FALSE)</f>
        <v>0</v>
      </c>
      <c r="G89">
        <v>58115</v>
      </c>
    </row>
    <row r="90" spans="1:7" x14ac:dyDescent="0.25">
      <c r="A90" t="s">
        <v>461</v>
      </c>
      <c r="B90" t="s">
        <v>462</v>
      </c>
      <c r="C90" t="s">
        <v>463</v>
      </c>
      <c r="D90" t="s">
        <v>464</v>
      </c>
      <c r="E90">
        <v>64</v>
      </c>
      <c r="F90" t="b" cm="1">
        <f t="array" ref="F90">IFERROR(OR(_xlfn._xlws.FILTER(Table6[companyid FILTER],Table6[companyid]=Table1[[#This Row],[companyid]])),FALSE)</f>
        <v>0</v>
      </c>
      <c r="G90">
        <v>58107</v>
      </c>
    </row>
    <row r="91" spans="1:7" x14ac:dyDescent="0.25">
      <c r="A91" t="s">
        <v>461</v>
      </c>
      <c r="B91" t="s">
        <v>462</v>
      </c>
      <c r="C91" t="s">
        <v>463</v>
      </c>
      <c r="D91" t="s">
        <v>465</v>
      </c>
      <c r="E91">
        <v>40</v>
      </c>
      <c r="F91" t="b" cm="1">
        <f t="array" ref="F91">IFERROR(OR(_xlfn._xlws.FILTER(Table6[companyid FILTER],Table6[companyid]=Table1[[#This Row],[companyid]])),FALSE)</f>
        <v>0</v>
      </c>
      <c r="G91">
        <v>58107</v>
      </c>
    </row>
    <row r="92" spans="1:7" x14ac:dyDescent="0.25">
      <c r="A92" t="s">
        <v>466</v>
      </c>
      <c r="B92" t="s">
        <v>467</v>
      </c>
      <c r="C92" t="s">
        <v>468</v>
      </c>
      <c r="D92" t="s">
        <v>469</v>
      </c>
      <c r="E92">
        <v>24</v>
      </c>
      <c r="F92" t="b" cm="1">
        <f t="array" ref="F92">IFERROR(OR(_xlfn._xlws.FILTER(Table6[companyid FILTER],Table6[companyid]=Table1[[#This Row],[companyid]])),FALSE)</f>
        <v>0</v>
      </c>
      <c r="G92">
        <v>58242</v>
      </c>
    </row>
    <row r="93" spans="1:7" x14ac:dyDescent="0.25">
      <c r="A93" t="s">
        <v>466</v>
      </c>
      <c r="B93" t="s">
        <v>470</v>
      </c>
      <c r="C93" t="s">
        <v>471</v>
      </c>
      <c r="D93" t="s">
        <v>469</v>
      </c>
      <c r="E93">
        <v>12</v>
      </c>
      <c r="F93" t="b" cm="1">
        <f t="array" ref="F93">IFERROR(OR(_xlfn._xlws.FILTER(Table6[companyid FILTER],Table6[companyid]=Table1[[#This Row],[companyid]])),FALSE)</f>
        <v>0</v>
      </c>
      <c r="G93">
        <v>58242</v>
      </c>
    </row>
    <row r="94" spans="1:7" x14ac:dyDescent="0.25">
      <c r="A94" t="s">
        <v>472</v>
      </c>
      <c r="B94" t="s">
        <v>473</v>
      </c>
      <c r="C94" t="s">
        <v>474</v>
      </c>
      <c r="D94" t="s">
        <v>475</v>
      </c>
      <c r="E94">
        <v>75</v>
      </c>
      <c r="F94" t="b" cm="1">
        <f t="array" ref="F94">IFERROR(OR(_xlfn._xlws.FILTER(Table6[companyid FILTER],Table6[companyid]=Table1[[#This Row],[companyid]])),FALSE)</f>
        <v>0</v>
      </c>
      <c r="G94">
        <v>57305</v>
      </c>
    </row>
    <row r="95" spans="1:7" x14ac:dyDescent="0.25">
      <c r="A95" t="s">
        <v>476</v>
      </c>
      <c r="B95" t="s">
        <v>477</v>
      </c>
      <c r="C95" t="s">
        <v>384</v>
      </c>
      <c r="D95" t="s">
        <v>478</v>
      </c>
      <c r="E95">
        <v>33</v>
      </c>
      <c r="F95" t="b" cm="1">
        <f t="array" ref="F95">IFERROR(OR(_xlfn._xlws.FILTER(Table6[companyid FILTER],Table6[companyid]=Table1[[#This Row],[companyid]])),FALSE)</f>
        <v>0</v>
      </c>
      <c r="G95">
        <v>58261</v>
      </c>
    </row>
    <row r="96" spans="1:7" x14ac:dyDescent="0.25">
      <c r="A96" t="s">
        <v>479</v>
      </c>
      <c r="B96" t="s">
        <v>480</v>
      </c>
      <c r="C96" t="s">
        <v>481</v>
      </c>
      <c r="D96" t="s">
        <v>482</v>
      </c>
      <c r="E96">
        <v>117</v>
      </c>
      <c r="F96" t="b" cm="1">
        <f t="array" ref="F96">IFERROR(OR(_xlfn._xlws.FILTER(Table6[companyid FILTER],Table6[companyid]=Table1[[#This Row],[companyid]])),FALSE)</f>
        <v>0</v>
      </c>
      <c r="G96">
        <v>58221</v>
      </c>
    </row>
    <row r="97" spans="1:7" x14ac:dyDescent="0.25">
      <c r="A97" t="s">
        <v>483</v>
      </c>
      <c r="B97" t="s">
        <v>484</v>
      </c>
      <c r="C97" t="s">
        <v>434</v>
      </c>
      <c r="D97" t="s">
        <v>485</v>
      </c>
      <c r="E97">
        <v>1</v>
      </c>
      <c r="F97" t="b" cm="1">
        <f t="array" ref="F97">IFERROR(OR(_xlfn._xlws.FILTER(Table6[companyid FILTER],Table6[companyid]=Table1[[#This Row],[companyid]])),FALSE)</f>
        <v>0</v>
      </c>
      <c r="G97">
        <v>58179</v>
      </c>
    </row>
    <row r="98" spans="1:7" x14ac:dyDescent="0.25">
      <c r="A98" t="s">
        <v>486</v>
      </c>
      <c r="B98" t="s">
        <v>487</v>
      </c>
      <c r="C98" t="s">
        <v>280</v>
      </c>
      <c r="D98" t="s">
        <v>488</v>
      </c>
      <c r="E98">
        <v>64</v>
      </c>
      <c r="F98" t="b" cm="1">
        <f t="array" ref="F98">IFERROR(OR(_xlfn._xlws.FILTER(Table6[companyid FILTER],Table6[companyid]=Table1[[#This Row],[companyid]])),FALSE)</f>
        <v>0</v>
      </c>
      <c r="G98">
        <v>58215</v>
      </c>
    </row>
    <row r="99" spans="1:7" x14ac:dyDescent="0.25">
      <c r="A99" t="s">
        <v>489</v>
      </c>
      <c r="B99" t="s">
        <v>490</v>
      </c>
      <c r="C99" t="s">
        <v>276</v>
      </c>
      <c r="D99" t="s">
        <v>491</v>
      </c>
      <c r="E99">
        <v>115</v>
      </c>
      <c r="F99" t="b" cm="1">
        <f t="array" ref="F99">IFERROR(OR(_xlfn._xlws.FILTER(Table6[companyid FILTER],Table6[companyid]=Table1[[#This Row],[companyid]])),FALSE)</f>
        <v>0</v>
      </c>
      <c r="G99">
        <v>58209</v>
      </c>
    </row>
    <row r="100" spans="1:7" x14ac:dyDescent="0.25">
      <c r="A100" t="s">
        <v>489</v>
      </c>
      <c r="B100" t="s">
        <v>429</v>
      </c>
      <c r="C100" t="s">
        <v>492</v>
      </c>
      <c r="D100" t="s">
        <v>491</v>
      </c>
      <c r="E100">
        <v>55</v>
      </c>
      <c r="F100" t="b" cm="1">
        <f t="array" ref="F100">IFERROR(OR(_xlfn._xlws.FILTER(Table6[companyid FILTER],Table6[companyid]=Table1[[#This Row],[companyid]])),FALSE)</f>
        <v>0</v>
      </c>
      <c r="G100">
        <v>58209</v>
      </c>
    </row>
    <row r="101" spans="1:7" x14ac:dyDescent="0.25">
      <c r="A101" t="s">
        <v>493</v>
      </c>
      <c r="B101" t="s">
        <v>494</v>
      </c>
      <c r="C101" t="s">
        <v>280</v>
      </c>
      <c r="D101" t="s">
        <v>495</v>
      </c>
      <c r="E101">
        <v>26</v>
      </c>
      <c r="F101" t="b" cm="1">
        <f t="array" ref="F101">IFERROR(OR(_xlfn._xlws.FILTER(Table6[companyid FILTER],Table6[companyid]=Table1[[#This Row],[companyid]])),FALSE)</f>
        <v>0</v>
      </c>
      <c r="G101">
        <v>58206</v>
      </c>
    </row>
    <row r="102" spans="1:7" x14ac:dyDescent="0.25">
      <c r="A102" t="s">
        <v>496</v>
      </c>
      <c r="C102" t="s">
        <v>283</v>
      </c>
      <c r="E102">
        <v>0</v>
      </c>
      <c r="F102" t="b" cm="1">
        <f t="array" ref="F102">IFERROR(OR(_xlfn._xlws.FILTER(Table6[companyid FILTER],Table6[companyid]=Table1[[#This Row],[companyid]])),FALSE)</f>
        <v>0</v>
      </c>
      <c r="G102">
        <v>58285</v>
      </c>
    </row>
    <row r="103" spans="1:7" x14ac:dyDescent="0.25">
      <c r="A103" t="s">
        <v>497</v>
      </c>
      <c r="B103" t="s">
        <v>498</v>
      </c>
      <c r="C103" t="s">
        <v>259</v>
      </c>
      <c r="D103" t="s">
        <v>499</v>
      </c>
      <c r="E103">
        <v>39</v>
      </c>
      <c r="F103" t="b" cm="1">
        <f t="array" ref="F103">IFERROR(OR(_xlfn._xlws.FILTER(Table6[companyid FILTER],Table6[companyid]=Table1[[#This Row],[companyid]])),FALSE)</f>
        <v>0</v>
      </c>
      <c r="G103">
        <v>57072</v>
      </c>
    </row>
    <row r="104" spans="1:7" x14ac:dyDescent="0.25">
      <c r="A104" t="s">
        <v>500</v>
      </c>
      <c r="B104" t="s">
        <v>501</v>
      </c>
      <c r="C104" t="s">
        <v>302</v>
      </c>
      <c r="D104" t="s">
        <v>502</v>
      </c>
      <c r="E104">
        <v>37</v>
      </c>
      <c r="F104" t="b" cm="1">
        <f t="array" ref="F104">IFERROR(OR(_xlfn._xlws.FILTER(Table6[companyid FILTER],Table6[companyid]=Table1[[#This Row],[companyid]])),FALSE)</f>
        <v>0</v>
      </c>
      <c r="G104">
        <v>58225</v>
      </c>
    </row>
    <row r="105" spans="1:7" x14ac:dyDescent="0.25">
      <c r="A105" t="s">
        <v>500</v>
      </c>
      <c r="B105" t="s">
        <v>503</v>
      </c>
      <c r="C105" t="s">
        <v>504</v>
      </c>
      <c r="E105">
        <v>15</v>
      </c>
      <c r="F105" t="b" cm="1">
        <f t="array" ref="F105">IFERROR(OR(_xlfn._xlws.FILTER(Table6[companyid FILTER],Table6[companyid]=Table1[[#This Row],[companyid]])),FALSE)</f>
        <v>0</v>
      </c>
      <c r="G105">
        <v>58225</v>
      </c>
    </row>
    <row r="106" spans="1:7" x14ac:dyDescent="0.25">
      <c r="A106" t="s">
        <v>505</v>
      </c>
      <c r="B106" t="s">
        <v>506</v>
      </c>
      <c r="C106" t="s">
        <v>259</v>
      </c>
      <c r="E106">
        <v>35</v>
      </c>
      <c r="F106" t="b" cm="1">
        <f t="array" ref="F106">IFERROR(OR(_xlfn._xlws.FILTER(Table6[companyid FILTER],Table6[companyid]=Table1[[#This Row],[companyid]])),FALSE)</f>
        <v>0</v>
      </c>
      <c r="G106">
        <v>57137</v>
      </c>
    </row>
    <row r="107" spans="1:7" x14ac:dyDescent="0.25">
      <c r="A107" t="s">
        <v>505</v>
      </c>
      <c r="B107" t="s">
        <v>507</v>
      </c>
      <c r="C107" t="s">
        <v>259</v>
      </c>
      <c r="D107" t="s">
        <v>508</v>
      </c>
      <c r="E107">
        <v>6</v>
      </c>
      <c r="F107" t="b" cm="1">
        <f t="array" ref="F107">IFERROR(OR(_xlfn._xlws.FILTER(Table6[companyid FILTER],Table6[companyid]=Table1[[#This Row],[companyid]])),FALSE)</f>
        <v>0</v>
      </c>
      <c r="G107">
        <v>57137</v>
      </c>
    </row>
    <row r="108" spans="1:7" x14ac:dyDescent="0.25">
      <c r="A108" t="s">
        <v>509</v>
      </c>
      <c r="B108" t="s">
        <v>510</v>
      </c>
      <c r="C108" t="s">
        <v>511</v>
      </c>
      <c r="D108" t="s">
        <v>512</v>
      </c>
      <c r="E108">
        <v>3</v>
      </c>
      <c r="F108" t="b" cm="1">
        <f t="array" ref="F108">IFERROR(OR(_xlfn._xlws.FILTER(Table6[companyid FILTER],Table6[companyid]=Table1[[#This Row],[companyid]])),FALSE)</f>
        <v>0</v>
      </c>
      <c r="G108">
        <v>57124</v>
      </c>
    </row>
    <row r="109" spans="1:7" x14ac:dyDescent="0.25">
      <c r="A109" t="s">
        <v>513</v>
      </c>
      <c r="B109" t="s">
        <v>514</v>
      </c>
      <c r="C109" t="s">
        <v>259</v>
      </c>
      <c r="E109">
        <v>75</v>
      </c>
      <c r="F109" t="b" cm="1">
        <f t="array" ref="F109">IFERROR(OR(_xlfn._xlws.FILTER(Table6[companyid FILTER],Table6[companyid]=Table1[[#This Row],[companyid]])),FALSE)</f>
        <v>0</v>
      </c>
      <c r="G109">
        <v>57146</v>
      </c>
    </row>
    <row r="110" spans="1:7" x14ac:dyDescent="0.25">
      <c r="A110" t="s">
        <v>515</v>
      </c>
      <c r="B110" t="s">
        <v>516</v>
      </c>
      <c r="C110" t="s">
        <v>369</v>
      </c>
      <c r="D110" t="s">
        <v>517</v>
      </c>
      <c r="E110">
        <v>18</v>
      </c>
      <c r="F110" t="b" cm="1">
        <f t="array" ref="F110">IFERROR(OR(_xlfn._xlws.FILTER(Table6[companyid FILTER],Table6[companyid]=Table1[[#This Row],[companyid]])),FALSE)</f>
        <v>0</v>
      </c>
      <c r="G110">
        <v>57162</v>
      </c>
    </row>
    <row r="111" spans="1:7" x14ac:dyDescent="0.25">
      <c r="A111" t="s">
        <v>518</v>
      </c>
      <c r="B111" t="s">
        <v>519</v>
      </c>
      <c r="C111" t="s">
        <v>259</v>
      </c>
      <c r="D111" t="s">
        <v>520</v>
      </c>
      <c r="E111">
        <v>3</v>
      </c>
      <c r="F111" t="b" cm="1">
        <f t="array" ref="F111">IFERROR(OR(_xlfn._xlws.FILTER(Table6[companyid FILTER],Table6[companyid]=Table1[[#This Row],[companyid]])),FALSE)</f>
        <v>0</v>
      </c>
      <c r="G111">
        <v>57093</v>
      </c>
    </row>
    <row r="112" spans="1:7" x14ac:dyDescent="0.25">
      <c r="A112" t="s">
        <v>521</v>
      </c>
      <c r="B112" t="s">
        <v>522</v>
      </c>
      <c r="C112" t="s">
        <v>369</v>
      </c>
      <c r="D112" t="s">
        <v>523</v>
      </c>
      <c r="E112">
        <v>88</v>
      </c>
      <c r="F112" t="b" cm="1">
        <f t="array" ref="F112">IFERROR(OR(_xlfn._xlws.FILTER(Table6[companyid FILTER],Table6[companyid]=Table1[[#This Row],[companyid]])),FALSE)</f>
        <v>0</v>
      </c>
      <c r="G112">
        <v>57076</v>
      </c>
    </row>
    <row r="113" spans="1:7" x14ac:dyDescent="0.25">
      <c r="A113" t="s">
        <v>521</v>
      </c>
      <c r="B113" t="s">
        <v>524</v>
      </c>
      <c r="C113" t="s">
        <v>525</v>
      </c>
      <c r="E113">
        <v>44</v>
      </c>
      <c r="F113" t="b" cm="1">
        <f t="array" ref="F113">IFERROR(OR(_xlfn._xlws.FILTER(Table6[companyid FILTER],Table6[companyid]=Table1[[#This Row],[companyid]])),FALSE)</f>
        <v>0</v>
      </c>
      <c r="G113">
        <v>57076</v>
      </c>
    </row>
    <row r="114" spans="1:7" x14ac:dyDescent="0.25">
      <c r="A114" t="s">
        <v>526</v>
      </c>
      <c r="B114" t="s">
        <v>527</v>
      </c>
      <c r="C114" t="s">
        <v>528</v>
      </c>
      <c r="D114" t="s">
        <v>529</v>
      </c>
      <c r="E114">
        <v>12</v>
      </c>
      <c r="F114" t="b" cm="1">
        <f t="array" ref="F114">IFERROR(OR(_xlfn._xlws.FILTER(Table6[companyid FILTER],Table6[companyid]=Table1[[#This Row],[companyid]])),FALSE)</f>
        <v>0</v>
      </c>
      <c r="G114">
        <v>57075</v>
      </c>
    </row>
    <row r="115" spans="1:7" x14ac:dyDescent="0.25">
      <c r="A115" t="s">
        <v>530</v>
      </c>
      <c r="B115" t="s">
        <v>531</v>
      </c>
      <c r="C115" t="s">
        <v>532</v>
      </c>
      <c r="D115" t="s">
        <v>533</v>
      </c>
      <c r="E115">
        <v>32</v>
      </c>
      <c r="F115" t="b" cm="1">
        <f t="array" ref="F115">IFERROR(OR(_xlfn._xlws.FILTER(Table6[companyid FILTER],Table6[companyid]=Table1[[#This Row],[companyid]])),FALSE)</f>
        <v>0</v>
      </c>
      <c r="G115">
        <v>57096</v>
      </c>
    </row>
    <row r="116" spans="1:7" x14ac:dyDescent="0.25">
      <c r="A116" t="s">
        <v>534</v>
      </c>
      <c r="B116" t="s">
        <v>535</v>
      </c>
      <c r="C116" t="s">
        <v>536</v>
      </c>
      <c r="D116" t="s">
        <v>537</v>
      </c>
      <c r="E116">
        <v>27</v>
      </c>
      <c r="F116" t="b" cm="1">
        <f t="array" ref="F116">IFERROR(OR(_xlfn._xlws.FILTER(Table6[companyid FILTER],Table6[companyid]=Table1[[#This Row],[companyid]])),FALSE)</f>
        <v>0</v>
      </c>
      <c r="G116">
        <v>57119</v>
      </c>
    </row>
    <row r="117" spans="1:7" x14ac:dyDescent="0.25">
      <c r="A117" t="s">
        <v>534</v>
      </c>
      <c r="B117" t="s">
        <v>535</v>
      </c>
      <c r="C117" t="s">
        <v>538</v>
      </c>
      <c r="D117" t="s">
        <v>537</v>
      </c>
      <c r="E117">
        <v>9</v>
      </c>
      <c r="F117" t="b" cm="1">
        <f t="array" ref="F117">IFERROR(OR(_xlfn._xlws.FILTER(Table6[companyid FILTER],Table6[companyid]=Table1[[#This Row],[companyid]])),FALSE)</f>
        <v>0</v>
      </c>
      <c r="G117">
        <v>57119</v>
      </c>
    </row>
    <row r="118" spans="1:7" x14ac:dyDescent="0.25">
      <c r="A118" t="s">
        <v>539</v>
      </c>
      <c r="B118" t="s">
        <v>540</v>
      </c>
      <c r="C118" t="s">
        <v>276</v>
      </c>
      <c r="D118" t="s">
        <v>541</v>
      </c>
      <c r="E118">
        <v>27</v>
      </c>
      <c r="F118" t="b" cm="1">
        <f t="array" ref="F118">IFERROR(OR(_xlfn._xlws.FILTER(Table6[companyid FILTER],Table6[companyid]=Table1[[#This Row],[companyid]])),FALSE)</f>
        <v>0</v>
      </c>
      <c r="G118">
        <v>57097</v>
      </c>
    </row>
    <row r="119" spans="1:7" x14ac:dyDescent="0.25">
      <c r="A119" t="s">
        <v>542</v>
      </c>
      <c r="B119" t="s">
        <v>250</v>
      </c>
      <c r="C119" t="s">
        <v>251</v>
      </c>
      <c r="D119" t="s">
        <v>252</v>
      </c>
      <c r="E119">
        <v>33</v>
      </c>
      <c r="F119" t="b" cm="1">
        <f t="array" ref="F119">IFERROR(OR(_xlfn._xlws.FILTER(Table6[companyid FILTER],Table6[companyid]=Table1[[#This Row],[companyid]])),FALSE)</f>
        <v>0</v>
      </c>
      <c r="G119">
        <v>57114</v>
      </c>
    </row>
    <row r="120" spans="1:7" x14ac:dyDescent="0.25">
      <c r="A120" t="s">
        <v>542</v>
      </c>
      <c r="B120" t="s">
        <v>543</v>
      </c>
      <c r="C120" t="s">
        <v>544</v>
      </c>
      <c r="D120" t="s">
        <v>545</v>
      </c>
      <c r="E120">
        <v>22</v>
      </c>
      <c r="F120" t="b" cm="1">
        <f t="array" ref="F120">IFERROR(OR(_xlfn._xlws.FILTER(Table6[companyid FILTER],Table6[companyid]=Table1[[#This Row],[companyid]])),FALSE)</f>
        <v>0</v>
      </c>
      <c r="G120">
        <v>57114</v>
      </c>
    </row>
    <row r="121" spans="1:7" x14ac:dyDescent="0.25">
      <c r="A121" t="s">
        <v>546</v>
      </c>
      <c r="B121" t="s">
        <v>547</v>
      </c>
      <c r="C121" t="s">
        <v>276</v>
      </c>
      <c r="D121" t="s">
        <v>548</v>
      </c>
      <c r="E121">
        <v>3</v>
      </c>
      <c r="F121" t="b" cm="1">
        <f t="array" ref="F121">IFERROR(OR(_xlfn._xlws.FILTER(Table6[companyid FILTER],Table6[companyid]=Table1[[#This Row],[companyid]])),FALSE)</f>
        <v>0</v>
      </c>
      <c r="G121">
        <v>57239</v>
      </c>
    </row>
    <row r="122" spans="1:7" x14ac:dyDescent="0.25">
      <c r="A122" t="s">
        <v>549</v>
      </c>
      <c r="B122" t="s">
        <v>550</v>
      </c>
      <c r="C122" t="s">
        <v>551</v>
      </c>
      <c r="D122" t="s">
        <v>552</v>
      </c>
      <c r="E122">
        <v>4</v>
      </c>
      <c r="F122" t="b" cm="1">
        <f t="array" ref="F122">IFERROR(OR(_xlfn._xlws.FILTER(Table6[companyid FILTER],Table6[companyid]=Table1[[#This Row],[companyid]])),FALSE)</f>
        <v>0</v>
      </c>
      <c r="G122">
        <v>57222</v>
      </c>
    </row>
    <row r="123" spans="1:7" x14ac:dyDescent="0.25">
      <c r="A123" t="s">
        <v>549</v>
      </c>
      <c r="B123" t="s">
        <v>550</v>
      </c>
      <c r="C123" t="s">
        <v>551</v>
      </c>
      <c r="D123" t="s">
        <v>553</v>
      </c>
      <c r="E123">
        <v>1</v>
      </c>
      <c r="F123" t="b" cm="1">
        <f t="array" ref="F123">IFERROR(OR(_xlfn._xlws.FILTER(Table6[companyid FILTER],Table6[companyid]=Table1[[#This Row],[companyid]])),FALSE)</f>
        <v>0</v>
      </c>
      <c r="G123">
        <v>57222</v>
      </c>
    </row>
    <row r="124" spans="1:7" x14ac:dyDescent="0.25">
      <c r="A124" t="s">
        <v>554</v>
      </c>
      <c r="B124" t="s">
        <v>555</v>
      </c>
      <c r="C124" t="s">
        <v>556</v>
      </c>
      <c r="D124" t="s">
        <v>557</v>
      </c>
      <c r="E124">
        <v>52</v>
      </c>
      <c r="F124" t="b" cm="1">
        <f t="array" ref="F124">IFERROR(OR(_xlfn._xlws.FILTER(Table6[companyid FILTER],Table6[companyid]=Table1[[#This Row],[companyid]])),FALSE)</f>
        <v>0</v>
      </c>
      <c r="G124">
        <v>57250</v>
      </c>
    </row>
    <row r="125" spans="1:7" x14ac:dyDescent="0.25">
      <c r="A125" t="s">
        <v>554</v>
      </c>
      <c r="B125" t="s">
        <v>555</v>
      </c>
      <c r="C125" t="s">
        <v>556</v>
      </c>
      <c r="D125" t="s">
        <v>552</v>
      </c>
      <c r="E125">
        <v>31</v>
      </c>
      <c r="F125" t="b" cm="1">
        <f t="array" ref="F125">IFERROR(OR(_xlfn._xlws.FILTER(Table6[companyid FILTER],Table6[companyid]=Table1[[#This Row],[companyid]])),FALSE)</f>
        <v>0</v>
      </c>
      <c r="G125">
        <v>57250</v>
      </c>
    </row>
    <row r="126" spans="1:7" x14ac:dyDescent="0.25">
      <c r="A126" t="s">
        <v>558</v>
      </c>
      <c r="B126" t="s">
        <v>559</v>
      </c>
      <c r="C126" t="s">
        <v>242</v>
      </c>
      <c r="D126" t="s">
        <v>560</v>
      </c>
      <c r="E126">
        <v>3</v>
      </c>
      <c r="F126" t="b" cm="1">
        <f t="array" ref="F126">IFERROR(OR(_xlfn._xlws.FILTER(Table6[companyid FILTER],Table6[companyid]=Table1[[#This Row],[companyid]])),FALSE)</f>
        <v>0</v>
      </c>
      <c r="G126">
        <v>57185</v>
      </c>
    </row>
    <row r="127" spans="1:7" x14ac:dyDescent="0.25">
      <c r="A127" t="s">
        <v>561</v>
      </c>
      <c r="B127" t="s">
        <v>562</v>
      </c>
      <c r="C127" t="s">
        <v>384</v>
      </c>
      <c r="D127" t="s">
        <v>563</v>
      </c>
      <c r="E127">
        <v>6</v>
      </c>
      <c r="F127" t="b" cm="1">
        <f t="array" ref="F127">IFERROR(OR(_xlfn._xlws.FILTER(Table6[companyid FILTER],Table6[companyid]=Table1[[#This Row],[companyid]])),FALSE)</f>
        <v>0</v>
      </c>
      <c r="G127">
        <v>57182</v>
      </c>
    </row>
    <row r="128" spans="1:7" x14ac:dyDescent="0.25">
      <c r="A128" t="s">
        <v>564</v>
      </c>
      <c r="B128" t="s">
        <v>565</v>
      </c>
      <c r="C128" t="s">
        <v>566</v>
      </c>
      <c r="D128" t="s">
        <v>567</v>
      </c>
      <c r="E128">
        <v>35</v>
      </c>
      <c r="F128" t="b" cm="1">
        <f t="array" ref="F128">IFERROR(OR(_xlfn._xlws.FILTER(Table6[companyid FILTER],Table6[companyid]=Table1[[#This Row],[companyid]])),FALSE)</f>
        <v>0</v>
      </c>
      <c r="G128">
        <v>57177</v>
      </c>
    </row>
    <row r="129" spans="1:7" x14ac:dyDescent="0.25">
      <c r="A129" t="s">
        <v>568</v>
      </c>
      <c r="B129" t="s">
        <v>569</v>
      </c>
      <c r="C129" t="s">
        <v>259</v>
      </c>
      <c r="D129" t="s">
        <v>570</v>
      </c>
      <c r="E129">
        <v>85</v>
      </c>
      <c r="F129" t="b" cm="1">
        <f t="array" ref="F129">IFERROR(OR(_xlfn._xlws.FILTER(Table6[companyid FILTER],Table6[companyid]=Table1[[#This Row],[companyid]])),FALSE)</f>
        <v>0</v>
      </c>
      <c r="G129">
        <v>57206</v>
      </c>
    </row>
    <row r="130" spans="1:7" x14ac:dyDescent="0.25">
      <c r="A130" t="s">
        <v>571</v>
      </c>
      <c r="B130" t="s">
        <v>572</v>
      </c>
      <c r="C130" t="s">
        <v>365</v>
      </c>
      <c r="D130" t="s">
        <v>573</v>
      </c>
      <c r="E130">
        <v>23</v>
      </c>
      <c r="F130" t="b" cm="1">
        <f t="array" ref="F130">IFERROR(OR(_xlfn._xlws.FILTER(Table6[companyid FILTER],Table6[companyid]=Table1[[#This Row],[companyid]])),FALSE)</f>
        <v>0</v>
      </c>
      <c r="G130">
        <v>57198</v>
      </c>
    </row>
    <row r="131" spans="1:7" x14ac:dyDescent="0.25">
      <c r="A131" t="s">
        <v>574</v>
      </c>
      <c r="B131" t="s">
        <v>575</v>
      </c>
      <c r="C131" t="s">
        <v>369</v>
      </c>
      <c r="D131" t="s">
        <v>576</v>
      </c>
      <c r="E131">
        <v>19</v>
      </c>
      <c r="F131" t="b" cm="1">
        <f t="array" ref="F131">IFERROR(OR(_xlfn._xlws.FILTER(Table6[companyid FILTER],Table6[companyid]=Table1[[#This Row],[companyid]])),FALSE)</f>
        <v>0</v>
      </c>
      <c r="G131">
        <v>57341</v>
      </c>
    </row>
    <row r="132" spans="1:7" x14ac:dyDescent="0.25">
      <c r="A132" t="s">
        <v>577</v>
      </c>
      <c r="B132" t="s">
        <v>578</v>
      </c>
      <c r="C132" t="s">
        <v>456</v>
      </c>
      <c r="D132" t="s">
        <v>579</v>
      </c>
      <c r="E132">
        <v>35</v>
      </c>
      <c r="F132" t="b" cm="1">
        <f t="array" ref="F132">IFERROR(OR(_xlfn._xlws.FILTER(Table6[companyid FILTER],Table6[companyid]=Table1[[#This Row],[companyid]])),FALSE)</f>
        <v>0</v>
      </c>
      <c r="G132">
        <v>57330</v>
      </c>
    </row>
    <row r="133" spans="1:7" x14ac:dyDescent="0.25">
      <c r="A133" t="s">
        <v>577</v>
      </c>
      <c r="B133" t="s">
        <v>580</v>
      </c>
      <c r="C133" t="s">
        <v>276</v>
      </c>
      <c r="D133" t="s">
        <v>579</v>
      </c>
      <c r="E133">
        <v>20</v>
      </c>
      <c r="F133" t="b" cm="1">
        <f t="array" ref="F133">IFERROR(OR(_xlfn._xlws.FILTER(Table6[companyid FILTER],Table6[companyid]=Table1[[#This Row],[companyid]])),FALSE)</f>
        <v>0</v>
      </c>
      <c r="G133">
        <v>57330</v>
      </c>
    </row>
    <row r="134" spans="1:7" x14ac:dyDescent="0.25">
      <c r="A134" t="s">
        <v>581</v>
      </c>
      <c r="B134" t="s">
        <v>582</v>
      </c>
      <c r="C134" t="s">
        <v>583</v>
      </c>
      <c r="D134" t="s">
        <v>584</v>
      </c>
      <c r="E134">
        <v>19</v>
      </c>
      <c r="F134" t="b" cm="1">
        <f t="array" ref="F134">IFERROR(OR(_xlfn._xlws.FILTER(Table6[companyid FILTER],Table6[companyid]=Table1[[#This Row],[companyid]])),FALSE)</f>
        <v>0</v>
      </c>
      <c r="G134">
        <v>57327</v>
      </c>
    </row>
    <row r="135" spans="1:7" x14ac:dyDescent="0.25">
      <c r="A135" t="s">
        <v>581</v>
      </c>
      <c r="B135" t="s">
        <v>585</v>
      </c>
      <c r="C135" t="s">
        <v>583</v>
      </c>
      <c r="D135" t="s">
        <v>584</v>
      </c>
      <c r="E135">
        <v>10</v>
      </c>
      <c r="F135" t="b" cm="1">
        <f t="array" ref="F135">IFERROR(OR(_xlfn._xlws.FILTER(Table6[companyid FILTER],Table6[companyid]=Table1[[#This Row],[companyid]])),FALSE)</f>
        <v>0</v>
      </c>
      <c r="G135">
        <v>57327</v>
      </c>
    </row>
    <row r="136" spans="1:7" x14ac:dyDescent="0.25">
      <c r="A136" t="s">
        <v>586</v>
      </c>
      <c r="B136" t="s">
        <v>587</v>
      </c>
      <c r="C136" t="s">
        <v>588</v>
      </c>
      <c r="D136" t="s">
        <v>589</v>
      </c>
      <c r="E136">
        <v>8</v>
      </c>
      <c r="F136" t="b" cm="1">
        <f t="array" ref="F136">IFERROR(OR(_xlfn._xlws.FILTER(Table6[companyid FILTER],Table6[companyid]=Table1[[#This Row],[companyid]])),FALSE)</f>
        <v>0</v>
      </c>
      <c r="G136">
        <v>57344</v>
      </c>
    </row>
    <row r="137" spans="1:7" x14ac:dyDescent="0.25">
      <c r="A137" t="s">
        <v>586</v>
      </c>
      <c r="B137" t="s">
        <v>590</v>
      </c>
      <c r="C137" t="s">
        <v>588</v>
      </c>
      <c r="D137" t="s">
        <v>589</v>
      </c>
      <c r="E137">
        <v>2</v>
      </c>
      <c r="F137" t="b" cm="1">
        <f t="array" ref="F137">IFERROR(OR(_xlfn._xlws.FILTER(Table6[companyid FILTER],Table6[companyid]=Table1[[#This Row],[companyid]])),FALSE)</f>
        <v>0</v>
      </c>
      <c r="G137">
        <v>57344</v>
      </c>
    </row>
    <row r="138" spans="1:7" x14ac:dyDescent="0.25">
      <c r="A138" t="s">
        <v>591</v>
      </c>
      <c r="B138" t="s">
        <v>592</v>
      </c>
      <c r="C138" t="s">
        <v>593</v>
      </c>
      <c r="D138" t="s">
        <v>594</v>
      </c>
      <c r="E138">
        <v>241</v>
      </c>
      <c r="F138" t="b" cm="1">
        <f t="array" ref="F138">IFERROR(OR(_xlfn._xlws.FILTER(Table6[companyid FILTER],Table6[companyid]=Table1[[#This Row],[companyid]])),FALSE)</f>
        <v>0</v>
      </c>
      <c r="G138">
        <v>57290</v>
      </c>
    </row>
    <row r="139" spans="1:7" x14ac:dyDescent="0.25">
      <c r="A139" t="s">
        <v>591</v>
      </c>
      <c r="B139" t="s">
        <v>595</v>
      </c>
      <c r="C139" t="s">
        <v>593</v>
      </c>
      <c r="D139" t="s">
        <v>594</v>
      </c>
      <c r="E139">
        <v>155</v>
      </c>
      <c r="F139" t="b" cm="1">
        <f t="array" ref="F139">IFERROR(OR(_xlfn._xlws.FILTER(Table6[companyid FILTER],Table6[companyid]=Table1[[#This Row],[companyid]])),FALSE)</f>
        <v>0</v>
      </c>
      <c r="G139">
        <v>57290</v>
      </c>
    </row>
    <row r="140" spans="1:7" x14ac:dyDescent="0.25">
      <c r="A140" t="s">
        <v>596</v>
      </c>
      <c r="B140" t="s">
        <v>597</v>
      </c>
      <c r="C140" t="s">
        <v>280</v>
      </c>
      <c r="D140" t="s">
        <v>598</v>
      </c>
      <c r="E140">
        <v>19</v>
      </c>
      <c r="F140" t="b" cm="1">
        <f t="array" ref="F140">IFERROR(OR(_xlfn._xlws.FILTER(Table6[companyid FILTER],Table6[companyid]=Table1[[#This Row],[companyid]])),FALSE)</f>
        <v>0</v>
      </c>
      <c r="G140">
        <v>57286</v>
      </c>
    </row>
    <row r="141" spans="1:7" x14ac:dyDescent="0.25">
      <c r="A141" t="s">
        <v>599</v>
      </c>
      <c r="B141" t="s">
        <v>600</v>
      </c>
      <c r="C141" t="s">
        <v>601</v>
      </c>
      <c r="D141" t="s">
        <v>602</v>
      </c>
      <c r="E141">
        <v>114</v>
      </c>
      <c r="F141" t="b" cm="1">
        <f t="array" ref="F141">IFERROR(OR(_xlfn._xlws.FILTER(Table6[companyid FILTER],Table6[companyid]=Table1[[#This Row],[companyid]])),FALSE)</f>
        <v>0</v>
      </c>
      <c r="G141">
        <v>63705</v>
      </c>
    </row>
    <row r="142" spans="1:7" x14ac:dyDescent="0.25">
      <c r="A142" t="s">
        <v>603</v>
      </c>
      <c r="B142" t="s">
        <v>604</v>
      </c>
      <c r="C142" t="s">
        <v>451</v>
      </c>
      <c r="D142" t="s">
        <v>605</v>
      </c>
      <c r="E142">
        <v>48</v>
      </c>
      <c r="F142" t="b" cm="1">
        <f t="array" ref="F142">IFERROR(OR(_xlfn._xlws.FILTER(Table6[companyid FILTER],Table6[companyid]=Table1[[#This Row],[companyid]])),FALSE)</f>
        <v>0</v>
      </c>
      <c r="G142">
        <v>57273</v>
      </c>
    </row>
    <row r="143" spans="1:7" x14ac:dyDescent="0.25">
      <c r="A143" t="s">
        <v>603</v>
      </c>
      <c r="B143" t="s">
        <v>606</v>
      </c>
      <c r="C143" t="s">
        <v>607</v>
      </c>
      <c r="D143" t="s">
        <v>605</v>
      </c>
      <c r="E143">
        <v>42</v>
      </c>
      <c r="F143" t="b" cm="1">
        <f t="array" ref="F143">IFERROR(OR(_xlfn._xlws.FILTER(Table6[companyid FILTER],Table6[companyid]=Table1[[#This Row],[companyid]])),FALSE)</f>
        <v>0</v>
      </c>
      <c r="G143">
        <v>57273</v>
      </c>
    </row>
    <row r="144" spans="1:7" x14ac:dyDescent="0.25">
      <c r="A144" t="s">
        <v>603</v>
      </c>
      <c r="B144" t="s">
        <v>606</v>
      </c>
      <c r="C144" t="s">
        <v>607</v>
      </c>
      <c r="D144" t="s">
        <v>608</v>
      </c>
      <c r="E144">
        <v>36</v>
      </c>
      <c r="F144" t="b" cm="1">
        <f t="array" ref="F144">IFERROR(OR(_xlfn._xlws.FILTER(Table6[companyid FILTER],Table6[companyid]=Table1[[#This Row],[companyid]])),FALSE)</f>
        <v>0</v>
      </c>
      <c r="G144">
        <v>57273</v>
      </c>
    </row>
    <row r="145" spans="1:7" x14ac:dyDescent="0.25">
      <c r="A145" t="s">
        <v>609</v>
      </c>
      <c r="B145" t="s">
        <v>610</v>
      </c>
      <c r="C145" t="s">
        <v>611</v>
      </c>
      <c r="D145" t="s">
        <v>612</v>
      </c>
      <c r="E145">
        <v>132</v>
      </c>
      <c r="F145" t="b" cm="1">
        <f t="array" ref="F145">IFERROR(OR(_xlfn._xlws.FILTER(Table6[companyid FILTER],Table6[companyid]=Table1[[#This Row],[companyid]])),FALSE)</f>
        <v>0</v>
      </c>
      <c r="G145">
        <v>57319</v>
      </c>
    </row>
    <row r="146" spans="1:7" x14ac:dyDescent="0.25">
      <c r="A146" t="s">
        <v>613</v>
      </c>
      <c r="B146" t="s">
        <v>614</v>
      </c>
      <c r="C146" t="s">
        <v>259</v>
      </c>
      <c r="D146" t="s">
        <v>615</v>
      </c>
      <c r="E146">
        <v>23</v>
      </c>
      <c r="F146" t="b" cm="1">
        <f t="array" ref="F146">IFERROR(OR(_xlfn._xlws.FILTER(Table6[companyid FILTER],Table6[companyid]=Table1[[#This Row],[companyid]])),FALSE)</f>
        <v>0</v>
      </c>
      <c r="G146">
        <v>57310</v>
      </c>
    </row>
    <row r="147" spans="1:7" x14ac:dyDescent="0.25">
      <c r="A147" t="s">
        <v>616</v>
      </c>
      <c r="B147" t="s">
        <v>288</v>
      </c>
      <c r="C147" t="s">
        <v>289</v>
      </c>
      <c r="D147" t="s">
        <v>287</v>
      </c>
      <c r="E147">
        <v>55</v>
      </c>
      <c r="F147" t="b" cm="1">
        <f t="array" ref="F147">IFERROR(OR(_xlfn._xlws.FILTER(Table6[companyid FILTER],Table6[companyid]=Table1[[#This Row],[companyid]])),FALSE)</f>
        <v>0</v>
      </c>
      <c r="G147">
        <v>57358</v>
      </c>
    </row>
    <row r="148" spans="1:7" x14ac:dyDescent="0.25">
      <c r="A148" t="s">
        <v>616</v>
      </c>
      <c r="B148" t="s">
        <v>288</v>
      </c>
      <c r="C148" t="s">
        <v>289</v>
      </c>
      <c r="D148" t="s">
        <v>617</v>
      </c>
      <c r="E148">
        <v>23</v>
      </c>
      <c r="F148" t="b" cm="1">
        <f t="array" ref="F148">IFERROR(OR(_xlfn._xlws.FILTER(Table6[companyid FILTER],Table6[companyid]=Table1[[#This Row],[companyid]])),FALSE)</f>
        <v>0</v>
      </c>
      <c r="G148">
        <v>57358</v>
      </c>
    </row>
    <row r="149" spans="1:7" x14ac:dyDescent="0.25">
      <c r="A149" t="s">
        <v>618</v>
      </c>
      <c r="B149" t="s">
        <v>619</v>
      </c>
      <c r="C149" t="s">
        <v>276</v>
      </c>
      <c r="D149" t="s">
        <v>620</v>
      </c>
      <c r="E149">
        <v>28</v>
      </c>
      <c r="F149" t="b" cm="1">
        <f t="array" ref="F149">IFERROR(OR(_xlfn._xlws.FILTER(Table6[companyid FILTER],Table6[companyid]=Table1[[#This Row],[companyid]])),FALSE)</f>
        <v>0</v>
      </c>
      <c r="G149">
        <v>57433</v>
      </c>
    </row>
    <row r="150" spans="1:7" x14ac:dyDescent="0.25">
      <c r="A150" t="s">
        <v>621</v>
      </c>
      <c r="B150" t="s">
        <v>622</v>
      </c>
      <c r="C150" t="s">
        <v>259</v>
      </c>
      <c r="D150" t="s">
        <v>623</v>
      </c>
      <c r="E150">
        <v>31</v>
      </c>
      <c r="F150" t="b" cm="1">
        <f t="array" ref="F150">IFERROR(OR(_xlfn._xlws.FILTER(Table6[companyid FILTER],Table6[companyid]=Table1[[#This Row],[companyid]])),FALSE)</f>
        <v>0</v>
      </c>
      <c r="G150">
        <v>57431</v>
      </c>
    </row>
    <row r="151" spans="1:7" x14ac:dyDescent="0.25">
      <c r="A151" t="s">
        <v>624</v>
      </c>
      <c r="B151" t="s">
        <v>309</v>
      </c>
      <c r="C151" t="s">
        <v>307</v>
      </c>
      <c r="D151" t="s">
        <v>308</v>
      </c>
      <c r="E151">
        <v>4</v>
      </c>
      <c r="F151" t="b" cm="1">
        <f t="array" ref="F151">IFERROR(OR(_xlfn._xlws.FILTER(Table6[companyid FILTER],Table6[companyid]=Table1[[#This Row],[companyid]])),FALSE)</f>
        <v>0</v>
      </c>
      <c r="G151">
        <v>57462</v>
      </c>
    </row>
    <row r="152" spans="1:7" x14ac:dyDescent="0.25">
      <c r="A152" t="s">
        <v>624</v>
      </c>
      <c r="B152" t="s">
        <v>625</v>
      </c>
      <c r="C152" t="s">
        <v>626</v>
      </c>
      <c r="E152">
        <v>1</v>
      </c>
      <c r="F152" t="b" cm="1">
        <f t="array" ref="F152">IFERROR(OR(_xlfn._xlws.FILTER(Table6[companyid FILTER],Table6[companyid]=Table1[[#This Row],[companyid]])),FALSE)</f>
        <v>0</v>
      </c>
      <c r="G152">
        <v>57462</v>
      </c>
    </row>
    <row r="153" spans="1:7" x14ac:dyDescent="0.25">
      <c r="A153" t="s">
        <v>627</v>
      </c>
      <c r="B153" t="s">
        <v>628</v>
      </c>
      <c r="C153" t="s">
        <v>276</v>
      </c>
      <c r="D153" t="s">
        <v>629</v>
      </c>
      <c r="E153">
        <v>23</v>
      </c>
      <c r="F153" t="b" cm="1">
        <f t="array" ref="F153">IFERROR(OR(_xlfn._xlws.FILTER(Table6[companyid FILTER],Table6[companyid]=Table1[[#This Row],[companyid]])),FALSE)</f>
        <v>0</v>
      </c>
      <c r="G153">
        <v>57470</v>
      </c>
    </row>
    <row r="154" spans="1:7" x14ac:dyDescent="0.25">
      <c r="A154" t="s">
        <v>630</v>
      </c>
      <c r="B154" t="s">
        <v>631</v>
      </c>
      <c r="C154" t="s">
        <v>632</v>
      </c>
      <c r="D154" t="s">
        <v>633</v>
      </c>
      <c r="E154">
        <v>17</v>
      </c>
      <c r="F154" t="b" cm="1">
        <f t="array" ref="F154">IFERROR(OR(_xlfn._xlws.FILTER(Table6[companyid FILTER],Table6[companyid]=Table1[[#This Row],[companyid]])),FALSE)</f>
        <v>0</v>
      </c>
      <c r="G154">
        <v>57382</v>
      </c>
    </row>
    <row r="155" spans="1:7" x14ac:dyDescent="0.25">
      <c r="A155" t="s">
        <v>634</v>
      </c>
      <c r="B155" t="s">
        <v>635</v>
      </c>
      <c r="C155" t="s">
        <v>636</v>
      </c>
      <c r="D155" t="s">
        <v>637</v>
      </c>
      <c r="E155">
        <v>30</v>
      </c>
      <c r="F155" t="b" cm="1">
        <f t="array" ref="F155">IFERROR(OR(_xlfn._xlws.FILTER(Table6[companyid FILTER],Table6[companyid]=Table1[[#This Row],[companyid]])),FALSE)</f>
        <v>0</v>
      </c>
      <c r="G155">
        <v>57799</v>
      </c>
    </row>
    <row r="156" spans="1:7" x14ac:dyDescent="0.25">
      <c r="A156" t="s">
        <v>634</v>
      </c>
      <c r="B156" t="s">
        <v>638</v>
      </c>
      <c r="C156" t="s">
        <v>289</v>
      </c>
      <c r="D156" t="s">
        <v>637</v>
      </c>
      <c r="E156">
        <v>28</v>
      </c>
      <c r="F156" t="b" cm="1">
        <f t="array" ref="F156">IFERROR(OR(_xlfn._xlws.FILTER(Table6[companyid FILTER],Table6[companyid]=Table1[[#This Row],[companyid]])),FALSE)</f>
        <v>0</v>
      </c>
      <c r="G156">
        <v>57799</v>
      </c>
    </row>
    <row r="157" spans="1:7" x14ac:dyDescent="0.25">
      <c r="A157" t="s">
        <v>634</v>
      </c>
      <c r="B157" t="s">
        <v>635</v>
      </c>
      <c r="C157" t="s">
        <v>636</v>
      </c>
      <c r="D157" t="s">
        <v>639</v>
      </c>
      <c r="E157">
        <v>20</v>
      </c>
      <c r="F157" t="b" cm="1">
        <f t="array" ref="F157">IFERROR(OR(_xlfn._xlws.FILTER(Table6[companyid FILTER],Table6[companyid]=Table1[[#This Row],[companyid]])),FALSE)</f>
        <v>0</v>
      </c>
      <c r="G157">
        <v>57799</v>
      </c>
    </row>
    <row r="158" spans="1:7" x14ac:dyDescent="0.25">
      <c r="A158" t="s">
        <v>640</v>
      </c>
      <c r="B158" t="s">
        <v>641</v>
      </c>
      <c r="C158" t="s">
        <v>642</v>
      </c>
      <c r="D158" t="s">
        <v>643</v>
      </c>
      <c r="E158">
        <v>45</v>
      </c>
      <c r="F158" t="b" cm="1">
        <f t="array" ref="F158">IFERROR(OR(_xlfn._xlws.FILTER(Table6[companyid FILTER],Table6[companyid]=Table1[[#This Row],[companyid]])),FALSE)</f>
        <v>0</v>
      </c>
      <c r="G158">
        <v>57416</v>
      </c>
    </row>
    <row r="159" spans="1:7" x14ac:dyDescent="0.25">
      <c r="A159" t="s">
        <v>644</v>
      </c>
      <c r="B159" t="s">
        <v>645</v>
      </c>
      <c r="C159" t="s">
        <v>646</v>
      </c>
      <c r="D159" t="s">
        <v>647</v>
      </c>
      <c r="E159">
        <v>30</v>
      </c>
      <c r="F159" t="b" cm="1">
        <f t="array" ref="F159">IFERROR(OR(_xlfn._xlws.FILTER(Table6[companyid FILTER],Table6[companyid]=Table1[[#This Row],[companyid]])),FALSE)</f>
        <v>0</v>
      </c>
      <c r="G159">
        <v>57410</v>
      </c>
    </row>
    <row r="160" spans="1:7" x14ac:dyDescent="0.25">
      <c r="A160" t="s">
        <v>644</v>
      </c>
      <c r="B160" t="s">
        <v>645</v>
      </c>
      <c r="C160" t="s">
        <v>646</v>
      </c>
      <c r="E160">
        <v>15</v>
      </c>
      <c r="F160" t="b" cm="1">
        <f t="array" ref="F160">IFERROR(OR(_xlfn._xlws.FILTER(Table6[companyid FILTER],Table6[companyid]=Table1[[#This Row],[companyid]])),FALSE)</f>
        <v>0</v>
      </c>
      <c r="G160">
        <v>57410</v>
      </c>
    </row>
    <row r="161" spans="1:7" x14ac:dyDescent="0.25">
      <c r="A161" t="s">
        <v>648</v>
      </c>
      <c r="B161" t="s">
        <v>649</v>
      </c>
      <c r="C161" t="s">
        <v>650</v>
      </c>
      <c r="D161" t="s">
        <v>651</v>
      </c>
      <c r="E161">
        <v>37</v>
      </c>
      <c r="F161" t="b" cm="1">
        <f t="array" ref="F161">IFERROR(OR(_xlfn._xlws.FILTER(Table6[companyid FILTER],Table6[companyid]=Table1[[#This Row],[companyid]])),FALSE)</f>
        <v>0</v>
      </c>
      <c r="G161">
        <v>57408</v>
      </c>
    </row>
    <row r="162" spans="1:7" x14ac:dyDescent="0.25">
      <c r="A162" t="s">
        <v>652</v>
      </c>
      <c r="B162" t="s">
        <v>653</v>
      </c>
      <c r="C162" t="s">
        <v>654</v>
      </c>
      <c r="D162" t="s">
        <v>655</v>
      </c>
      <c r="E162">
        <v>57</v>
      </c>
      <c r="F162" t="b" cm="1">
        <f t="array" ref="F162">IFERROR(OR(_xlfn._xlws.FILTER(Table6[companyid FILTER],Table6[companyid]=Table1[[#This Row],[companyid]])),FALSE)</f>
        <v>0</v>
      </c>
      <c r="G162">
        <v>57543</v>
      </c>
    </row>
    <row r="163" spans="1:7" x14ac:dyDescent="0.25">
      <c r="A163" t="s">
        <v>656</v>
      </c>
      <c r="B163" t="s">
        <v>657</v>
      </c>
      <c r="C163" t="s">
        <v>276</v>
      </c>
      <c r="D163" t="s">
        <v>658</v>
      </c>
      <c r="E163">
        <v>34</v>
      </c>
      <c r="F163" t="b" cm="1">
        <f t="array" ref="F163">IFERROR(OR(_xlfn._xlws.FILTER(Table6[companyid FILTER],Table6[companyid]=Table1[[#This Row],[companyid]])),FALSE)</f>
        <v>0</v>
      </c>
      <c r="G163">
        <v>57524</v>
      </c>
    </row>
    <row r="164" spans="1:7" x14ac:dyDescent="0.25">
      <c r="A164" t="s">
        <v>659</v>
      </c>
      <c r="B164" t="s">
        <v>660</v>
      </c>
      <c r="C164" t="s">
        <v>384</v>
      </c>
      <c r="D164" t="s">
        <v>661</v>
      </c>
      <c r="E164">
        <v>15</v>
      </c>
      <c r="F164" t="b" cm="1">
        <f t="array" ref="F164">IFERROR(OR(_xlfn._xlws.FILTER(Table6[companyid FILTER],Table6[companyid]=Table1[[#This Row],[companyid]])),FALSE)</f>
        <v>0</v>
      </c>
      <c r="G164">
        <v>57480</v>
      </c>
    </row>
    <row r="165" spans="1:7" x14ac:dyDescent="0.25">
      <c r="A165" t="s">
        <v>662</v>
      </c>
      <c r="B165" t="s">
        <v>663</v>
      </c>
      <c r="C165" t="s">
        <v>664</v>
      </c>
      <c r="D165" t="s">
        <v>665</v>
      </c>
      <c r="E165">
        <v>23</v>
      </c>
      <c r="F165" t="b" cm="1">
        <f t="array" ref="F165">IFERROR(OR(_xlfn._xlws.FILTER(Table6[companyid FILTER],Table6[companyid]=Table1[[#This Row],[companyid]])),FALSE)</f>
        <v>0</v>
      </c>
      <c r="G165">
        <v>57514</v>
      </c>
    </row>
    <row r="166" spans="1:7" x14ac:dyDescent="0.25">
      <c r="A166" t="s">
        <v>666</v>
      </c>
      <c r="B166" t="s">
        <v>667</v>
      </c>
      <c r="C166" t="s">
        <v>668</v>
      </c>
      <c r="D166" t="s">
        <v>669</v>
      </c>
      <c r="E166">
        <v>33</v>
      </c>
      <c r="F166" t="b" cm="1">
        <f t="array" ref="F166">IFERROR(OR(_xlfn._xlws.FILTER(Table6[companyid FILTER],Table6[companyid]=Table1[[#This Row],[companyid]])),FALSE)</f>
        <v>0</v>
      </c>
      <c r="G166">
        <v>57512</v>
      </c>
    </row>
    <row r="167" spans="1:7" x14ac:dyDescent="0.25">
      <c r="A167" t="s">
        <v>670</v>
      </c>
      <c r="B167" t="s">
        <v>671</v>
      </c>
      <c r="C167" t="s">
        <v>672</v>
      </c>
      <c r="E167">
        <v>25</v>
      </c>
      <c r="F167" t="b" cm="1">
        <f t="array" ref="F167">IFERROR(OR(_xlfn._xlws.FILTER(Table6[companyid FILTER],Table6[companyid]=Table1[[#This Row],[companyid]])),FALSE)</f>
        <v>0</v>
      </c>
      <c r="G167">
        <v>57667</v>
      </c>
    </row>
    <row r="168" spans="1:7" x14ac:dyDescent="0.25">
      <c r="A168" t="s">
        <v>670</v>
      </c>
      <c r="B168" t="s">
        <v>673</v>
      </c>
      <c r="C168" t="s">
        <v>672</v>
      </c>
      <c r="E168">
        <v>10</v>
      </c>
      <c r="F168" t="b" cm="1">
        <f t="array" ref="F168">IFERROR(OR(_xlfn._xlws.FILTER(Table6[companyid FILTER],Table6[companyid]=Table1[[#This Row],[companyid]])),FALSE)</f>
        <v>0</v>
      </c>
      <c r="G168">
        <v>57667</v>
      </c>
    </row>
    <row r="169" spans="1:7" x14ac:dyDescent="0.25">
      <c r="A169" t="s">
        <v>674</v>
      </c>
      <c r="B169" t="s">
        <v>675</v>
      </c>
      <c r="C169" t="s">
        <v>280</v>
      </c>
      <c r="D169" t="s">
        <v>676</v>
      </c>
      <c r="E169">
        <v>23</v>
      </c>
      <c r="F169" t="b" cm="1">
        <f t="array" ref="F169">IFERROR(OR(_xlfn._xlws.FILTER(Table6[companyid FILTER],Table6[companyid]=Table1[[#This Row],[companyid]])),FALSE)</f>
        <v>0</v>
      </c>
      <c r="G169">
        <v>57649</v>
      </c>
    </row>
    <row r="170" spans="1:7" x14ac:dyDescent="0.25">
      <c r="A170" t="s">
        <v>677</v>
      </c>
      <c r="B170" t="s">
        <v>678</v>
      </c>
      <c r="C170" t="s">
        <v>365</v>
      </c>
      <c r="D170" t="s">
        <v>679</v>
      </c>
      <c r="E170">
        <v>10</v>
      </c>
      <c r="F170" t="b" cm="1">
        <f t="array" ref="F170">IFERROR(OR(_xlfn._xlws.FILTER(Table6[companyid FILTER],Table6[companyid]=Table1[[#This Row],[companyid]])),FALSE)</f>
        <v>0</v>
      </c>
      <c r="G170">
        <v>57615</v>
      </c>
    </row>
    <row r="171" spans="1:7" x14ac:dyDescent="0.25">
      <c r="A171" t="s">
        <v>677</v>
      </c>
      <c r="B171" t="s">
        <v>680</v>
      </c>
      <c r="C171" t="s">
        <v>681</v>
      </c>
      <c r="D171" t="s">
        <v>679</v>
      </c>
      <c r="E171">
        <v>10</v>
      </c>
      <c r="F171" t="b" cm="1">
        <f t="array" ref="F171">IFERROR(OR(_xlfn._xlws.FILTER(Table6[companyid FILTER],Table6[companyid]=Table1[[#This Row],[companyid]])),FALSE)</f>
        <v>0</v>
      </c>
      <c r="G171">
        <v>57615</v>
      </c>
    </row>
    <row r="172" spans="1:7" x14ac:dyDescent="0.25">
      <c r="A172" t="s">
        <v>677</v>
      </c>
      <c r="B172" t="s">
        <v>680</v>
      </c>
      <c r="C172" t="s">
        <v>681</v>
      </c>
      <c r="E172">
        <v>10</v>
      </c>
      <c r="F172" t="b" cm="1">
        <f t="array" ref="F172">IFERROR(OR(_xlfn._xlws.FILTER(Table6[companyid FILTER],Table6[companyid]=Table1[[#This Row],[companyid]])),FALSE)</f>
        <v>0</v>
      </c>
      <c r="G172">
        <v>57615</v>
      </c>
    </row>
    <row r="173" spans="1:7" x14ac:dyDescent="0.25">
      <c r="A173" t="s">
        <v>682</v>
      </c>
      <c r="B173" t="s">
        <v>683</v>
      </c>
      <c r="C173" t="s">
        <v>276</v>
      </c>
      <c r="D173" t="s">
        <v>684</v>
      </c>
      <c r="E173">
        <v>23</v>
      </c>
      <c r="F173" t="b" cm="1">
        <f t="array" ref="F173">IFERROR(OR(_xlfn._xlws.FILTER(Table6[companyid FILTER],Table6[companyid]=Table1[[#This Row],[companyid]])),FALSE)</f>
        <v>0</v>
      </c>
      <c r="G173">
        <v>57760</v>
      </c>
    </row>
    <row r="174" spans="1:7" x14ac:dyDescent="0.25">
      <c r="A174" t="s">
        <v>685</v>
      </c>
      <c r="B174" t="s">
        <v>686</v>
      </c>
      <c r="C174" t="s">
        <v>384</v>
      </c>
      <c r="D174" t="s">
        <v>687</v>
      </c>
      <c r="E174">
        <v>3</v>
      </c>
      <c r="F174" t="b" cm="1">
        <f t="array" ref="F174">IFERROR(OR(_xlfn._xlws.FILTER(Table6[companyid FILTER],Table6[companyid]=Table1[[#This Row],[companyid]])),FALSE)</f>
        <v>0</v>
      </c>
      <c r="G174">
        <v>57749</v>
      </c>
    </row>
    <row r="175" spans="1:7" x14ac:dyDescent="0.25">
      <c r="A175" t="s">
        <v>688</v>
      </c>
      <c r="B175" t="s">
        <v>368</v>
      </c>
      <c r="C175" t="s">
        <v>369</v>
      </c>
      <c r="D175" t="s">
        <v>371</v>
      </c>
      <c r="E175">
        <v>24</v>
      </c>
      <c r="F175" t="b" cm="1">
        <f t="array" ref="F175">IFERROR(OR(_xlfn._xlws.FILTER(Table6[companyid FILTER],Table6[companyid]=Table1[[#This Row],[companyid]])),FALSE)</f>
        <v>0</v>
      </c>
      <c r="G175">
        <v>57693</v>
      </c>
    </row>
    <row r="176" spans="1:7" x14ac:dyDescent="0.25">
      <c r="A176" t="s">
        <v>688</v>
      </c>
      <c r="B176" t="s">
        <v>689</v>
      </c>
      <c r="C176" t="s">
        <v>259</v>
      </c>
      <c r="D176" t="s">
        <v>371</v>
      </c>
      <c r="E176">
        <v>6</v>
      </c>
      <c r="F176" t="b" cm="1">
        <f t="array" ref="F176">IFERROR(OR(_xlfn._xlws.FILTER(Table6[companyid FILTER],Table6[companyid]=Table1[[#This Row],[companyid]])),FALSE)</f>
        <v>0</v>
      </c>
      <c r="G176">
        <v>57693</v>
      </c>
    </row>
    <row r="177" spans="1:7" x14ac:dyDescent="0.25">
      <c r="A177" t="s">
        <v>690</v>
      </c>
      <c r="B177" t="s">
        <v>691</v>
      </c>
      <c r="C177" t="s">
        <v>692</v>
      </c>
      <c r="D177" t="s">
        <v>693</v>
      </c>
      <c r="E177">
        <v>59</v>
      </c>
      <c r="F177" t="b" cm="1">
        <f t="array" ref="F177">IFERROR(OR(_xlfn._xlws.FILTER(Table6[companyid FILTER],Table6[companyid]=Table1[[#This Row],[companyid]])),FALSE)</f>
        <v>0</v>
      </c>
      <c r="G177">
        <v>57836</v>
      </c>
    </row>
    <row r="178" spans="1:7" x14ac:dyDescent="0.25">
      <c r="A178" t="s">
        <v>690</v>
      </c>
      <c r="B178" t="s">
        <v>694</v>
      </c>
      <c r="C178" t="s">
        <v>692</v>
      </c>
      <c r="D178" t="s">
        <v>693</v>
      </c>
      <c r="E178">
        <v>38</v>
      </c>
      <c r="F178" t="b" cm="1">
        <f t="array" ref="F178">IFERROR(OR(_xlfn._xlws.FILTER(Table6[companyid FILTER],Table6[companyid]=Table1[[#This Row],[companyid]])),FALSE)</f>
        <v>0</v>
      </c>
      <c r="G178">
        <v>57836</v>
      </c>
    </row>
    <row r="179" spans="1:7" x14ac:dyDescent="0.25">
      <c r="A179" t="s">
        <v>695</v>
      </c>
      <c r="B179" t="s">
        <v>696</v>
      </c>
      <c r="C179" t="s">
        <v>697</v>
      </c>
      <c r="D179" t="s">
        <v>698</v>
      </c>
      <c r="E179">
        <v>14</v>
      </c>
      <c r="F179" t="b" cm="1">
        <f t="array" ref="F179">IFERROR(OR(_xlfn._xlws.FILTER(Table6[companyid FILTER],Table6[companyid]=Table1[[#This Row],[companyid]])),FALSE)</f>
        <v>0</v>
      </c>
      <c r="G179">
        <v>57835</v>
      </c>
    </row>
    <row r="180" spans="1:7" x14ac:dyDescent="0.25">
      <c r="A180" t="s">
        <v>699</v>
      </c>
      <c r="B180" t="s">
        <v>700</v>
      </c>
      <c r="C180" t="s">
        <v>701</v>
      </c>
      <c r="D180" t="s">
        <v>702</v>
      </c>
      <c r="E180">
        <v>26</v>
      </c>
      <c r="F180" t="b" cm="1">
        <f t="array" ref="F180">IFERROR(OR(_xlfn._xlws.FILTER(Table6[companyid FILTER],Table6[companyid]=Table1[[#This Row],[companyid]])),FALSE)</f>
        <v>0</v>
      </c>
      <c r="G180">
        <v>79875</v>
      </c>
    </row>
    <row r="181" spans="1:7" x14ac:dyDescent="0.25">
      <c r="A181" t="s">
        <v>703</v>
      </c>
      <c r="B181" t="s">
        <v>704</v>
      </c>
      <c r="C181" t="s">
        <v>276</v>
      </c>
      <c r="D181" t="s">
        <v>705</v>
      </c>
      <c r="E181">
        <v>87</v>
      </c>
      <c r="F181" t="b" cm="1">
        <f t="array" ref="F181">IFERROR(OR(_xlfn._xlws.FILTER(Table6[companyid FILTER],Table6[companyid]=Table1[[#This Row],[companyid]])),FALSE)</f>
        <v>0</v>
      </c>
      <c r="G181">
        <v>57825</v>
      </c>
    </row>
    <row r="182" spans="1:7" x14ac:dyDescent="0.25">
      <c r="A182" t="s">
        <v>706</v>
      </c>
      <c r="B182" t="s">
        <v>707</v>
      </c>
      <c r="C182" t="s">
        <v>708</v>
      </c>
      <c r="D182" t="s">
        <v>709</v>
      </c>
      <c r="E182">
        <v>56</v>
      </c>
      <c r="F182" t="b" cm="1">
        <f t="array" ref="F182">IFERROR(OR(_xlfn._xlws.FILTER(Table6[companyid FILTER],Table6[companyid]=Table1[[#This Row],[companyid]])),FALSE)</f>
        <v>0</v>
      </c>
      <c r="G182">
        <v>57843</v>
      </c>
    </row>
    <row r="183" spans="1:7" x14ac:dyDescent="0.25">
      <c r="A183" t="s">
        <v>706</v>
      </c>
      <c r="B183" t="s">
        <v>710</v>
      </c>
      <c r="C183" t="s">
        <v>708</v>
      </c>
      <c r="D183" t="s">
        <v>709</v>
      </c>
      <c r="E183">
        <v>34</v>
      </c>
      <c r="F183" t="b" cm="1">
        <f t="array" ref="F183">IFERROR(OR(_xlfn._xlws.FILTER(Table6[companyid FILTER],Table6[companyid]=Table1[[#This Row],[companyid]])),FALSE)</f>
        <v>0</v>
      </c>
      <c r="G183">
        <v>57843</v>
      </c>
    </row>
    <row r="184" spans="1:7" x14ac:dyDescent="0.25">
      <c r="A184" t="s">
        <v>711</v>
      </c>
      <c r="B184" t="s">
        <v>712</v>
      </c>
      <c r="C184" t="s">
        <v>713</v>
      </c>
      <c r="D184" t="s">
        <v>714</v>
      </c>
      <c r="E184">
        <v>52</v>
      </c>
      <c r="F184" t="b" cm="1">
        <f t="array" ref="F184">IFERROR(OR(_xlfn._xlws.FILTER(Table6[companyid FILTER],Table6[companyid]=Table1[[#This Row],[companyid]])),FALSE)</f>
        <v>0</v>
      </c>
      <c r="G184">
        <v>57867</v>
      </c>
    </row>
    <row r="185" spans="1:7" x14ac:dyDescent="0.25">
      <c r="A185" t="s">
        <v>711</v>
      </c>
      <c r="B185" t="s">
        <v>712</v>
      </c>
      <c r="C185" t="s">
        <v>713</v>
      </c>
      <c r="E185">
        <v>23</v>
      </c>
      <c r="F185" t="b" cm="1">
        <f t="array" ref="F185">IFERROR(OR(_xlfn._xlws.FILTER(Table6[companyid FILTER],Table6[companyid]=Table1[[#This Row],[companyid]])),FALSE)</f>
        <v>0</v>
      </c>
      <c r="G185">
        <v>57867</v>
      </c>
    </row>
    <row r="186" spans="1:7" x14ac:dyDescent="0.25">
      <c r="A186" t="s">
        <v>715</v>
      </c>
      <c r="B186" t="s">
        <v>716</v>
      </c>
      <c r="C186" t="s">
        <v>717</v>
      </c>
      <c r="E186">
        <v>84</v>
      </c>
      <c r="F186" t="b" cm="1">
        <f t="array" ref="F186">IFERROR(OR(_xlfn._xlws.FILTER(Table6[companyid FILTER],Table6[companyid]=Table1[[#This Row],[companyid]])),FALSE)</f>
        <v>0</v>
      </c>
      <c r="G186">
        <v>57859</v>
      </c>
    </row>
    <row r="187" spans="1:7" x14ac:dyDescent="0.25">
      <c r="A187" t="s">
        <v>715</v>
      </c>
      <c r="B187" t="s">
        <v>718</v>
      </c>
      <c r="C187" t="s">
        <v>719</v>
      </c>
      <c r="D187" t="s">
        <v>720</v>
      </c>
      <c r="E187">
        <v>52</v>
      </c>
      <c r="F187" t="b" cm="1">
        <f t="array" ref="F187">IFERROR(OR(_xlfn._xlws.FILTER(Table6[companyid FILTER],Table6[companyid]=Table1[[#This Row],[companyid]])),FALSE)</f>
        <v>0</v>
      </c>
      <c r="G187">
        <v>57859</v>
      </c>
    </row>
    <row r="188" spans="1:7" x14ac:dyDescent="0.25">
      <c r="A188" t="s">
        <v>721</v>
      </c>
      <c r="B188" t="s">
        <v>722</v>
      </c>
      <c r="C188" t="s">
        <v>365</v>
      </c>
      <c r="D188" t="s">
        <v>723</v>
      </c>
      <c r="E188">
        <v>16</v>
      </c>
      <c r="F188" t="b" cm="1">
        <f t="array" ref="F188">IFERROR(OR(_xlfn._xlws.FILTER(Table6[companyid FILTER],Table6[companyid]=Table1[[#This Row],[companyid]])),FALSE)</f>
        <v>0</v>
      </c>
      <c r="G188">
        <v>57858</v>
      </c>
    </row>
    <row r="189" spans="1:7" x14ac:dyDescent="0.25">
      <c r="A189" t="s">
        <v>724</v>
      </c>
      <c r="B189" t="s">
        <v>725</v>
      </c>
      <c r="C189" t="s">
        <v>259</v>
      </c>
      <c r="D189" t="s">
        <v>726</v>
      </c>
      <c r="E189">
        <v>88</v>
      </c>
      <c r="F189" t="b" cm="1">
        <f t="array" ref="F189">IFERROR(OR(_xlfn._xlws.FILTER(Table6[companyid FILTER],Table6[companyid]=Table1[[#This Row],[companyid]])),FALSE)</f>
        <v>0</v>
      </c>
      <c r="G189">
        <v>57856</v>
      </c>
    </row>
    <row r="190" spans="1:7" x14ac:dyDescent="0.25">
      <c r="A190" t="s">
        <v>724</v>
      </c>
      <c r="B190" t="s">
        <v>725</v>
      </c>
      <c r="C190" t="s">
        <v>727</v>
      </c>
      <c r="E190">
        <v>40</v>
      </c>
      <c r="F190" t="b" cm="1">
        <f t="array" ref="F190">IFERROR(OR(_xlfn._xlws.FILTER(Table6[companyid FILTER],Table6[companyid]=Table1[[#This Row],[companyid]])),FALSE)</f>
        <v>0</v>
      </c>
      <c r="G190">
        <v>57856</v>
      </c>
    </row>
    <row r="191" spans="1:7" x14ac:dyDescent="0.25">
      <c r="A191" t="s">
        <v>724</v>
      </c>
      <c r="B191" t="s">
        <v>383</v>
      </c>
      <c r="C191" t="s">
        <v>727</v>
      </c>
      <c r="E191">
        <v>25</v>
      </c>
      <c r="F191" t="b" cm="1">
        <f t="array" ref="F191">IFERROR(OR(_xlfn._xlws.FILTER(Table6[companyid FILTER],Table6[companyid]=Table1[[#This Row],[companyid]])),FALSE)</f>
        <v>0</v>
      </c>
      <c r="G191">
        <v>57856</v>
      </c>
    </row>
    <row r="192" spans="1:7" x14ac:dyDescent="0.25">
      <c r="A192" t="s">
        <v>728</v>
      </c>
      <c r="B192" t="s">
        <v>383</v>
      </c>
      <c r="C192" t="s">
        <v>384</v>
      </c>
      <c r="D192" t="s">
        <v>385</v>
      </c>
      <c r="E192">
        <v>33</v>
      </c>
      <c r="F192" t="b" cm="1">
        <f t="array" ref="F192">IFERROR(OR(_xlfn._xlws.FILTER(Table6[companyid FILTER],Table6[companyid]=Table1[[#This Row],[companyid]])),FALSE)</f>
        <v>0</v>
      </c>
      <c r="G192">
        <v>57855</v>
      </c>
    </row>
    <row r="193" spans="1:7" x14ac:dyDescent="0.25">
      <c r="A193" t="s">
        <v>729</v>
      </c>
      <c r="B193" t="s">
        <v>730</v>
      </c>
      <c r="C193" t="s">
        <v>731</v>
      </c>
      <c r="E193">
        <v>8</v>
      </c>
      <c r="F193" t="b" cm="1">
        <f t="array" ref="F193">IFERROR(OR(_xlfn._xlws.FILTER(Table6[companyid FILTER],Table6[companyid]=Table1[[#This Row],[companyid]])),FALSE)</f>
        <v>0</v>
      </c>
      <c r="G193">
        <v>57852</v>
      </c>
    </row>
    <row r="194" spans="1:7" x14ac:dyDescent="0.25">
      <c r="A194" t="s">
        <v>729</v>
      </c>
      <c r="B194" t="s">
        <v>732</v>
      </c>
      <c r="C194" t="s">
        <v>731</v>
      </c>
      <c r="D194" t="s">
        <v>733</v>
      </c>
      <c r="E194">
        <v>2</v>
      </c>
      <c r="F194" t="b" cm="1">
        <f t="array" ref="F194">IFERROR(OR(_xlfn._xlws.FILTER(Table6[companyid FILTER],Table6[companyid]=Table1[[#This Row],[companyid]])),FALSE)</f>
        <v>0</v>
      </c>
      <c r="G194">
        <v>57852</v>
      </c>
    </row>
    <row r="195" spans="1:7" x14ac:dyDescent="0.25">
      <c r="A195" t="s">
        <v>734</v>
      </c>
      <c r="B195" t="s">
        <v>735</v>
      </c>
      <c r="C195" t="s">
        <v>276</v>
      </c>
      <c r="D195" t="s">
        <v>736</v>
      </c>
      <c r="E195">
        <v>33</v>
      </c>
      <c r="F195" t="b" cm="1">
        <f t="array" ref="F195">IFERROR(OR(_xlfn._xlws.FILTER(Table6[companyid FILTER],Table6[companyid]=Table1[[#This Row],[companyid]])),FALSE)</f>
        <v>0</v>
      </c>
      <c r="G195">
        <v>57848</v>
      </c>
    </row>
    <row r="196" spans="1:7" x14ac:dyDescent="0.25">
      <c r="A196" t="s">
        <v>737</v>
      </c>
      <c r="B196" t="s">
        <v>738</v>
      </c>
      <c r="C196" t="s">
        <v>739</v>
      </c>
      <c r="D196" t="s">
        <v>740</v>
      </c>
      <c r="E196">
        <v>12</v>
      </c>
      <c r="F196" t="b" cm="1">
        <f t="array" ref="F196">IFERROR(OR(_xlfn._xlws.FILTER(Table6[companyid FILTER],Table6[companyid]=Table1[[#This Row],[companyid]])),FALSE)</f>
        <v>0</v>
      </c>
      <c r="G196">
        <v>57790</v>
      </c>
    </row>
    <row r="197" spans="1:7" x14ac:dyDescent="0.25">
      <c r="A197" t="s">
        <v>741</v>
      </c>
      <c r="B197" t="s">
        <v>742</v>
      </c>
      <c r="C197" t="s">
        <v>743</v>
      </c>
      <c r="D197" t="s">
        <v>744</v>
      </c>
      <c r="E197">
        <v>40</v>
      </c>
      <c r="F197" t="b" cm="1">
        <f t="array" ref="F197">IFERROR(OR(_xlfn._xlws.FILTER(Table6[companyid FILTER],Table6[companyid]=Table1[[#This Row],[companyid]])),FALSE)</f>
        <v>0</v>
      </c>
      <c r="G197">
        <v>57778</v>
      </c>
    </row>
    <row r="198" spans="1:7" x14ac:dyDescent="0.25">
      <c r="A198" t="s">
        <v>745</v>
      </c>
      <c r="B198" t="s">
        <v>746</v>
      </c>
      <c r="C198" t="s">
        <v>259</v>
      </c>
      <c r="D198" t="s">
        <v>747</v>
      </c>
      <c r="E198">
        <v>27</v>
      </c>
      <c r="F198" t="b" cm="1">
        <f t="array" ref="F198">IFERROR(OR(_xlfn._xlws.FILTER(Table6[companyid FILTER],Table6[companyid]=Table1[[#This Row],[companyid]])),FALSE)</f>
        <v>0</v>
      </c>
      <c r="G198">
        <v>57812</v>
      </c>
    </row>
    <row r="199" spans="1:7" x14ac:dyDescent="0.25">
      <c r="A199" t="s">
        <v>748</v>
      </c>
      <c r="B199" t="s">
        <v>749</v>
      </c>
      <c r="C199" t="s">
        <v>750</v>
      </c>
      <c r="D199" t="s">
        <v>751</v>
      </c>
      <c r="E199">
        <v>12</v>
      </c>
      <c r="F199" t="b" cm="1">
        <f t="array" ref="F199">IFERROR(OR(_xlfn._xlws.FILTER(Table6[companyid FILTER],Table6[companyid]=Table1[[#This Row],[companyid]])),FALSE)</f>
        <v>0</v>
      </c>
      <c r="G199">
        <v>114895</v>
      </c>
    </row>
    <row r="200" spans="1:7" x14ac:dyDescent="0.25">
      <c r="A200" t="s">
        <v>752</v>
      </c>
      <c r="B200" t="s">
        <v>753</v>
      </c>
      <c r="C200" t="s">
        <v>754</v>
      </c>
      <c r="D200" t="s">
        <v>755</v>
      </c>
      <c r="E200">
        <v>59</v>
      </c>
      <c r="F200" t="b" cm="1">
        <f t="array" ref="F200">IFERROR(OR(_xlfn._xlws.FILTER(Table6[companyid FILTER],Table6[companyid]=Table1[[#This Row],[companyid]])),FALSE)</f>
        <v>0</v>
      </c>
      <c r="G200">
        <v>57932</v>
      </c>
    </row>
    <row r="201" spans="1:7" x14ac:dyDescent="0.25">
      <c r="A201" t="s">
        <v>752</v>
      </c>
      <c r="B201" t="s">
        <v>756</v>
      </c>
      <c r="C201" t="s">
        <v>492</v>
      </c>
      <c r="E201">
        <v>36</v>
      </c>
      <c r="F201" t="b" cm="1">
        <f t="array" ref="F201">IFERROR(OR(_xlfn._xlws.FILTER(Table6[companyid FILTER],Table6[companyid]=Table1[[#This Row],[companyid]])),FALSE)</f>
        <v>0</v>
      </c>
      <c r="G201">
        <v>57932</v>
      </c>
    </row>
    <row r="202" spans="1:7" x14ac:dyDescent="0.25">
      <c r="A202" t="s">
        <v>752</v>
      </c>
      <c r="B202" t="s">
        <v>757</v>
      </c>
      <c r="C202" t="s">
        <v>492</v>
      </c>
      <c r="E202">
        <v>10</v>
      </c>
      <c r="F202" t="b" cm="1">
        <f t="array" ref="F202">IFERROR(OR(_xlfn._xlws.FILTER(Table6[companyid FILTER],Table6[companyid]=Table1[[#This Row],[companyid]])),FALSE)</f>
        <v>0</v>
      </c>
      <c r="G202">
        <v>57932</v>
      </c>
    </row>
    <row r="203" spans="1:7" x14ac:dyDescent="0.25">
      <c r="A203" t="s">
        <v>758</v>
      </c>
      <c r="B203" t="s">
        <v>759</v>
      </c>
      <c r="C203" t="s">
        <v>302</v>
      </c>
      <c r="D203" t="s">
        <v>760</v>
      </c>
      <c r="E203">
        <v>132</v>
      </c>
      <c r="F203" t="b" cm="1">
        <f t="array" ref="F203">IFERROR(OR(_xlfn._xlws.FILTER(Table6[companyid FILTER],Table6[companyid]=Table1[[#This Row],[companyid]])),FALSE)</f>
        <v>0</v>
      </c>
      <c r="G203">
        <v>57948</v>
      </c>
    </row>
    <row r="204" spans="1:7" x14ac:dyDescent="0.25">
      <c r="A204" t="s">
        <v>758</v>
      </c>
      <c r="B204" t="s">
        <v>761</v>
      </c>
      <c r="C204" t="s">
        <v>302</v>
      </c>
      <c r="D204" t="s">
        <v>760</v>
      </c>
      <c r="E204">
        <v>82</v>
      </c>
      <c r="F204" t="b" cm="1">
        <f t="array" ref="F204">IFERROR(OR(_xlfn._xlws.FILTER(Table6[companyid FILTER],Table6[companyid]=Table1[[#This Row],[companyid]])),FALSE)</f>
        <v>0</v>
      </c>
      <c r="G204">
        <v>57948</v>
      </c>
    </row>
    <row r="205" spans="1:7" x14ac:dyDescent="0.25">
      <c r="A205" t="s">
        <v>762</v>
      </c>
      <c r="B205" t="s">
        <v>763</v>
      </c>
      <c r="C205" t="s">
        <v>764</v>
      </c>
      <c r="D205" t="s">
        <v>765</v>
      </c>
      <c r="E205">
        <v>45</v>
      </c>
      <c r="F205" t="b" cm="1">
        <f t="array" ref="F205">IFERROR(OR(_xlfn._xlws.FILTER(Table6[companyid FILTER],Table6[companyid]=Table1[[#This Row],[companyid]])),FALSE)</f>
        <v>0</v>
      </c>
      <c r="G205">
        <v>57908</v>
      </c>
    </row>
    <row r="206" spans="1:7" x14ac:dyDescent="0.25">
      <c r="A206" t="s">
        <v>766</v>
      </c>
      <c r="B206" t="s">
        <v>767</v>
      </c>
      <c r="C206" t="s">
        <v>768</v>
      </c>
      <c r="D206" t="s">
        <v>769</v>
      </c>
      <c r="E206">
        <v>12</v>
      </c>
      <c r="F206" t="b" cm="1">
        <f t="array" ref="F206">IFERROR(OR(_xlfn._xlws.FILTER(Table6[companyid FILTER],Table6[companyid]=Table1[[#This Row],[companyid]])),FALSE)</f>
        <v>0</v>
      </c>
      <c r="G206">
        <v>57897</v>
      </c>
    </row>
    <row r="207" spans="1:7" x14ac:dyDescent="0.25">
      <c r="A207" t="s">
        <v>766</v>
      </c>
      <c r="B207" t="s">
        <v>770</v>
      </c>
      <c r="C207" t="s">
        <v>768</v>
      </c>
      <c r="D207" t="s">
        <v>769</v>
      </c>
      <c r="E207">
        <v>3</v>
      </c>
      <c r="F207" t="b" cm="1">
        <f t="array" ref="F207">IFERROR(OR(_xlfn._xlws.FILTER(Table6[companyid FILTER],Table6[companyid]=Table1[[#This Row],[companyid]])),FALSE)</f>
        <v>0</v>
      </c>
      <c r="G207">
        <v>57897</v>
      </c>
    </row>
    <row r="208" spans="1:7" x14ac:dyDescent="0.25">
      <c r="A208" t="s">
        <v>771</v>
      </c>
      <c r="B208" t="s">
        <v>772</v>
      </c>
      <c r="C208" t="s">
        <v>259</v>
      </c>
      <c r="D208" t="s">
        <v>773</v>
      </c>
      <c r="E208">
        <v>32</v>
      </c>
      <c r="F208" t="b" cm="1">
        <f t="array" ref="F208">IFERROR(OR(_xlfn._xlws.FILTER(Table6[companyid FILTER],Table6[companyid]=Table1[[#This Row],[companyid]])),FALSE)</f>
        <v>0</v>
      </c>
      <c r="G208">
        <v>58030</v>
      </c>
    </row>
    <row r="209" spans="1:7" x14ac:dyDescent="0.25">
      <c r="A209" t="s">
        <v>774</v>
      </c>
      <c r="B209" t="s">
        <v>775</v>
      </c>
      <c r="C209" t="s">
        <v>776</v>
      </c>
      <c r="D209" t="s">
        <v>777</v>
      </c>
      <c r="E209">
        <v>30</v>
      </c>
      <c r="F209" t="b" cm="1">
        <f t="array" ref="F209">IFERROR(OR(_xlfn._xlws.FILTER(Table6[companyid FILTER],Table6[companyid]=Table1[[#This Row],[companyid]])),FALSE)</f>
        <v>0</v>
      </c>
      <c r="G209">
        <v>58028</v>
      </c>
    </row>
    <row r="210" spans="1:7" x14ac:dyDescent="0.25">
      <c r="A210" t="s">
        <v>774</v>
      </c>
      <c r="B210" t="s">
        <v>778</v>
      </c>
      <c r="C210" t="s">
        <v>280</v>
      </c>
      <c r="D210" t="s">
        <v>777</v>
      </c>
      <c r="E210">
        <v>10</v>
      </c>
      <c r="F210" t="b" cm="1">
        <f t="array" ref="F210">IFERROR(OR(_xlfn._xlws.FILTER(Table6[companyid FILTER],Table6[companyid]=Table1[[#This Row],[companyid]])),FALSE)</f>
        <v>0</v>
      </c>
      <c r="G210">
        <v>58028</v>
      </c>
    </row>
    <row r="211" spans="1:7" x14ac:dyDescent="0.25">
      <c r="A211" t="s">
        <v>774</v>
      </c>
      <c r="B211" t="s">
        <v>778</v>
      </c>
      <c r="C211" t="s">
        <v>776</v>
      </c>
      <c r="D211" t="s">
        <v>777</v>
      </c>
      <c r="E211">
        <v>6</v>
      </c>
      <c r="F211" t="b" cm="1">
        <f t="array" ref="F211">IFERROR(OR(_xlfn._xlws.FILTER(Table6[companyid FILTER],Table6[companyid]=Table1[[#This Row],[companyid]])),FALSE)</f>
        <v>0</v>
      </c>
      <c r="G211">
        <v>58028</v>
      </c>
    </row>
    <row r="212" spans="1:7" x14ac:dyDescent="0.25">
      <c r="A212" t="s">
        <v>779</v>
      </c>
      <c r="B212" t="s">
        <v>780</v>
      </c>
      <c r="C212" t="s">
        <v>276</v>
      </c>
      <c r="D212" t="s">
        <v>781</v>
      </c>
      <c r="E212">
        <v>59</v>
      </c>
      <c r="F212" t="b" cm="1">
        <f t="array" ref="F212">IFERROR(OR(_xlfn._xlws.FILTER(Table6[companyid FILTER],Table6[companyid]=Table1[[#This Row],[companyid]])),FALSE)</f>
        <v>0</v>
      </c>
      <c r="G212">
        <v>58060</v>
      </c>
    </row>
    <row r="213" spans="1:7" x14ac:dyDescent="0.25">
      <c r="A213" t="s">
        <v>782</v>
      </c>
      <c r="B213" t="s">
        <v>783</v>
      </c>
      <c r="C213" t="s">
        <v>384</v>
      </c>
      <c r="D213" t="s">
        <v>784</v>
      </c>
      <c r="E213">
        <v>29</v>
      </c>
      <c r="F213" t="b" cm="1">
        <f t="array" ref="F213">IFERROR(OR(_xlfn._xlws.FILTER(Table6[companyid FILTER],Table6[companyid]=Table1[[#This Row],[companyid]])),FALSE)</f>
        <v>0</v>
      </c>
      <c r="G213">
        <v>58053</v>
      </c>
    </row>
    <row r="214" spans="1:7" x14ac:dyDescent="0.25">
      <c r="A214" t="s">
        <v>785</v>
      </c>
      <c r="B214" t="s">
        <v>786</v>
      </c>
      <c r="C214" t="s">
        <v>593</v>
      </c>
      <c r="D214" t="s">
        <v>787</v>
      </c>
      <c r="E214">
        <v>70</v>
      </c>
      <c r="F214" t="b" cm="1">
        <f t="array" ref="F214">IFERROR(OR(_xlfn._xlws.FILTER(Table6[companyid FILTER],Table6[companyid]=Table1[[#This Row],[companyid]])),FALSE)</f>
        <v>0</v>
      </c>
      <c r="G214">
        <v>58011</v>
      </c>
    </row>
    <row r="215" spans="1:7" x14ac:dyDescent="0.25">
      <c r="A215" t="s">
        <v>785</v>
      </c>
      <c r="B215" t="s">
        <v>788</v>
      </c>
      <c r="C215" t="s">
        <v>593</v>
      </c>
      <c r="D215" t="s">
        <v>787</v>
      </c>
      <c r="E215">
        <v>44</v>
      </c>
      <c r="F215" t="b" cm="1">
        <f t="array" ref="F215">IFERROR(OR(_xlfn._xlws.FILTER(Table6[companyid FILTER],Table6[companyid]=Table1[[#This Row],[companyid]])),FALSE)</f>
        <v>0</v>
      </c>
      <c r="G215">
        <v>58011</v>
      </c>
    </row>
    <row r="216" spans="1:7" x14ac:dyDescent="0.25">
      <c r="A216" t="s">
        <v>789</v>
      </c>
      <c r="B216" t="s">
        <v>790</v>
      </c>
      <c r="C216" t="s">
        <v>791</v>
      </c>
      <c r="D216" t="s">
        <v>792</v>
      </c>
      <c r="E216">
        <v>9</v>
      </c>
      <c r="F216" t="b" cm="1">
        <f t="array" ref="F216">IFERROR(OR(_xlfn._xlws.FILTER(Table6[companyid FILTER],Table6[companyid]=Table1[[#This Row],[companyid]])),FALSE)</f>
        <v>0</v>
      </c>
      <c r="G216">
        <v>58005</v>
      </c>
    </row>
    <row r="217" spans="1:7" x14ac:dyDescent="0.25">
      <c r="A217" t="s">
        <v>793</v>
      </c>
      <c r="B217" t="s">
        <v>794</v>
      </c>
      <c r="C217" t="s">
        <v>246</v>
      </c>
      <c r="D217" t="s">
        <v>795</v>
      </c>
      <c r="E217">
        <v>33</v>
      </c>
      <c r="F217" t="b" cm="1">
        <f t="array" ref="F217">IFERROR(OR(_xlfn._xlws.FILTER(Table6[companyid FILTER],Table6[companyid]=Table1[[#This Row],[companyid]])),FALSE)</f>
        <v>0</v>
      </c>
      <c r="G217">
        <v>58003</v>
      </c>
    </row>
    <row r="218" spans="1:7" x14ac:dyDescent="0.25">
      <c r="A218" t="s">
        <v>796</v>
      </c>
      <c r="B218" t="s">
        <v>797</v>
      </c>
      <c r="C218" t="s">
        <v>451</v>
      </c>
      <c r="D218" t="s">
        <v>798</v>
      </c>
      <c r="E218">
        <v>34</v>
      </c>
      <c r="F218" t="b" cm="1">
        <f t="array" ref="F218">IFERROR(OR(_xlfn._xlws.FILTER(Table6[companyid FILTER],Table6[companyid]=Table1[[#This Row],[companyid]])),FALSE)</f>
        <v>0</v>
      </c>
      <c r="G218">
        <v>58071</v>
      </c>
    </row>
    <row r="219" spans="1:7" x14ac:dyDescent="0.25">
      <c r="A219" t="s">
        <v>796</v>
      </c>
      <c r="B219" t="s">
        <v>797</v>
      </c>
      <c r="C219" t="s">
        <v>451</v>
      </c>
      <c r="D219" t="s">
        <v>799</v>
      </c>
      <c r="E219">
        <v>13</v>
      </c>
      <c r="F219" t="b" cm="1">
        <f t="array" ref="F219">IFERROR(OR(_xlfn._xlws.FILTER(Table6[companyid FILTER],Table6[companyid]=Table1[[#This Row],[companyid]])),FALSE)</f>
        <v>0</v>
      </c>
      <c r="G219">
        <v>58071</v>
      </c>
    </row>
    <row r="220" spans="1:7" x14ac:dyDescent="0.25">
      <c r="A220" t="s">
        <v>800</v>
      </c>
      <c r="B220" t="s">
        <v>801</v>
      </c>
      <c r="C220" t="s">
        <v>802</v>
      </c>
      <c r="D220" t="s">
        <v>803</v>
      </c>
      <c r="E220">
        <v>14</v>
      </c>
      <c r="F220" t="b" cm="1">
        <f t="array" ref="F220">IFERROR(OR(_xlfn._xlws.FILTER(Table6[companyid FILTER],Table6[companyid]=Table1[[#This Row],[companyid]])),FALSE)</f>
        <v>0</v>
      </c>
      <c r="G220">
        <v>58142</v>
      </c>
    </row>
    <row r="221" spans="1:7" x14ac:dyDescent="0.25">
      <c r="A221" t="s">
        <v>804</v>
      </c>
      <c r="B221" t="s">
        <v>805</v>
      </c>
      <c r="C221" t="s">
        <v>442</v>
      </c>
      <c r="D221" t="s">
        <v>806</v>
      </c>
      <c r="E221">
        <v>12</v>
      </c>
      <c r="F221" t="b" cm="1">
        <f t="array" ref="F221">IFERROR(OR(_xlfn._xlws.FILTER(Table6[companyid FILTER],Table6[companyid]=Table1[[#This Row],[companyid]])),FALSE)</f>
        <v>0</v>
      </c>
      <c r="G221">
        <v>117081</v>
      </c>
    </row>
    <row r="222" spans="1:7" x14ac:dyDescent="0.25">
      <c r="A222" t="s">
        <v>807</v>
      </c>
      <c r="B222" t="s">
        <v>808</v>
      </c>
      <c r="C222" t="s">
        <v>451</v>
      </c>
      <c r="D222" t="s">
        <v>809</v>
      </c>
      <c r="E222">
        <v>26</v>
      </c>
      <c r="F222" t="b" cm="1">
        <f t="array" ref="F222">IFERROR(OR(_xlfn._xlws.FILTER(Table6[companyid FILTER],Table6[companyid]=Table1[[#This Row],[companyid]])),FALSE)</f>
        <v>0</v>
      </c>
      <c r="G222">
        <v>58160</v>
      </c>
    </row>
    <row r="223" spans="1:7" x14ac:dyDescent="0.25">
      <c r="A223" t="s">
        <v>807</v>
      </c>
      <c r="B223" t="s">
        <v>810</v>
      </c>
      <c r="C223" t="s">
        <v>451</v>
      </c>
      <c r="D223" t="s">
        <v>809</v>
      </c>
      <c r="E223">
        <v>11</v>
      </c>
      <c r="F223" t="b" cm="1">
        <f t="array" ref="F223">IFERROR(OR(_xlfn._xlws.FILTER(Table6[companyid FILTER],Table6[companyid]=Table1[[#This Row],[companyid]])),FALSE)</f>
        <v>0</v>
      </c>
      <c r="G223">
        <v>58160</v>
      </c>
    </row>
    <row r="224" spans="1:7" x14ac:dyDescent="0.25">
      <c r="A224" t="s">
        <v>811</v>
      </c>
      <c r="B224" t="s">
        <v>812</v>
      </c>
      <c r="C224" t="s">
        <v>813</v>
      </c>
      <c r="D224" t="s">
        <v>814</v>
      </c>
      <c r="E224">
        <v>35</v>
      </c>
      <c r="F224" t="b" cm="1">
        <f t="array" ref="F224">IFERROR(OR(_xlfn._xlws.FILTER(Table6[companyid FILTER],Table6[companyid]=Table1[[#This Row],[companyid]])),FALSE)</f>
        <v>0</v>
      </c>
      <c r="G224">
        <v>58155</v>
      </c>
    </row>
    <row r="225" spans="1:7" x14ac:dyDescent="0.25">
      <c r="A225" t="s">
        <v>811</v>
      </c>
      <c r="B225" t="s">
        <v>815</v>
      </c>
      <c r="C225" t="s">
        <v>816</v>
      </c>
      <c r="D225" t="s">
        <v>817</v>
      </c>
      <c r="E225">
        <v>22</v>
      </c>
      <c r="F225" t="b" cm="1">
        <f t="array" ref="F225">IFERROR(OR(_xlfn._xlws.FILTER(Table6[companyid FILTER],Table6[companyid]=Table1[[#This Row],[companyid]])),FALSE)</f>
        <v>0</v>
      </c>
      <c r="G225">
        <v>58155</v>
      </c>
    </row>
    <row r="226" spans="1:7" x14ac:dyDescent="0.25">
      <c r="A226" t="s">
        <v>818</v>
      </c>
      <c r="B226" t="s">
        <v>401</v>
      </c>
      <c r="C226" t="s">
        <v>402</v>
      </c>
      <c r="D226" t="s">
        <v>447</v>
      </c>
      <c r="E226">
        <v>12</v>
      </c>
      <c r="F226" t="b" cm="1">
        <f t="array" ref="F226">IFERROR(OR(_xlfn._xlws.FILTER(Table6[companyid FILTER],Table6[companyid]=Table1[[#This Row],[companyid]])),FALSE)</f>
        <v>0</v>
      </c>
      <c r="G226">
        <v>58079</v>
      </c>
    </row>
    <row r="227" spans="1:7" x14ac:dyDescent="0.25">
      <c r="A227" t="s">
        <v>818</v>
      </c>
      <c r="B227" t="s">
        <v>819</v>
      </c>
      <c r="C227" t="s">
        <v>492</v>
      </c>
      <c r="D227" t="s">
        <v>447</v>
      </c>
      <c r="E227">
        <v>3</v>
      </c>
      <c r="F227" t="b" cm="1">
        <f t="array" ref="F227">IFERROR(OR(_xlfn._xlws.FILTER(Table6[companyid FILTER],Table6[companyid]=Table1[[#This Row],[companyid]])),FALSE)</f>
        <v>0</v>
      </c>
      <c r="G227">
        <v>58079</v>
      </c>
    </row>
    <row r="228" spans="1:7" x14ac:dyDescent="0.25">
      <c r="A228" t="s">
        <v>820</v>
      </c>
      <c r="B228" t="s">
        <v>821</v>
      </c>
      <c r="C228" t="s">
        <v>822</v>
      </c>
      <c r="D228" t="s">
        <v>823</v>
      </c>
      <c r="E228">
        <v>46</v>
      </c>
      <c r="F228" t="b" cm="1">
        <f t="array" ref="F228">IFERROR(OR(_xlfn._xlws.FILTER(Table6[companyid FILTER],Table6[companyid]=Table1[[#This Row],[companyid]])),FALSE)</f>
        <v>0</v>
      </c>
      <c r="G228">
        <v>58234</v>
      </c>
    </row>
    <row r="229" spans="1:7" x14ac:dyDescent="0.25">
      <c r="A229" t="s">
        <v>824</v>
      </c>
      <c r="B229" t="s">
        <v>825</v>
      </c>
      <c r="C229" t="s">
        <v>259</v>
      </c>
      <c r="D229" t="s">
        <v>826</v>
      </c>
      <c r="E229">
        <v>93</v>
      </c>
      <c r="F229" t="b" cm="1">
        <f t="array" ref="F229">IFERROR(OR(_xlfn._xlws.FILTER(Table6[companyid FILTER],Table6[companyid]=Table1[[#This Row],[companyid]])),FALSE)</f>
        <v>0</v>
      </c>
      <c r="G229">
        <v>58227</v>
      </c>
    </row>
    <row r="230" spans="1:7" x14ac:dyDescent="0.25">
      <c r="A230" t="s">
        <v>827</v>
      </c>
      <c r="B230" t="s">
        <v>828</v>
      </c>
      <c r="C230" t="s">
        <v>365</v>
      </c>
      <c r="D230" t="s">
        <v>829</v>
      </c>
      <c r="E230">
        <v>14</v>
      </c>
      <c r="F230" t="b" cm="1">
        <f t="array" ref="F230">IFERROR(OR(_xlfn._xlws.FILTER(Table6[companyid FILTER],Table6[companyid]=Table1[[#This Row],[companyid]])),FALSE)</f>
        <v>0</v>
      </c>
      <c r="G230">
        <v>58246</v>
      </c>
    </row>
    <row r="231" spans="1:7" x14ac:dyDescent="0.25">
      <c r="A231" t="s">
        <v>827</v>
      </c>
      <c r="B231" t="s">
        <v>828</v>
      </c>
      <c r="C231" t="s">
        <v>365</v>
      </c>
      <c r="D231" t="s">
        <v>830</v>
      </c>
      <c r="E231">
        <v>8</v>
      </c>
      <c r="F231" t="b" cm="1">
        <f t="array" ref="F231">IFERROR(OR(_xlfn._xlws.FILTER(Table6[companyid FILTER],Table6[companyid]=Table1[[#This Row],[companyid]])),FALSE)</f>
        <v>0</v>
      </c>
      <c r="G231">
        <v>58246</v>
      </c>
    </row>
    <row r="232" spans="1:7" x14ac:dyDescent="0.25">
      <c r="A232" t="s">
        <v>831</v>
      </c>
      <c r="B232" t="s">
        <v>832</v>
      </c>
      <c r="C232" t="s">
        <v>833</v>
      </c>
      <c r="D232" t="s">
        <v>834</v>
      </c>
      <c r="E232">
        <v>52</v>
      </c>
      <c r="F232" t="b" cm="1">
        <f t="array" ref="F232">IFERROR(OR(_xlfn._xlws.FILTER(Table6[companyid FILTER],Table6[companyid]=Table1[[#This Row],[companyid]])),FALSE)</f>
        <v>0</v>
      </c>
      <c r="G232">
        <v>58202</v>
      </c>
    </row>
  </sheetData>
  <sheetProtection algorithmName="SHA-512" hashValue="H0hVsru3lnKNqu7MeXudCkJaCvl7H9/zbMNdFXX1GDRnnbbV508idXPC4cyzQ651Q6JZWJQT6gUyaM30Dv+QRA==" saltValue="0Z+bXVMNu0W2NlmRyfMACQ==" spinCount="100000" sheet="1" objects="1" scenarios="1"/>
  <protectedRanges>
    <protectedRange sqref="D203:D261" name="Addresses"/>
  </protectedRanges>
  <phoneticPr fontId="3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E9534-044C-4480-98C9-998C28F59448}">
  <sheetPr codeName="Sheet9"/>
  <dimension ref="A1:AU316"/>
  <sheetViews>
    <sheetView workbookViewId="0">
      <selection activeCell="D66" sqref="D66"/>
    </sheetView>
  </sheetViews>
  <sheetFormatPr defaultRowHeight="15" x14ac:dyDescent="0.25"/>
  <cols>
    <col min="1" max="1" width="13" bestFit="1" customWidth="1"/>
    <col min="2" max="2" width="24" bestFit="1" customWidth="1"/>
    <col min="3" max="3" width="15.7109375" bestFit="1" customWidth="1"/>
    <col min="4" max="4" width="32.140625" style="38" bestFit="1" customWidth="1"/>
    <col min="5" max="5" width="28.28515625" style="95" bestFit="1" customWidth="1"/>
    <col min="46" max="46" width="13.85546875" bestFit="1" customWidth="1"/>
    <col min="48" max="48" width="14.85546875" bestFit="1" customWidth="1"/>
  </cols>
  <sheetData>
    <row r="1" spans="1:47" s="1" customFormat="1" ht="15.75" thickBot="1" x14ac:dyDescent="0.3">
      <c r="A1" s="1" t="s">
        <v>239</v>
      </c>
      <c r="B1" s="97" t="s">
        <v>154</v>
      </c>
      <c r="C1" s="89" t="s">
        <v>155</v>
      </c>
      <c r="D1" s="93" t="s">
        <v>156</v>
      </c>
      <c r="E1" s="93" t="s">
        <v>157</v>
      </c>
      <c r="F1" s="1" t="s">
        <v>835</v>
      </c>
      <c r="G1" s="97" t="s">
        <v>836</v>
      </c>
      <c r="H1" s="89" t="s">
        <v>837</v>
      </c>
      <c r="I1" s="89" t="s">
        <v>838</v>
      </c>
      <c r="J1" s="89" t="s">
        <v>839</v>
      </c>
      <c r="K1" s="1" t="s">
        <v>840</v>
      </c>
      <c r="L1" s="1" t="s">
        <v>841</v>
      </c>
      <c r="M1" s="1" t="s">
        <v>842</v>
      </c>
      <c r="N1" s="1" t="s">
        <v>843</v>
      </c>
      <c r="O1" s="1" t="s">
        <v>844</v>
      </c>
    </row>
    <row r="2" spans="1:47" ht="15.75" thickTop="1" x14ac:dyDescent="0.25">
      <c r="A2">
        <v>57072</v>
      </c>
      <c r="B2" t="s">
        <v>884</v>
      </c>
      <c r="C2" t="s">
        <v>945</v>
      </c>
      <c r="D2" s="38">
        <v>2002</v>
      </c>
      <c r="E2" s="95" t="s">
        <v>946</v>
      </c>
      <c r="F2" t="b">
        <f>IFERROR(Table6[[#This Row],[companyid]]=DropDowns!$N$20,TRUE)</f>
        <v>1</v>
      </c>
      <c r="G2" t="b">
        <f>OR(Worksheet!$D$5="",Worksheet!$D$5=Table6[[#This Row],[categoryname]])</f>
        <v>1</v>
      </c>
      <c r="H2" t="b">
        <f>OR(Worksheet!$D$7="",Worksheet!$D$7=Table6[[#This Row],[Manufacturer]])</f>
        <v>1</v>
      </c>
      <c r="I2" t="b">
        <f>OR(Worksheet!$G$7="",Worksheet!$G$7=Table6[[#This Row],[Model No.]])</f>
        <v>1</v>
      </c>
      <c r="J2" t="b">
        <f>OR(Worksheet!$D$8="",Worksheet!$D$8=Table6[[#This Row],[Serial No.]])</f>
        <v>0</v>
      </c>
      <c r="K2" t="b">
        <f>AND(Table6[[#This Row],[categoryname2]:[SN2]])</f>
        <v>0</v>
      </c>
      <c r="L2" t="b">
        <f>AND(Table6[[#This Row],[companyid2]],Table6[[#This Row],[Manufacturer2]:[SN2]])</f>
        <v>0</v>
      </c>
      <c r="M2" t="b">
        <f>AND(Table6[[#This Row],[companyid2]:[categoryname2]],Table6[[#This Row],[Model2]:[SN2]])</f>
        <v>0</v>
      </c>
      <c r="N2" t="b">
        <f>AND(Table6[[#This Row],[companyid2]:[Manufacturer2]],Table6[[#This Row],[SN2]])</f>
        <v>0</v>
      </c>
      <c r="O2" t="b">
        <f>AND(Table6[[#This Row],[companyid2]:[Model2]])</f>
        <v>1</v>
      </c>
      <c r="AS2" s="30"/>
    </row>
    <row r="3" spans="1:47" x14ac:dyDescent="0.25">
      <c r="A3">
        <v>57075</v>
      </c>
      <c r="B3" t="s">
        <v>884</v>
      </c>
      <c r="C3" t="s">
        <v>878</v>
      </c>
      <c r="D3" s="38" t="s">
        <v>879</v>
      </c>
      <c r="E3" s="95" t="s">
        <v>1090</v>
      </c>
      <c r="F3" t="b">
        <f>IFERROR(Table6[[#This Row],[companyid]]=DropDowns!$N$20,TRUE)</f>
        <v>1</v>
      </c>
      <c r="G3" t="b">
        <f>OR(Worksheet!$D$5="",Worksheet!$D$5=Table6[[#This Row],[categoryname]])</f>
        <v>1</v>
      </c>
      <c r="H3" t="b">
        <f>OR(Worksheet!$D$7="",Worksheet!$D$7=Table6[[#This Row],[Manufacturer]])</f>
        <v>1</v>
      </c>
      <c r="I3" t="b">
        <f>OR(Worksheet!$G$7="",Worksheet!$G$7=Table6[[#This Row],[Model No.]])</f>
        <v>1</v>
      </c>
      <c r="J3" t="b">
        <f>OR(Worksheet!$D$8="",Worksheet!$D$8=Table6[[#This Row],[Serial No.]])</f>
        <v>0</v>
      </c>
      <c r="K3" t="b">
        <f>AND(Table6[[#This Row],[categoryname2]:[SN2]])</f>
        <v>0</v>
      </c>
      <c r="L3" t="b">
        <f>AND(Table6[[#This Row],[companyid2]],Table6[[#This Row],[Manufacturer2]:[SN2]])</f>
        <v>0</v>
      </c>
      <c r="M3" t="b">
        <f>AND(Table6[[#This Row],[companyid2]:[categoryname2]],Table6[[#This Row],[Model2]:[SN2]])</f>
        <v>0</v>
      </c>
      <c r="N3" t="b">
        <f>AND(Table6[[#This Row],[companyid2]:[Manufacturer2]],Table6[[#This Row],[SN2]])</f>
        <v>0</v>
      </c>
      <c r="O3" t="b">
        <f>AND(Table6[[#This Row],[companyid2]:[Model2]])</f>
        <v>1</v>
      </c>
      <c r="AH3" s="84"/>
    </row>
    <row r="4" spans="1:47" x14ac:dyDescent="0.25">
      <c r="A4">
        <v>57076</v>
      </c>
      <c r="B4" t="s">
        <v>884</v>
      </c>
      <c r="C4" t="s">
        <v>878</v>
      </c>
      <c r="D4" s="38" t="s">
        <v>1069</v>
      </c>
      <c r="E4" s="95">
        <v>1447</v>
      </c>
      <c r="F4" t="b">
        <f>IFERROR(Table6[[#This Row],[companyid]]=DropDowns!$N$20,TRUE)</f>
        <v>1</v>
      </c>
      <c r="G4" t="b">
        <f>OR(Worksheet!$D$5="",Worksheet!$D$5=Table6[[#This Row],[categoryname]])</f>
        <v>1</v>
      </c>
      <c r="H4" t="b">
        <f>OR(Worksheet!$D$7="",Worksheet!$D$7=Table6[[#This Row],[Manufacturer]])</f>
        <v>1</v>
      </c>
      <c r="I4" t="b">
        <f>OR(Worksheet!$G$7="",Worksheet!$G$7=Table6[[#This Row],[Model No.]])</f>
        <v>1</v>
      </c>
      <c r="J4" t="b">
        <f>OR(Worksheet!$D$8="",Worksheet!$D$8=Table6[[#This Row],[Serial No.]])</f>
        <v>0</v>
      </c>
      <c r="K4" t="b">
        <f>AND(Table6[[#This Row],[categoryname2]:[SN2]])</f>
        <v>0</v>
      </c>
      <c r="L4" t="b">
        <f>AND(Table6[[#This Row],[companyid2]],Table6[[#This Row],[Manufacturer2]:[SN2]])</f>
        <v>0</v>
      </c>
      <c r="M4" t="b">
        <f>AND(Table6[[#This Row],[companyid2]:[categoryname2]],Table6[[#This Row],[Model2]:[SN2]])</f>
        <v>0</v>
      </c>
      <c r="N4" t="b">
        <f>AND(Table6[[#This Row],[companyid2]:[Manufacturer2]],Table6[[#This Row],[SN2]])</f>
        <v>0</v>
      </c>
      <c r="O4" t="b">
        <f>AND(Table6[[#This Row],[companyid2]:[Model2]])</f>
        <v>1</v>
      </c>
      <c r="AS4" s="30"/>
    </row>
    <row r="5" spans="1:47" x14ac:dyDescent="0.25">
      <c r="A5">
        <v>57076</v>
      </c>
      <c r="B5" t="s">
        <v>884</v>
      </c>
      <c r="C5" t="s">
        <v>878</v>
      </c>
      <c r="D5" s="38" t="s">
        <v>1069</v>
      </c>
      <c r="E5" s="95">
        <v>7692</v>
      </c>
      <c r="F5" t="b">
        <f>IFERROR(Table6[[#This Row],[companyid]]=DropDowns!$N$20,TRUE)</f>
        <v>1</v>
      </c>
      <c r="G5" t="b">
        <f>OR(Worksheet!$D$5="",Worksheet!$D$5=Table6[[#This Row],[categoryname]])</f>
        <v>1</v>
      </c>
      <c r="H5" t="b">
        <f>OR(Worksheet!$D$7="",Worksheet!$D$7=Table6[[#This Row],[Manufacturer]])</f>
        <v>1</v>
      </c>
      <c r="I5" t="b">
        <f>OR(Worksheet!$G$7="",Worksheet!$G$7=Table6[[#This Row],[Model No.]])</f>
        <v>1</v>
      </c>
      <c r="J5" t="b">
        <f>OR(Worksheet!$D$8="",Worksheet!$D$8=Table6[[#This Row],[Serial No.]])</f>
        <v>0</v>
      </c>
      <c r="K5" t="b">
        <f>AND(Table6[[#This Row],[categoryname2]:[SN2]])</f>
        <v>0</v>
      </c>
      <c r="L5" t="b">
        <f>AND(Table6[[#This Row],[companyid2]],Table6[[#This Row],[Manufacturer2]:[SN2]])</f>
        <v>0</v>
      </c>
      <c r="M5" t="b">
        <f>AND(Table6[[#This Row],[companyid2]:[categoryname2]],Table6[[#This Row],[Model2]:[SN2]])</f>
        <v>0</v>
      </c>
      <c r="N5" t="b">
        <f>AND(Table6[[#This Row],[companyid2]:[Manufacturer2]],Table6[[#This Row],[SN2]])</f>
        <v>0</v>
      </c>
      <c r="O5" t="b">
        <f>AND(Table6[[#This Row],[companyid2]:[Model2]])</f>
        <v>1</v>
      </c>
      <c r="AS5" s="30"/>
      <c r="AU5" s="30"/>
    </row>
    <row r="6" spans="1:47" x14ac:dyDescent="0.25">
      <c r="A6">
        <v>57093</v>
      </c>
      <c r="B6" t="s">
        <v>884</v>
      </c>
      <c r="C6" t="s">
        <v>853</v>
      </c>
      <c r="D6" s="38" t="s">
        <v>924</v>
      </c>
      <c r="E6" s="95">
        <v>7869</v>
      </c>
      <c r="F6" t="b">
        <f>IFERROR(Table6[[#This Row],[companyid]]=DropDowns!$N$20,TRUE)</f>
        <v>1</v>
      </c>
      <c r="G6" t="b">
        <f>OR(Worksheet!$D$5="",Worksheet!$D$5=Table6[[#This Row],[categoryname]])</f>
        <v>1</v>
      </c>
      <c r="H6" t="b">
        <f>OR(Worksheet!$D$7="",Worksheet!$D$7=Table6[[#This Row],[Manufacturer]])</f>
        <v>1</v>
      </c>
      <c r="I6" t="b">
        <f>OR(Worksheet!$G$7="",Worksheet!$G$7=Table6[[#This Row],[Model No.]])</f>
        <v>1</v>
      </c>
      <c r="J6" t="b">
        <f>OR(Worksheet!$D$8="",Worksheet!$D$8=Table6[[#This Row],[Serial No.]])</f>
        <v>0</v>
      </c>
      <c r="K6" t="b">
        <f>AND(Table6[[#This Row],[categoryname2]:[SN2]])</f>
        <v>0</v>
      </c>
      <c r="L6" t="b">
        <f>AND(Table6[[#This Row],[companyid2]],Table6[[#This Row],[Manufacturer2]:[SN2]])</f>
        <v>0</v>
      </c>
      <c r="M6" t="b">
        <f>AND(Table6[[#This Row],[companyid2]:[categoryname2]],Table6[[#This Row],[Model2]:[SN2]])</f>
        <v>0</v>
      </c>
      <c r="N6" t="b">
        <f>AND(Table6[[#This Row],[companyid2]:[Manufacturer2]],Table6[[#This Row],[SN2]])</f>
        <v>0</v>
      </c>
      <c r="O6" t="b">
        <f>AND(Table6[[#This Row],[companyid2]:[Model2]])</f>
        <v>1</v>
      </c>
      <c r="AS6" s="30"/>
    </row>
    <row r="7" spans="1:47" x14ac:dyDescent="0.25">
      <c r="A7">
        <v>57096</v>
      </c>
      <c r="B7" t="s">
        <v>845</v>
      </c>
      <c r="C7" t="s">
        <v>850</v>
      </c>
      <c r="D7" s="38" t="s">
        <v>851</v>
      </c>
      <c r="E7" s="94">
        <v>38099</v>
      </c>
      <c r="F7" t="b">
        <f>IFERROR(Table6[[#This Row],[companyid]]=DropDowns!$N$20,TRUE)</f>
        <v>1</v>
      </c>
      <c r="G7" t="b">
        <f>OR(Worksheet!$D$5="",Worksheet!$D$5=Table6[[#This Row],[categoryname]])</f>
        <v>1</v>
      </c>
      <c r="H7" t="b">
        <f>OR(Worksheet!$D$7="",Worksheet!$D$7=Table6[[#This Row],[Manufacturer]])</f>
        <v>1</v>
      </c>
      <c r="I7" t="b">
        <f>OR(Worksheet!$G$7="",Worksheet!$G$7=Table6[[#This Row],[Model No.]])</f>
        <v>1</v>
      </c>
      <c r="J7" t="b">
        <f>OR(Worksheet!$D$8="",Worksheet!$D$8=Table6[[#This Row],[Serial No.]])</f>
        <v>0</v>
      </c>
      <c r="K7" t="b">
        <f>AND(Table6[[#This Row],[categoryname2]:[SN2]])</f>
        <v>0</v>
      </c>
      <c r="L7" t="b">
        <f>AND(Table6[[#This Row],[companyid2]],Table6[[#This Row],[Manufacturer2]:[SN2]])</f>
        <v>0</v>
      </c>
      <c r="M7" t="b">
        <f>AND(Table6[[#This Row],[companyid2]:[categoryname2]],Table6[[#This Row],[Model2]:[SN2]])</f>
        <v>0</v>
      </c>
      <c r="N7" t="b">
        <f>AND(Table6[[#This Row],[companyid2]:[Manufacturer2]],Table6[[#This Row],[SN2]])</f>
        <v>0</v>
      </c>
      <c r="O7" t="b">
        <f>AND(Table6[[#This Row],[companyid2]:[Model2]])</f>
        <v>1</v>
      </c>
      <c r="AS7" s="30"/>
    </row>
    <row r="8" spans="1:47" x14ac:dyDescent="0.25">
      <c r="A8">
        <v>57096</v>
      </c>
      <c r="B8" t="s">
        <v>845</v>
      </c>
      <c r="C8" t="s">
        <v>850</v>
      </c>
      <c r="D8" s="38" t="s">
        <v>851</v>
      </c>
      <c r="E8" s="94">
        <v>38699</v>
      </c>
      <c r="F8" t="b">
        <f>IFERROR(Table6[[#This Row],[companyid]]=DropDowns!$N$20,TRUE)</f>
        <v>1</v>
      </c>
      <c r="G8" t="b">
        <f>OR(Worksheet!$D$5="",Worksheet!$D$5=Table6[[#This Row],[categoryname]])</f>
        <v>1</v>
      </c>
      <c r="H8" t="b">
        <f>OR(Worksheet!$D$7="",Worksheet!$D$7=Table6[[#This Row],[Manufacturer]])</f>
        <v>1</v>
      </c>
      <c r="I8" t="b">
        <f>OR(Worksheet!$G$7="",Worksheet!$G$7=Table6[[#This Row],[Model No.]])</f>
        <v>1</v>
      </c>
      <c r="J8" t="b">
        <f>OR(Worksheet!$D$8="",Worksheet!$D$8=Table6[[#This Row],[Serial No.]])</f>
        <v>0</v>
      </c>
      <c r="K8" t="b">
        <f>AND(Table6[[#This Row],[categoryname2]:[SN2]])</f>
        <v>0</v>
      </c>
      <c r="L8" t="b">
        <f>AND(Table6[[#This Row],[companyid2]],Table6[[#This Row],[Manufacturer2]:[SN2]])</f>
        <v>0</v>
      </c>
      <c r="M8" t="b">
        <f>AND(Table6[[#This Row],[companyid2]:[categoryname2]],Table6[[#This Row],[Model2]:[SN2]])</f>
        <v>0</v>
      </c>
      <c r="N8" t="b">
        <f>AND(Table6[[#This Row],[companyid2]:[Manufacturer2]],Table6[[#This Row],[SN2]])</f>
        <v>0</v>
      </c>
      <c r="O8" t="b">
        <f>AND(Table6[[#This Row],[companyid2]:[Model2]])</f>
        <v>1</v>
      </c>
      <c r="AS8" s="30"/>
    </row>
    <row r="9" spans="1:47" x14ac:dyDescent="0.25">
      <c r="A9">
        <v>57097</v>
      </c>
      <c r="B9" t="s">
        <v>845</v>
      </c>
      <c r="C9" t="s">
        <v>850</v>
      </c>
      <c r="D9" s="38" t="s">
        <v>851</v>
      </c>
      <c r="E9" s="94">
        <v>39000</v>
      </c>
      <c r="F9" t="b">
        <f>IFERROR(Table6[[#This Row],[companyid]]=DropDowns!$N$20,TRUE)</f>
        <v>1</v>
      </c>
      <c r="G9" t="b">
        <f>OR(Worksheet!$D$5="",Worksheet!$D$5=Table6[[#This Row],[categoryname]])</f>
        <v>1</v>
      </c>
      <c r="H9" t="b">
        <f>OR(Worksheet!$D$7="",Worksheet!$D$7=Table6[[#This Row],[Manufacturer]])</f>
        <v>1</v>
      </c>
      <c r="I9" t="b">
        <f>OR(Worksheet!$G$7="",Worksheet!$G$7=Table6[[#This Row],[Model No.]])</f>
        <v>1</v>
      </c>
      <c r="J9" t="b">
        <f>OR(Worksheet!$D$8="",Worksheet!$D$8=Table6[[#This Row],[Serial No.]])</f>
        <v>0</v>
      </c>
      <c r="K9" t="b">
        <f>AND(Table6[[#This Row],[categoryname2]:[SN2]])</f>
        <v>0</v>
      </c>
      <c r="L9" t="b">
        <f>AND(Table6[[#This Row],[companyid2]],Table6[[#This Row],[Manufacturer2]:[SN2]])</f>
        <v>0</v>
      </c>
      <c r="M9" t="b">
        <f>AND(Table6[[#This Row],[companyid2]:[categoryname2]],Table6[[#This Row],[Model2]:[SN2]])</f>
        <v>0</v>
      </c>
      <c r="N9" t="b">
        <f>AND(Table6[[#This Row],[companyid2]:[Manufacturer2]],Table6[[#This Row],[SN2]])</f>
        <v>0</v>
      </c>
      <c r="O9" t="b">
        <f>AND(Table6[[#This Row],[companyid2]:[Model2]])</f>
        <v>1</v>
      </c>
      <c r="AH9" s="84"/>
      <c r="AS9" s="30"/>
    </row>
    <row r="10" spans="1:47" x14ac:dyDescent="0.25">
      <c r="A10">
        <v>57113</v>
      </c>
      <c r="B10" t="s">
        <v>884</v>
      </c>
      <c r="C10" t="s">
        <v>853</v>
      </c>
      <c r="D10" s="38" t="s">
        <v>911</v>
      </c>
      <c r="E10" s="94" t="s">
        <v>915</v>
      </c>
      <c r="F10" t="b">
        <f>IFERROR(Table6[[#This Row],[companyid]]=DropDowns!$N$20,TRUE)</f>
        <v>1</v>
      </c>
      <c r="G10" t="b">
        <f>OR(Worksheet!$D$5="",Worksheet!$D$5=Table6[[#This Row],[categoryname]])</f>
        <v>1</v>
      </c>
      <c r="H10" t="b">
        <f>OR(Worksheet!$D$7="",Worksheet!$D$7=Table6[[#This Row],[Manufacturer]])</f>
        <v>1</v>
      </c>
      <c r="I10" t="b">
        <f>OR(Worksheet!$G$7="",Worksheet!$G$7=Table6[[#This Row],[Model No.]])</f>
        <v>1</v>
      </c>
      <c r="J10" t="b">
        <f>OR(Worksheet!$D$8="",Worksheet!$D$8=Table6[[#This Row],[Serial No.]])</f>
        <v>0</v>
      </c>
      <c r="K10" t="b">
        <f>AND(Table6[[#This Row],[categoryname2]:[SN2]])</f>
        <v>0</v>
      </c>
      <c r="L10" t="b">
        <f>AND(Table6[[#This Row],[companyid2]],Table6[[#This Row],[Manufacturer2]:[SN2]])</f>
        <v>0</v>
      </c>
      <c r="M10" t="b">
        <f>AND(Table6[[#This Row],[companyid2]:[categoryname2]],Table6[[#This Row],[Model2]:[SN2]])</f>
        <v>0</v>
      </c>
      <c r="N10" t="b">
        <f>AND(Table6[[#This Row],[companyid2]:[Manufacturer2]],Table6[[#This Row],[SN2]])</f>
        <v>0</v>
      </c>
      <c r="O10" t="b">
        <f>AND(Table6[[#This Row],[companyid2]:[Model2]])</f>
        <v>1</v>
      </c>
      <c r="AS10" s="30"/>
    </row>
    <row r="11" spans="1:47" x14ac:dyDescent="0.25">
      <c r="A11">
        <v>57114</v>
      </c>
      <c r="B11" t="s">
        <v>884</v>
      </c>
      <c r="C11" t="s">
        <v>1006</v>
      </c>
      <c r="D11" s="38" t="s">
        <v>1008</v>
      </c>
      <c r="E11" s="95">
        <v>20257</v>
      </c>
      <c r="F11" t="b">
        <f>IFERROR(Table6[[#This Row],[companyid]]=DropDowns!$N$20,TRUE)</f>
        <v>1</v>
      </c>
      <c r="G11" t="b">
        <f>OR(Worksheet!$D$5="",Worksheet!$D$5=Table6[[#This Row],[categoryname]])</f>
        <v>1</v>
      </c>
      <c r="H11" t="b">
        <f>OR(Worksheet!$D$7="",Worksheet!$D$7=Table6[[#This Row],[Manufacturer]])</f>
        <v>1</v>
      </c>
      <c r="I11" t="b">
        <f>OR(Worksheet!$G$7="",Worksheet!$G$7=Table6[[#This Row],[Model No.]])</f>
        <v>1</v>
      </c>
      <c r="J11" t="b">
        <f>OR(Worksheet!$D$8="",Worksheet!$D$8=Table6[[#This Row],[Serial No.]])</f>
        <v>0</v>
      </c>
      <c r="K11" t="b">
        <f>AND(Table6[[#This Row],[categoryname2]:[SN2]])</f>
        <v>0</v>
      </c>
      <c r="L11" t="b">
        <f>AND(Table6[[#This Row],[companyid2]],Table6[[#This Row],[Manufacturer2]:[SN2]])</f>
        <v>0</v>
      </c>
      <c r="M11" t="b">
        <f>AND(Table6[[#This Row],[companyid2]:[categoryname2]],Table6[[#This Row],[Model2]:[SN2]])</f>
        <v>0</v>
      </c>
      <c r="N11" t="b">
        <f>AND(Table6[[#This Row],[companyid2]:[Manufacturer2]],Table6[[#This Row],[SN2]])</f>
        <v>0</v>
      </c>
      <c r="O11" t="b">
        <f>AND(Table6[[#This Row],[companyid2]:[Model2]])</f>
        <v>1</v>
      </c>
      <c r="AS11" s="30"/>
    </row>
    <row r="12" spans="1:47" x14ac:dyDescent="0.25">
      <c r="A12">
        <v>57119</v>
      </c>
      <c r="B12" t="s">
        <v>845</v>
      </c>
      <c r="C12" t="s">
        <v>850</v>
      </c>
      <c r="D12" s="38" t="s">
        <v>851</v>
      </c>
      <c r="E12" s="94">
        <v>39200</v>
      </c>
      <c r="F12" t="b">
        <f>IFERROR(Table6[[#This Row],[companyid]]=DropDowns!$N$20,TRUE)</f>
        <v>1</v>
      </c>
      <c r="G12" t="b">
        <f>OR(Worksheet!$D$5="",Worksheet!$D$5=Table6[[#This Row],[categoryname]])</f>
        <v>1</v>
      </c>
      <c r="H12" t="b">
        <f>OR(Worksheet!$D$7="",Worksheet!$D$7=Table6[[#This Row],[Manufacturer]])</f>
        <v>1</v>
      </c>
      <c r="I12" t="b">
        <f>OR(Worksheet!$G$7="",Worksheet!$G$7=Table6[[#This Row],[Model No.]])</f>
        <v>1</v>
      </c>
      <c r="J12" t="b">
        <f>OR(Worksheet!$D$8="",Worksheet!$D$8=Table6[[#This Row],[Serial No.]])</f>
        <v>0</v>
      </c>
      <c r="K12" t="b">
        <f>AND(Table6[[#This Row],[categoryname2]:[SN2]])</f>
        <v>0</v>
      </c>
      <c r="L12" t="b">
        <f>AND(Table6[[#This Row],[companyid2]],Table6[[#This Row],[Manufacturer2]:[SN2]])</f>
        <v>0</v>
      </c>
      <c r="M12" t="b">
        <f>AND(Table6[[#This Row],[companyid2]:[categoryname2]],Table6[[#This Row],[Model2]:[SN2]])</f>
        <v>0</v>
      </c>
      <c r="N12" t="b">
        <f>AND(Table6[[#This Row],[companyid2]:[Manufacturer2]],Table6[[#This Row],[SN2]])</f>
        <v>0</v>
      </c>
      <c r="O12" t="b">
        <f>AND(Table6[[#This Row],[companyid2]:[Model2]])</f>
        <v>1</v>
      </c>
      <c r="AS12" s="30"/>
    </row>
    <row r="13" spans="1:47" x14ac:dyDescent="0.25">
      <c r="A13">
        <v>57119</v>
      </c>
      <c r="B13" t="s">
        <v>884</v>
      </c>
      <c r="C13" t="s">
        <v>895</v>
      </c>
      <c r="D13" s="38" t="s">
        <v>851</v>
      </c>
      <c r="E13" s="95">
        <v>39100</v>
      </c>
      <c r="F13" t="b">
        <f>IFERROR(Table6[[#This Row],[companyid]]=DropDowns!$N$20,TRUE)</f>
        <v>1</v>
      </c>
      <c r="G13" t="b">
        <f>OR(Worksheet!$D$5="",Worksheet!$D$5=Table6[[#This Row],[categoryname]])</f>
        <v>1</v>
      </c>
      <c r="H13" t="b">
        <f>OR(Worksheet!$D$7="",Worksheet!$D$7=Table6[[#This Row],[Manufacturer]])</f>
        <v>1</v>
      </c>
      <c r="I13" t="b">
        <f>OR(Worksheet!$G$7="",Worksheet!$G$7=Table6[[#This Row],[Model No.]])</f>
        <v>1</v>
      </c>
      <c r="J13" t="b">
        <f>OR(Worksheet!$D$8="",Worksheet!$D$8=Table6[[#This Row],[Serial No.]])</f>
        <v>0</v>
      </c>
      <c r="K13" t="b">
        <f>AND(Table6[[#This Row],[categoryname2]:[SN2]])</f>
        <v>0</v>
      </c>
      <c r="L13" t="b">
        <f>AND(Table6[[#This Row],[companyid2]],Table6[[#This Row],[Manufacturer2]:[SN2]])</f>
        <v>0</v>
      </c>
      <c r="M13" t="b">
        <f>AND(Table6[[#This Row],[companyid2]:[categoryname2]],Table6[[#This Row],[Model2]:[SN2]])</f>
        <v>0</v>
      </c>
      <c r="N13" t="b">
        <f>AND(Table6[[#This Row],[companyid2]:[Manufacturer2]],Table6[[#This Row],[SN2]])</f>
        <v>0</v>
      </c>
      <c r="O13" t="b">
        <f>AND(Table6[[#This Row],[companyid2]:[Model2]])</f>
        <v>1</v>
      </c>
      <c r="AS13" s="30"/>
    </row>
    <row r="14" spans="1:47" x14ac:dyDescent="0.25">
      <c r="A14">
        <v>57124</v>
      </c>
      <c r="B14" t="s">
        <v>884</v>
      </c>
      <c r="C14" t="s">
        <v>853</v>
      </c>
      <c r="D14" s="38" t="s">
        <v>917</v>
      </c>
      <c r="E14" s="95" t="s">
        <v>918</v>
      </c>
      <c r="F14" t="b">
        <f>IFERROR(Table6[[#This Row],[companyid]]=DropDowns!$N$20,TRUE)</f>
        <v>1</v>
      </c>
      <c r="G14" t="b">
        <f>OR(Worksheet!$D$5="",Worksheet!$D$5=Table6[[#This Row],[categoryname]])</f>
        <v>1</v>
      </c>
      <c r="H14" t="b">
        <f>OR(Worksheet!$D$7="",Worksheet!$D$7=Table6[[#This Row],[Manufacturer]])</f>
        <v>1</v>
      </c>
      <c r="I14" t="b">
        <f>OR(Worksheet!$G$7="",Worksheet!$G$7=Table6[[#This Row],[Model No.]])</f>
        <v>1</v>
      </c>
      <c r="J14" t="b">
        <f>OR(Worksheet!$D$8="",Worksheet!$D$8=Table6[[#This Row],[Serial No.]])</f>
        <v>0</v>
      </c>
      <c r="K14" t="b">
        <f>AND(Table6[[#This Row],[categoryname2]:[SN2]])</f>
        <v>0</v>
      </c>
      <c r="L14" t="b">
        <f>AND(Table6[[#This Row],[companyid2]],Table6[[#This Row],[Manufacturer2]:[SN2]])</f>
        <v>0</v>
      </c>
      <c r="M14" t="b">
        <f>AND(Table6[[#This Row],[companyid2]:[categoryname2]],Table6[[#This Row],[Model2]:[SN2]])</f>
        <v>0</v>
      </c>
      <c r="N14" t="b">
        <f>AND(Table6[[#This Row],[companyid2]:[Manufacturer2]],Table6[[#This Row],[SN2]])</f>
        <v>0</v>
      </c>
      <c r="O14" t="b">
        <f>AND(Table6[[#This Row],[companyid2]:[Model2]])</f>
        <v>1</v>
      </c>
      <c r="AS14" s="30"/>
    </row>
    <row r="15" spans="1:47" x14ac:dyDescent="0.25">
      <c r="A15">
        <v>57132</v>
      </c>
      <c r="B15" t="s">
        <v>845</v>
      </c>
      <c r="C15" t="s">
        <v>853</v>
      </c>
      <c r="D15" s="38" t="s">
        <v>854</v>
      </c>
      <c r="E15" s="95" t="s">
        <v>855</v>
      </c>
      <c r="F15" t="b">
        <f>IFERROR(Table6[[#This Row],[companyid]]=DropDowns!$N$20,TRUE)</f>
        <v>1</v>
      </c>
      <c r="G15" t="b">
        <f>OR(Worksheet!$D$5="",Worksheet!$D$5=Table6[[#This Row],[categoryname]])</f>
        <v>1</v>
      </c>
      <c r="H15" t="b">
        <f>OR(Worksheet!$D$7="",Worksheet!$D$7=Table6[[#This Row],[Manufacturer]])</f>
        <v>1</v>
      </c>
      <c r="I15" t="b">
        <f>OR(Worksheet!$G$7="",Worksheet!$G$7=Table6[[#This Row],[Model No.]])</f>
        <v>1</v>
      </c>
      <c r="J15" t="b">
        <f>OR(Worksheet!$D$8="",Worksheet!$D$8=Table6[[#This Row],[Serial No.]])</f>
        <v>0</v>
      </c>
      <c r="K15" t="b">
        <f>AND(Table6[[#This Row],[categoryname2]:[SN2]])</f>
        <v>0</v>
      </c>
      <c r="L15" t="b">
        <f>AND(Table6[[#This Row],[companyid2]],Table6[[#This Row],[Manufacturer2]:[SN2]])</f>
        <v>0</v>
      </c>
      <c r="M15" t="b">
        <f>AND(Table6[[#This Row],[companyid2]:[categoryname2]],Table6[[#This Row],[Model2]:[SN2]])</f>
        <v>0</v>
      </c>
      <c r="N15" t="b">
        <f>AND(Table6[[#This Row],[companyid2]:[Manufacturer2]],Table6[[#This Row],[SN2]])</f>
        <v>0</v>
      </c>
      <c r="O15" t="b">
        <f>AND(Table6[[#This Row],[companyid2]:[Model2]])</f>
        <v>1</v>
      </c>
      <c r="AS15" s="30"/>
    </row>
    <row r="16" spans="1:47" x14ac:dyDescent="0.25">
      <c r="A16">
        <v>57132</v>
      </c>
      <c r="B16" t="s">
        <v>845</v>
      </c>
      <c r="C16" t="s">
        <v>853</v>
      </c>
      <c r="D16" s="38" t="s">
        <v>854</v>
      </c>
      <c r="E16" s="95" t="s">
        <v>867</v>
      </c>
      <c r="F16" t="b">
        <f>IFERROR(Table6[[#This Row],[companyid]]=DropDowns!$N$20,TRUE)</f>
        <v>1</v>
      </c>
      <c r="G16" t="b">
        <f>OR(Worksheet!$D$5="",Worksheet!$D$5=Table6[[#This Row],[categoryname]])</f>
        <v>1</v>
      </c>
      <c r="H16" t="b">
        <f>OR(Worksheet!$D$7="",Worksheet!$D$7=Table6[[#This Row],[Manufacturer]])</f>
        <v>1</v>
      </c>
      <c r="I16" t="b">
        <f>OR(Worksheet!$G$7="",Worksheet!$G$7=Table6[[#This Row],[Model No.]])</f>
        <v>1</v>
      </c>
      <c r="J16" t="b">
        <f>OR(Worksheet!$D$8="",Worksheet!$D$8=Table6[[#This Row],[Serial No.]])</f>
        <v>0</v>
      </c>
      <c r="K16" t="b">
        <f>AND(Table6[[#This Row],[categoryname2]:[SN2]])</f>
        <v>0</v>
      </c>
      <c r="L16" t="b">
        <f>AND(Table6[[#This Row],[companyid2]],Table6[[#This Row],[Manufacturer2]:[SN2]])</f>
        <v>0</v>
      </c>
      <c r="M16" t="b">
        <f>AND(Table6[[#This Row],[companyid2]:[categoryname2]],Table6[[#This Row],[Model2]:[SN2]])</f>
        <v>0</v>
      </c>
      <c r="N16" t="b">
        <f>AND(Table6[[#This Row],[companyid2]:[Manufacturer2]],Table6[[#This Row],[SN2]])</f>
        <v>0</v>
      </c>
      <c r="O16" t="b">
        <f>AND(Table6[[#This Row],[companyid2]:[Model2]])</f>
        <v>1</v>
      </c>
      <c r="AS16" s="30"/>
    </row>
    <row r="17" spans="1:47" x14ac:dyDescent="0.25">
      <c r="A17">
        <v>57132</v>
      </c>
      <c r="B17" t="s">
        <v>884</v>
      </c>
      <c r="C17" t="s">
        <v>878</v>
      </c>
      <c r="D17" s="38" t="s">
        <v>1035</v>
      </c>
      <c r="E17" s="95">
        <v>1994</v>
      </c>
      <c r="F17" t="b">
        <f>IFERROR(Table6[[#This Row],[companyid]]=DropDowns!$N$20,TRUE)</f>
        <v>1</v>
      </c>
      <c r="G17" t="b">
        <f>OR(Worksheet!$D$5="",Worksheet!$D$5=Table6[[#This Row],[categoryname]])</f>
        <v>1</v>
      </c>
      <c r="H17" t="b">
        <f>OR(Worksheet!$D$7="",Worksheet!$D$7=Table6[[#This Row],[Manufacturer]])</f>
        <v>1</v>
      </c>
      <c r="I17" t="b">
        <f>OR(Worksheet!$G$7="",Worksheet!$G$7=Table6[[#This Row],[Model No.]])</f>
        <v>1</v>
      </c>
      <c r="J17" t="b">
        <f>OR(Worksheet!$D$8="",Worksheet!$D$8=Table6[[#This Row],[Serial No.]])</f>
        <v>0</v>
      </c>
      <c r="K17" t="b">
        <f>AND(Table6[[#This Row],[categoryname2]:[SN2]])</f>
        <v>0</v>
      </c>
      <c r="L17" t="b">
        <f>AND(Table6[[#This Row],[companyid2]],Table6[[#This Row],[Manufacturer2]:[SN2]])</f>
        <v>0</v>
      </c>
      <c r="M17" t="b">
        <f>AND(Table6[[#This Row],[companyid2]:[categoryname2]],Table6[[#This Row],[Model2]:[SN2]])</f>
        <v>0</v>
      </c>
      <c r="N17" t="b">
        <f>AND(Table6[[#This Row],[companyid2]:[Manufacturer2]],Table6[[#This Row],[SN2]])</f>
        <v>0</v>
      </c>
      <c r="O17" t="b">
        <f>AND(Table6[[#This Row],[companyid2]:[Model2]])</f>
        <v>1</v>
      </c>
      <c r="AS17" s="30"/>
    </row>
    <row r="18" spans="1:47" x14ac:dyDescent="0.25">
      <c r="A18">
        <v>57137</v>
      </c>
      <c r="B18" t="s">
        <v>884</v>
      </c>
      <c r="C18" t="s">
        <v>936</v>
      </c>
      <c r="D18" s="38" t="s">
        <v>938</v>
      </c>
      <c r="E18" s="95" t="s">
        <v>939</v>
      </c>
      <c r="F18" t="b">
        <f>IFERROR(Table6[[#This Row],[companyid]]=DropDowns!$N$20,TRUE)</f>
        <v>1</v>
      </c>
      <c r="G18" t="b">
        <f>OR(Worksheet!$D$5="",Worksheet!$D$5=Table6[[#This Row],[categoryname]])</f>
        <v>1</v>
      </c>
      <c r="H18" t="b">
        <f>OR(Worksheet!$D$7="",Worksheet!$D$7=Table6[[#This Row],[Manufacturer]])</f>
        <v>1</v>
      </c>
      <c r="I18" t="b">
        <f>OR(Worksheet!$G$7="",Worksheet!$G$7=Table6[[#This Row],[Model No.]])</f>
        <v>1</v>
      </c>
      <c r="J18" t="b">
        <f>OR(Worksheet!$D$8="",Worksheet!$D$8=Table6[[#This Row],[Serial No.]])</f>
        <v>0</v>
      </c>
      <c r="K18" t="b">
        <f>AND(Table6[[#This Row],[categoryname2]:[SN2]])</f>
        <v>0</v>
      </c>
      <c r="L18" t="b">
        <f>AND(Table6[[#This Row],[companyid2]],Table6[[#This Row],[Manufacturer2]:[SN2]])</f>
        <v>0</v>
      </c>
      <c r="M18" t="b">
        <f>AND(Table6[[#This Row],[companyid2]:[categoryname2]],Table6[[#This Row],[Model2]:[SN2]])</f>
        <v>0</v>
      </c>
      <c r="N18" t="b">
        <f>AND(Table6[[#This Row],[companyid2]:[Manufacturer2]],Table6[[#This Row],[SN2]])</f>
        <v>0</v>
      </c>
      <c r="O18" t="b">
        <f>AND(Table6[[#This Row],[companyid2]:[Model2]])</f>
        <v>1</v>
      </c>
      <c r="AH18" s="84"/>
    </row>
    <row r="19" spans="1:47" x14ac:dyDescent="0.25">
      <c r="A19">
        <v>57146</v>
      </c>
      <c r="B19" t="s">
        <v>884</v>
      </c>
      <c r="C19" t="s">
        <v>1004</v>
      </c>
      <c r="D19" s="38" t="s">
        <v>879</v>
      </c>
      <c r="E19" s="95">
        <v>1816</v>
      </c>
      <c r="F19" t="b">
        <f>IFERROR(Table6[[#This Row],[companyid]]=DropDowns!$N$20,TRUE)</f>
        <v>1</v>
      </c>
      <c r="G19" t="b">
        <f>OR(Worksheet!$D$5="",Worksheet!$D$5=Table6[[#This Row],[categoryname]])</f>
        <v>1</v>
      </c>
      <c r="H19" t="b">
        <f>OR(Worksheet!$D$7="",Worksheet!$D$7=Table6[[#This Row],[Manufacturer]])</f>
        <v>1</v>
      </c>
      <c r="I19" t="b">
        <f>OR(Worksheet!$G$7="",Worksheet!$G$7=Table6[[#This Row],[Model No.]])</f>
        <v>1</v>
      </c>
      <c r="J19" t="b">
        <f>OR(Worksheet!$D$8="",Worksheet!$D$8=Table6[[#This Row],[Serial No.]])</f>
        <v>0</v>
      </c>
      <c r="K19" t="b">
        <f>AND(Table6[[#This Row],[categoryname2]:[SN2]])</f>
        <v>0</v>
      </c>
      <c r="L19" t="b">
        <f>AND(Table6[[#This Row],[companyid2]],Table6[[#This Row],[Manufacturer2]:[SN2]])</f>
        <v>0</v>
      </c>
      <c r="M19" t="b">
        <f>AND(Table6[[#This Row],[companyid2]:[categoryname2]],Table6[[#This Row],[Model2]:[SN2]])</f>
        <v>0</v>
      </c>
      <c r="N19" t="b">
        <f>AND(Table6[[#This Row],[companyid2]:[Manufacturer2]],Table6[[#This Row],[SN2]])</f>
        <v>0</v>
      </c>
      <c r="O19" t="b">
        <f>AND(Table6[[#This Row],[companyid2]:[Model2]])</f>
        <v>1</v>
      </c>
      <c r="AS19" s="30"/>
    </row>
    <row r="20" spans="1:47" x14ac:dyDescent="0.25">
      <c r="A20">
        <v>57146</v>
      </c>
      <c r="B20" t="s">
        <v>884</v>
      </c>
      <c r="C20" t="s">
        <v>878</v>
      </c>
      <c r="D20" s="38" t="s">
        <v>1033</v>
      </c>
      <c r="E20" s="95">
        <v>1548</v>
      </c>
      <c r="F20" t="b">
        <f>IFERROR(Table6[[#This Row],[companyid]]=DropDowns!$N$20,TRUE)</f>
        <v>1</v>
      </c>
      <c r="G20" t="b">
        <f>OR(Worksheet!$D$5="",Worksheet!$D$5=Table6[[#This Row],[categoryname]])</f>
        <v>1</v>
      </c>
      <c r="H20" t="b">
        <f>OR(Worksheet!$D$7="",Worksheet!$D$7=Table6[[#This Row],[Manufacturer]])</f>
        <v>1</v>
      </c>
      <c r="I20" t="b">
        <f>OR(Worksheet!$G$7="",Worksheet!$G$7=Table6[[#This Row],[Model No.]])</f>
        <v>1</v>
      </c>
      <c r="J20" t="b">
        <f>OR(Worksheet!$D$8="",Worksheet!$D$8=Table6[[#This Row],[Serial No.]])</f>
        <v>0</v>
      </c>
      <c r="K20" t="b">
        <f>AND(Table6[[#This Row],[categoryname2]:[SN2]])</f>
        <v>0</v>
      </c>
      <c r="L20" t="b">
        <f>AND(Table6[[#This Row],[companyid2]],Table6[[#This Row],[Manufacturer2]:[SN2]])</f>
        <v>0</v>
      </c>
      <c r="M20" t="b">
        <f>AND(Table6[[#This Row],[companyid2]:[categoryname2]],Table6[[#This Row],[Model2]:[SN2]])</f>
        <v>0</v>
      </c>
      <c r="N20" t="b">
        <f>AND(Table6[[#This Row],[companyid2]:[Manufacturer2]],Table6[[#This Row],[SN2]])</f>
        <v>0</v>
      </c>
      <c r="O20" t="b">
        <f>AND(Table6[[#This Row],[companyid2]:[Model2]])</f>
        <v>1</v>
      </c>
      <c r="AS20" s="30"/>
      <c r="AU20" s="30"/>
    </row>
    <row r="21" spans="1:47" x14ac:dyDescent="0.25">
      <c r="A21">
        <v>57146</v>
      </c>
      <c r="B21" t="s">
        <v>884</v>
      </c>
      <c r="C21" t="s">
        <v>878</v>
      </c>
      <c r="D21" s="38" t="s">
        <v>879</v>
      </c>
      <c r="E21" s="95" t="s">
        <v>1092</v>
      </c>
      <c r="F21" t="b">
        <f>IFERROR(Table6[[#This Row],[companyid]]=DropDowns!$N$20,TRUE)</f>
        <v>1</v>
      </c>
      <c r="G21" t="b">
        <f>OR(Worksheet!$D$5="",Worksheet!$D$5=Table6[[#This Row],[categoryname]])</f>
        <v>1</v>
      </c>
      <c r="H21" t="b">
        <f>OR(Worksheet!$D$7="",Worksheet!$D$7=Table6[[#This Row],[Manufacturer]])</f>
        <v>1</v>
      </c>
      <c r="I21" t="b">
        <f>OR(Worksheet!$G$7="",Worksheet!$G$7=Table6[[#This Row],[Model No.]])</f>
        <v>1</v>
      </c>
      <c r="J21" t="b">
        <f>OR(Worksheet!$D$8="",Worksheet!$D$8=Table6[[#This Row],[Serial No.]])</f>
        <v>0</v>
      </c>
      <c r="K21" t="b">
        <f>AND(Table6[[#This Row],[categoryname2]:[SN2]])</f>
        <v>0</v>
      </c>
      <c r="L21" t="b">
        <f>AND(Table6[[#This Row],[companyid2]],Table6[[#This Row],[Manufacturer2]:[SN2]])</f>
        <v>0</v>
      </c>
      <c r="M21" t="b">
        <f>AND(Table6[[#This Row],[companyid2]:[categoryname2]],Table6[[#This Row],[Model2]:[SN2]])</f>
        <v>0</v>
      </c>
      <c r="N21" t="b">
        <f>AND(Table6[[#This Row],[companyid2]:[Manufacturer2]],Table6[[#This Row],[SN2]])</f>
        <v>0</v>
      </c>
      <c r="O21" t="b">
        <f>AND(Table6[[#This Row],[companyid2]:[Model2]])</f>
        <v>1</v>
      </c>
      <c r="AS21" s="30"/>
    </row>
    <row r="22" spans="1:47" x14ac:dyDescent="0.25">
      <c r="A22">
        <v>57162</v>
      </c>
      <c r="B22" t="s">
        <v>884</v>
      </c>
      <c r="C22" t="s">
        <v>1019</v>
      </c>
      <c r="D22" s="38">
        <v>3814</v>
      </c>
      <c r="E22" s="95">
        <v>10624</v>
      </c>
      <c r="F22" t="b">
        <f>IFERROR(Table6[[#This Row],[companyid]]=DropDowns!$N$20,TRUE)</f>
        <v>1</v>
      </c>
      <c r="G22" t="b">
        <f>OR(Worksheet!$D$5="",Worksheet!$D$5=Table6[[#This Row],[categoryname]])</f>
        <v>1</v>
      </c>
      <c r="H22" t="b">
        <f>OR(Worksheet!$D$7="",Worksheet!$D$7=Table6[[#This Row],[Manufacturer]])</f>
        <v>1</v>
      </c>
      <c r="I22" t="b">
        <f>OR(Worksheet!$G$7="",Worksheet!$G$7=Table6[[#This Row],[Model No.]])</f>
        <v>1</v>
      </c>
      <c r="J22" t="b">
        <f>OR(Worksheet!$D$8="",Worksheet!$D$8=Table6[[#This Row],[Serial No.]])</f>
        <v>0</v>
      </c>
      <c r="K22" t="b">
        <f>AND(Table6[[#This Row],[categoryname2]:[SN2]])</f>
        <v>0</v>
      </c>
      <c r="L22" t="b">
        <f>AND(Table6[[#This Row],[companyid2]],Table6[[#This Row],[Manufacturer2]:[SN2]])</f>
        <v>0</v>
      </c>
      <c r="M22" t="b">
        <f>AND(Table6[[#This Row],[companyid2]:[categoryname2]],Table6[[#This Row],[Model2]:[SN2]])</f>
        <v>0</v>
      </c>
      <c r="N22" t="b">
        <f>AND(Table6[[#This Row],[companyid2]:[Manufacturer2]],Table6[[#This Row],[SN2]])</f>
        <v>0</v>
      </c>
      <c r="O22" t="b">
        <f>AND(Table6[[#This Row],[companyid2]:[Model2]])</f>
        <v>1</v>
      </c>
      <c r="AS22" s="30"/>
    </row>
    <row r="23" spans="1:47" x14ac:dyDescent="0.25">
      <c r="A23">
        <v>57170</v>
      </c>
      <c r="B23" t="s">
        <v>845</v>
      </c>
      <c r="C23" t="s">
        <v>853</v>
      </c>
      <c r="D23" s="38" t="s">
        <v>854</v>
      </c>
      <c r="E23" s="95">
        <v>15382</v>
      </c>
      <c r="F23" t="b">
        <f>IFERROR(Table6[[#This Row],[companyid]]=DropDowns!$N$20,TRUE)</f>
        <v>1</v>
      </c>
      <c r="G23" t="b">
        <f>OR(Worksheet!$D$5="",Worksheet!$D$5=Table6[[#This Row],[categoryname]])</f>
        <v>1</v>
      </c>
      <c r="H23" t="b">
        <f>OR(Worksheet!$D$7="",Worksheet!$D$7=Table6[[#This Row],[Manufacturer]])</f>
        <v>1</v>
      </c>
      <c r="I23" t="b">
        <f>OR(Worksheet!$G$7="",Worksheet!$G$7=Table6[[#This Row],[Model No.]])</f>
        <v>1</v>
      </c>
      <c r="J23" t="b">
        <f>OR(Worksheet!$D$8="",Worksheet!$D$8=Table6[[#This Row],[Serial No.]])</f>
        <v>0</v>
      </c>
      <c r="K23" t="b">
        <f>AND(Table6[[#This Row],[categoryname2]:[SN2]])</f>
        <v>0</v>
      </c>
      <c r="L23" t="b">
        <f>AND(Table6[[#This Row],[companyid2]],Table6[[#This Row],[Manufacturer2]:[SN2]])</f>
        <v>0</v>
      </c>
      <c r="M23" t="b">
        <f>AND(Table6[[#This Row],[companyid2]:[categoryname2]],Table6[[#This Row],[Model2]:[SN2]])</f>
        <v>0</v>
      </c>
      <c r="N23" t="b">
        <f>AND(Table6[[#This Row],[companyid2]:[Manufacturer2]],Table6[[#This Row],[SN2]])</f>
        <v>0</v>
      </c>
      <c r="O23" t="b">
        <f>AND(Table6[[#This Row],[companyid2]:[Model2]])</f>
        <v>1</v>
      </c>
      <c r="AS23" s="30"/>
    </row>
    <row r="24" spans="1:47" x14ac:dyDescent="0.25">
      <c r="A24">
        <v>57170</v>
      </c>
      <c r="B24" t="s">
        <v>884</v>
      </c>
      <c r="C24" t="s">
        <v>953</v>
      </c>
      <c r="D24" s="38" t="s">
        <v>959</v>
      </c>
      <c r="E24" s="95" t="s">
        <v>960</v>
      </c>
      <c r="F24" t="b">
        <f>IFERROR(Table6[[#This Row],[companyid]]=DropDowns!$N$20,TRUE)</f>
        <v>1</v>
      </c>
      <c r="G24" t="b">
        <f>OR(Worksheet!$D$5="",Worksheet!$D$5=Table6[[#This Row],[categoryname]])</f>
        <v>1</v>
      </c>
      <c r="H24" t="b">
        <f>OR(Worksheet!$D$7="",Worksheet!$D$7=Table6[[#This Row],[Manufacturer]])</f>
        <v>1</v>
      </c>
      <c r="I24" t="b">
        <f>OR(Worksheet!$G$7="",Worksheet!$G$7=Table6[[#This Row],[Model No.]])</f>
        <v>1</v>
      </c>
      <c r="J24" t="b">
        <f>OR(Worksheet!$D$8="",Worksheet!$D$8=Table6[[#This Row],[Serial No.]])</f>
        <v>0</v>
      </c>
      <c r="K24" t="b">
        <f>AND(Table6[[#This Row],[categoryname2]:[SN2]])</f>
        <v>0</v>
      </c>
      <c r="L24" t="b">
        <f>AND(Table6[[#This Row],[companyid2]],Table6[[#This Row],[Manufacturer2]:[SN2]])</f>
        <v>0</v>
      </c>
      <c r="M24" t="b">
        <f>AND(Table6[[#This Row],[companyid2]:[categoryname2]],Table6[[#This Row],[Model2]:[SN2]])</f>
        <v>0</v>
      </c>
      <c r="N24" t="b">
        <f>AND(Table6[[#This Row],[companyid2]:[Manufacturer2]],Table6[[#This Row],[SN2]])</f>
        <v>0</v>
      </c>
      <c r="O24" t="b">
        <f>AND(Table6[[#This Row],[companyid2]:[Model2]])</f>
        <v>1</v>
      </c>
      <c r="AS24" s="30"/>
    </row>
    <row r="25" spans="1:47" x14ac:dyDescent="0.25">
      <c r="A25">
        <v>57177</v>
      </c>
      <c r="B25" t="s">
        <v>884</v>
      </c>
      <c r="C25" t="s">
        <v>1011</v>
      </c>
      <c r="D25" s="38" t="s">
        <v>1012</v>
      </c>
      <c r="E25" s="95">
        <v>5531</v>
      </c>
      <c r="F25" t="b">
        <f>IFERROR(Table6[[#This Row],[companyid]]=DropDowns!$N$20,TRUE)</f>
        <v>1</v>
      </c>
      <c r="G25" t="b">
        <f>OR(Worksheet!$D$5="",Worksheet!$D$5=Table6[[#This Row],[categoryname]])</f>
        <v>1</v>
      </c>
      <c r="H25" t="b">
        <f>OR(Worksheet!$D$7="",Worksheet!$D$7=Table6[[#This Row],[Manufacturer]])</f>
        <v>1</v>
      </c>
      <c r="I25" t="b">
        <f>OR(Worksheet!$G$7="",Worksheet!$G$7=Table6[[#This Row],[Model No.]])</f>
        <v>1</v>
      </c>
      <c r="J25" t="b">
        <f>OR(Worksheet!$D$8="",Worksheet!$D$8=Table6[[#This Row],[Serial No.]])</f>
        <v>0</v>
      </c>
      <c r="K25" t="b">
        <f>AND(Table6[[#This Row],[categoryname2]:[SN2]])</f>
        <v>0</v>
      </c>
      <c r="L25" t="b">
        <f>AND(Table6[[#This Row],[companyid2]],Table6[[#This Row],[Manufacturer2]:[SN2]])</f>
        <v>0</v>
      </c>
      <c r="M25" t="b">
        <f>AND(Table6[[#This Row],[companyid2]:[categoryname2]],Table6[[#This Row],[Model2]:[SN2]])</f>
        <v>0</v>
      </c>
      <c r="N25" t="b">
        <f>AND(Table6[[#This Row],[companyid2]:[Manufacturer2]],Table6[[#This Row],[SN2]])</f>
        <v>0</v>
      </c>
      <c r="O25" t="b">
        <f>AND(Table6[[#This Row],[companyid2]:[Model2]])</f>
        <v>1</v>
      </c>
      <c r="AH25" s="84"/>
    </row>
    <row r="26" spans="1:47" x14ac:dyDescent="0.25">
      <c r="A26">
        <v>57178</v>
      </c>
      <c r="B26" t="s">
        <v>884</v>
      </c>
      <c r="C26" t="s">
        <v>878</v>
      </c>
      <c r="D26" s="38" t="s">
        <v>901</v>
      </c>
      <c r="E26" s="95">
        <v>9688</v>
      </c>
      <c r="F26" t="b">
        <f>IFERROR(Table6[[#This Row],[companyid]]=DropDowns!$N$20,TRUE)</f>
        <v>1</v>
      </c>
      <c r="G26" t="b">
        <f>OR(Worksheet!$D$5="",Worksheet!$D$5=Table6[[#This Row],[categoryname]])</f>
        <v>1</v>
      </c>
      <c r="H26" t="b">
        <f>OR(Worksheet!$D$7="",Worksheet!$D$7=Table6[[#This Row],[Manufacturer]])</f>
        <v>1</v>
      </c>
      <c r="I26" t="b">
        <f>OR(Worksheet!$G$7="",Worksheet!$G$7=Table6[[#This Row],[Model No.]])</f>
        <v>1</v>
      </c>
      <c r="J26" t="b">
        <f>OR(Worksheet!$D$8="",Worksheet!$D$8=Table6[[#This Row],[Serial No.]])</f>
        <v>0</v>
      </c>
      <c r="K26" t="b">
        <f>AND(Table6[[#This Row],[categoryname2]:[SN2]])</f>
        <v>0</v>
      </c>
      <c r="L26" t="b">
        <f>AND(Table6[[#This Row],[companyid2]],Table6[[#This Row],[Manufacturer2]:[SN2]])</f>
        <v>0</v>
      </c>
      <c r="M26" t="b">
        <f>AND(Table6[[#This Row],[companyid2]:[categoryname2]],Table6[[#This Row],[Model2]:[SN2]])</f>
        <v>0</v>
      </c>
      <c r="N26" t="b">
        <f>AND(Table6[[#This Row],[companyid2]:[Manufacturer2]],Table6[[#This Row],[SN2]])</f>
        <v>0</v>
      </c>
      <c r="O26" t="b">
        <f>AND(Table6[[#This Row],[companyid2]:[Model2]])</f>
        <v>1</v>
      </c>
      <c r="AS26" s="30"/>
    </row>
    <row r="27" spans="1:47" x14ac:dyDescent="0.25">
      <c r="A27">
        <v>57182</v>
      </c>
      <c r="B27" t="s">
        <v>884</v>
      </c>
      <c r="C27" t="s">
        <v>878</v>
      </c>
      <c r="D27" s="38" t="s">
        <v>879</v>
      </c>
      <c r="E27" s="95" t="s">
        <v>1089</v>
      </c>
      <c r="F27" t="b">
        <f>IFERROR(Table6[[#This Row],[companyid]]=DropDowns!$N$20,TRUE)</f>
        <v>1</v>
      </c>
      <c r="G27" t="b">
        <f>OR(Worksheet!$D$5="",Worksheet!$D$5=Table6[[#This Row],[categoryname]])</f>
        <v>1</v>
      </c>
      <c r="H27" t="b">
        <f>OR(Worksheet!$D$7="",Worksheet!$D$7=Table6[[#This Row],[Manufacturer]])</f>
        <v>1</v>
      </c>
      <c r="I27" t="b">
        <f>OR(Worksheet!$G$7="",Worksheet!$G$7=Table6[[#This Row],[Model No.]])</f>
        <v>1</v>
      </c>
      <c r="J27" t="b">
        <f>OR(Worksheet!$D$8="",Worksheet!$D$8=Table6[[#This Row],[Serial No.]])</f>
        <v>0</v>
      </c>
      <c r="K27" t="b">
        <f>AND(Table6[[#This Row],[categoryname2]:[SN2]])</f>
        <v>0</v>
      </c>
      <c r="L27" t="b">
        <f>AND(Table6[[#This Row],[companyid2]],Table6[[#This Row],[Manufacturer2]:[SN2]])</f>
        <v>0</v>
      </c>
      <c r="M27" t="b">
        <f>AND(Table6[[#This Row],[companyid2]:[categoryname2]],Table6[[#This Row],[Model2]:[SN2]])</f>
        <v>0</v>
      </c>
      <c r="N27" t="b">
        <f>AND(Table6[[#This Row],[companyid2]:[Manufacturer2]],Table6[[#This Row],[SN2]])</f>
        <v>0</v>
      </c>
      <c r="O27" t="b">
        <f>AND(Table6[[#This Row],[companyid2]:[Model2]])</f>
        <v>1</v>
      </c>
      <c r="AS27" s="30"/>
    </row>
    <row r="28" spans="1:47" x14ac:dyDescent="0.25">
      <c r="A28">
        <v>57198</v>
      </c>
      <c r="B28" t="s">
        <v>884</v>
      </c>
      <c r="C28" t="s">
        <v>878</v>
      </c>
      <c r="D28" s="38" t="s">
        <v>1058</v>
      </c>
      <c r="E28" s="95" t="s">
        <v>1061</v>
      </c>
      <c r="F28" t="b">
        <f>IFERROR(Table6[[#This Row],[companyid]]=DropDowns!$N$20,TRUE)</f>
        <v>1</v>
      </c>
      <c r="G28" t="b">
        <f>OR(Worksheet!$D$5="",Worksheet!$D$5=Table6[[#This Row],[categoryname]])</f>
        <v>1</v>
      </c>
      <c r="H28" t="b">
        <f>OR(Worksheet!$D$7="",Worksheet!$D$7=Table6[[#This Row],[Manufacturer]])</f>
        <v>1</v>
      </c>
      <c r="I28" t="b">
        <f>OR(Worksheet!$G$7="",Worksheet!$G$7=Table6[[#This Row],[Model No.]])</f>
        <v>1</v>
      </c>
      <c r="J28" t="b">
        <f>OR(Worksheet!$D$8="",Worksheet!$D$8=Table6[[#This Row],[Serial No.]])</f>
        <v>0</v>
      </c>
      <c r="K28" t="b">
        <f>AND(Table6[[#This Row],[categoryname2]:[SN2]])</f>
        <v>0</v>
      </c>
      <c r="L28" t="b">
        <f>AND(Table6[[#This Row],[companyid2]],Table6[[#This Row],[Manufacturer2]:[SN2]])</f>
        <v>0</v>
      </c>
      <c r="M28" t="b">
        <f>AND(Table6[[#This Row],[companyid2]:[categoryname2]],Table6[[#This Row],[Model2]:[SN2]])</f>
        <v>0</v>
      </c>
      <c r="N28" t="b">
        <f>AND(Table6[[#This Row],[companyid2]:[Manufacturer2]],Table6[[#This Row],[SN2]])</f>
        <v>0</v>
      </c>
      <c r="O28" t="b">
        <f>AND(Table6[[#This Row],[companyid2]:[Model2]])</f>
        <v>1</v>
      </c>
      <c r="AS28" s="30"/>
    </row>
    <row r="29" spans="1:47" x14ac:dyDescent="0.25">
      <c r="A29">
        <v>57206</v>
      </c>
      <c r="B29" t="s">
        <v>884</v>
      </c>
      <c r="C29" t="s">
        <v>1024</v>
      </c>
      <c r="D29" s="38" t="s">
        <v>1025</v>
      </c>
      <c r="E29" s="95">
        <v>2111719</v>
      </c>
      <c r="F29" t="b">
        <f>IFERROR(Table6[[#This Row],[companyid]]=DropDowns!$N$20,TRUE)</f>
        <v>1</v>
      </c>
      <c r="G29" t="b">
        <f>OR(Worksheet!$D$5="",Worksheet!$D$5=Table6[[#This Row],[categoryname]])</f>
        <v>1</v>
      </c>
      <c r="H29" t="b">
        <f>OR(Worksheet!$D$7="",Worksheet!$D$7=Table6[[#This Row],[Manufacturer]])</f>
        <v>1</v>
      </c>
      <c r="I29" t="b">
        <f>OR(Worksheet!$G$7="",Worksheet!$G$7=Table6[[#This Row],[Model No.]])</f>
        <v>1</v>
      </c>
      <c r="J29" t="b">
        <f>OR(Worksheet!$D$8="",Worksheet!$D$8=Table6[[#This Row],[Serial No.]])</f>
        <v>0</v>
      </c>
      <c r="K29" t="b">
        <f>AND(Table6[[#This Row],[categoryname2]:[SN2]])</f>
        <v>0</v>
      </c>
      <c r="L29" t="b">
        <f>AND(Table6[[#This Row],[companyid2]],Table6[[#This Row],[Manufacturer2]:[SN2]])</f>
        <v>0</v>
      </c>
      <c r="M29" t="b">
        <f>AND(Table6[[#This Row],[companyid2]:[categoryname2]],Table6[[#This Row],[Model2]:[SN2]])</f>
        <v>0</v>
      </c>
      <c r="N29" t="b">
        <f>AND(Table6[[#This Row],[companyid2]:[Manufacturer2]],Table6[[#This Row],[SN2]])</f>
        <v>0</v>
      </c>
      <c r="O29" t="b">
        <f>AND(Table6[[#This Row],[companyid2]:[Model2]])</f>
        <v>1</v>
      </c>
      <c r="AS29" s="30"/>
    </row>
    <row r="30" spans="1:47" x14ac:dyDescent="0.25">
      <c r="A30">
        <v>57221</v>
      </c>
      <c r="B30" t="s">
        <v>845</v>
      </c>
      <c r="C30" t="s">
        <v>853</v>
      </c>
      <c r="D30" s="38" t="s">
        <v>854</v>
      </c>
      <c r="E30" s="95">
        <v>10936</v>
      </c>
      <c r="F30" t="b">
        <f>IFERROR(Table6[[#This Row],[companyid]]=DropDowns!$N$20,TRUE)</f>
        <v>1</v>
      </c>
      <c r="G30" t="b">
        <f>OR(Worksheet!$D$5="",Worksheet!$D$5=Table6[[#This Row],[categoryname]])</f>
        <v>1</v>
      </c>
      <c r="H30" t="b">
        <f>OR(Worksheet!$D$7="",Worksheet!$D$7=Table6[[#This Row],[Manufacturer]])</f>
        <v>1</v>
      </c>
      <c r="I30" t="b">
        <f>OR(Worksheet!$G$7="",Worksheet!$G$7=Table6[[#This Row],[Model No.]])</f>
        <v>1</v>
      </c>
      <c r="J30" t="b">
        <f>OR(Worksheet!$D$8="",Worksheet!$D$8=Table6[[#This Row],[Serial No.]])</f>
        <v>0</v>
      </c>
      <c r="K30" t="b">
        <f>AND(Table6[[#This Row],[categoryname2]:[SN2]])</f>
        <v>0</v>
      </c>
      <c r="L30" t="b">
        <f>AND(Table6[[#This Row],[companyid2]],Table6[[#This Row],[Manufacturer2]:[SN2]])</f>
        <v>0</v>
      </c>
      <c r="M30" t="b">
        <f>AND(Table6[[#This Row],[companyid2]:[categoryname2]],Table6[[#This Row],[Model2]:[SN2]])</f>
        <v>0</v>
      </c>
      <c r="N30" t="b">
        <f>AND(Table6[[#This Row],[companyid2]:[Manufacturer2]],Table6[[#This Row],[SN2]])</f>
        <v>0</v>
      </c>
      <c r="O30" t="b">
        <f>AND(Table6[[#This Row],[companyid2]:[Model2]])</f>
        <v>1</v>
      </c>
      <c r="AS30" s="30"/>
    </row>
    <row r="31" spans="1:47" x14ac:dyDescent="0.25">
      <c r="A31">
        <v>57221</v>
      </c>
      <c r="B31" t="s">
        <v>845</v>
      </c>
      <c r="C31" t="s">
        <v>853</v>
      </c>
      <c r="D31" s="38" t="s">
        <v>854</v>
      </c>
      <c r="E31" s="95">
        <v>231889</v>
      </c>
      <c r="F31" t="b">
        <f>IFERROR(Table6[[#This Row],[companyid]]=DropDowns!$N$20,TRUE)</f>
        <v>1</v>
      </c>
      <c r="G31" t="b">
        <f>OR(Worksheet!$D$5="",Worksheet!$D$5=Table6[[#This Row],[categoryname]])</f>
        <v>1</v>
      </c>
      <c r="H31" t="b">
        <f>OR(Worksheet!$D$7="",Worksheet!$D$7=Table6[[#This Row],[Manufacturer]])</f>
        <v>1</v>
      </c>
      <c r="I31" t="b">
        <f>OR(Worksheet!$G$7="",Worksheet!$G$7=Table6[[#This Row],[Model No.]])</f>
        <v>1</v>
      </c>
      <c r="J31" t="b">
        <f>OR(Worksheet!$D$8="",Worksheet!$D$8=Table6[[#This Row],[Serial No.]])</f>
        <v>0</v>
      </c>
      <c r="K31" t="b">
        <f>AND(Table6[[#This Row],[categoryname2]:[SN2]])</f>
        <v>0</v>
      </c>
      <c r="L31" t="b">
        <f>AND(Table6[[#This Row],[companyid2]],Table6[[#This Row],[Manufacturer2]:[SN2]])</f>
        <v>0</v>
      </c>
      <c r="M31" t="b">
        <f>AND(Table6[[#This Row],[companyid2]:[categoryname2]],Table6[[#This Row],[Model2]:[SN2]])</f>
        <v>0</v>
      </c>
      <c r="N31" t="b">
        <f>AND(Table6[[#This Row],[companyid2]:[Manufacturer2]],Table6[[#This Row],[SN2]])</f>
        <v>0</v>
      </c>
      <c r="O31" t="b">
        <f>AND(Table6[[#This Row],[companyid2]:[Model2]])</f>
        <v>1</v>
      </c>
      <c r="AS31" s="30"/>
    </row>
    <row r="32" spans="1:47" x14ac:dyDescent="0.25">
      <c r="A32">
        <v>57221</v>
      </c>
      <c r="B32" t="s">
        <v>845</v>
      </c>
      <c r="C32" t="s">
        <v>853</v>
      </c>
      <c r="D32" s="38" t="s">
        <v>854</v>
      </c>
      <c r="E32" s="95" t="s">
        <v>861</v>
      </c>
      <c r="F32" t="b">
        <f>IFERROR(Table6[[#This Row],[companyid]]=DropDowns!$N$20,TRUE)</f>
        <v>1</v>
      </c>
      <c r="G32" t="b">
        <f>OR(Worksheet!$D$5="",Worksheet!$D$5=Table6[[#This Row],[categoryname]])</f>
        <v>1</v>
      </c>
      <c r="H32" t="b">
        <f>OR(Worksheet!$D$7="",Worksheet!$D$7=Table6[[#This Row],[Manufacturer]])</f>
        <v>1</v>
      </c>
      <c r="I32" t="b">
        <f>OR(Worksheet!$G$7="",Worksheet!$G$7=Table6[[#This Row],[Model No.]])</f>
        <v>1</v>
      </c>
      <c r="J32" t="b">
        <f>OR(Worksheet!$D$8="",Worksheet!$D$8=Table6[[#This Row],[Serial No.]])</f>
        <v>0</v>
      </c>
      <c r="K32" t="b">
        <f>AND(Table6[[#This Row],[categoryname2]:[SN2]])</f>
        <v>0</v>
      </c>
      <c r="L32" t="b">
        <f>AND(Table6[[#This Row],[companyid2]],Table6[[#This Row],[Manufacturer2]:[SN2]])</f>
        <v>0</v>
      </c>
      <c r="M32" t="b">
        <f>AND(Table6[[#This Row],[companyid2]:[categoryname2]],Table6[[#This Row],[Model2]:[SN2]])</f>
        <v>0</v>
      </c>
      <c r="N32" t="b">
        <f>AND(Table6[[#This Row],[companyid2]:[Manufacturer2]],Table6[[#This Row],[SN2]])</f>
        <v>0</v>
      </c>
      <c r="O32" t="b">
        <f>AND(Table6[[#This Row],[companyid2]:[Model2]])</f>
        <v>1</v>
      </c>
      <c r="AH32" s="84"/>
    </row>
    <row r="33" spans="1:45" x14ac:dyDescent="0.25">
      <c r="A33">
        <v>57221</v>
      </c>
      <c r="B33" t="s">
        <v>884</v>
      </c>
      <c r="C33" t="s">
        <v>853</v>
      </c>
      <c r="D33" s="38" t="s">
        <v>919</v>
      </c>
      <c r="E33" s="95" t="s">
        <v>923</v>
      </c>
      <c r="F33" t="b">
        <f>IFERROR(Table6[[#This Row],[companyid]]=DropDowns!$N$20,TRUE)</f>
        <v>1</v>
      </c>
      <c r="G33" t="b">
        <f>OR(Worksheet!$D$5="",Worksheet!$D$5=Table6[[#This Row],[categoryname]])</f>
        <v>1</v>
      </c>
      <c r="H33" t="b">
        <f>OR(Worksheet!$D$7="",Worksheet!$D$7=Table6[[#This Row],[Manufacturer]])</f>
        <v>1</v>
      </c>
      <c r="I33" t="b">
        <f>OR(Worksheet!$G$7="",Worksheet!$G$7=Table6[[#This Row],[Model No.]])</f>
        <v>1</v>
      </c>
      <c r="J33" t="b">
        <f>OR(Worksheet!$D$8="",Worksheet!$D$8=Table6[[#This Row],[Serial No.]])</f>
        <v>0</v>
      </c>
      <c r="K33" t="b">
        <f>AND(Table6[[#This Row],[categoryname2]:[SN2]])</f>
        <v>0</v>
      </c>
      <c r="L33" t="b">
        <f>AND(Table6[[#This Row],[companyid2]],Table6[[#This Row],[Manufacturer2]:[SN2]])</f>
        <v>0</v>
      </c>
      <c r="M33" t="b">
        <f>AND(Table6[[#This Row],[companyid2]:[categoryname2]],Table6[[#This Row],[Model2]:[SN2]])</f>
        <v>0</v>
      </c>
      <c r="N33" t="b">
        <f>AND(Table6[[#This Row],[companyid2]:[Manufacturer2]],Table6[[#This Row],[SN2]])</f>
        <v>0</v>
      </c>
      <c r="O33" t="b">
        <f>AND(Table6[[#This Row],[companyid2]:[Model2]])</f>
        <v>1</v>
      </c>
      <c r="AH33" s="84"/>
    </row>
    <row r="34" spans="1:45" x14ac:dyDescent="0.25">
      <c r="A34">
        <v>57221</v>
      </c>
      <c r="B34" t="s">
        <v>884</v>
      </c>
      <c r="C34" t="s">
        <v>962</v>
      </c>
      <c r="D34" s="38" t="s">
        <v>966</v>
      </c>
      <c r="E34" s="95">
        <v>6602</v>
      </c>
      <c r="F34" t="b">
        <f>IFERROR(Table6[[#This Row],[companyid]]=DropDowns!$N$20,TRUE)</f>
        <v>1</v>
      </c>
      <c r="G34" t="b">
        <f>OR(Worksheet!$D$5="",Worksheet!$D$5=Table6[[#This Row],[categoryname]])</f>
        <v>1</v>
      </c>
      <c r="H34" t="b">
        <f>OR(Worksheet!$D$7="",Worksheet!$D$7=Table6[[#This Row],[Manufacturer]])</f>
        <v>1</v>
      </c>
      <c r="I34" t="b">
        <f>OR(Worksheet!$G$7="",Worksheet!$G$7=Table6[[#This Row],[Model No.]])</f>
        <v>1</v>
      </c>
      <c r="J34" t="b">
        <f>OR(Worksheet!$D$8="",Worksheet!$D$8=Table6[[#This Row],[Serial No.]])</f>
        <v>0</v>
      </c>
      <c r="K34" t="b">
        <f>AND(Table6[[#This Row],[categoryname2]:[SN2]])</f>
        <v>0</v>
      </c>
      <c r="L34" t="b">
        <f>AND(Table6[[#This Row],[companyid2]],Table6[[#This Row],[Manufacturer2]:[SN2]])</f>
        <v>0</v>
      </c>
      <c r="M34" t="b">
        <f>AND(Table6[[#This Row],[companyid2]:[categoryname2]],Table6[[#This Row],[Model2]:[SN2]])</f>
        <v>0</v>
      </c>
      <c r="N34" t="b">
        <f>AND(Table6[[#This Row],[companyid2]:[Manufacturer2]],Table6[[#This Row],[SN2]])</f>
        <v>0</v>
      </c>
      <c r="O34" t="b">
        <f>AND(Table6[[#This Row],[companyid2]:[Model2]])</f>
        <v>1</v>
      </c>
      <c r="AS34" s="30"/>
    </row>
    <row r="35" spans="1:45" x14ac:dyDescent="0.25">
      <c r="A35">
        <v>57221</v>
      </c>
      <c r="B35" t="s">
        <v>884</v>
      </c>
      <c r="C35" t="s">
        <v>962</v>
      </c>
      <c r="D35" s="38" t="s">
        <v>967</v>
      </c>
      <c r="E35" s="95">
        <v>6911</v>
      </c>
      <c r="F35" t="b">
        <f>IFERROR(Table6[[#This Row],[companyid]]=DropDowns!$N$20,TRUE)</f>
        <v>1</v>
      </c>
      <c r="G35" t="b">
        <f>OR(Worksheet!$D$5="",Worksheet!$D$5=Table6[[#This Row],[categoryname]])</f>
        <v>1</v>
      </c>
      <c r="H35" t="b">
        <f>OR(Worksheet!$D$7="",Worksheet!$D$7=Table6[[#This Row],[Manufacturer]])</f>
        <v>1</v>
      </c>
      <c r="I35" t="b">
        <f>OR(Worksheet!$G$7="",Worksheet!$G$7=Table6[[#This Row],[Model No.]])</f>
        <v>1</v>
      </c>
      <c r="J35" t="b">
        <f>OR(Worksheet!$D$8="",Worksheet!$D$8=Table6[[#This Row],[Serial No.]])</f>
        <v>0</v>
      </c>
      <c r="K35" t="b">
        <f>AND(Table6[[#This Row],[categoryname2]:[SN2]])</f>
        <v>0</v>
      </c>
      <c r="L35" t="b">
        <f>AND(Table6[[#This Row],[companyid2]],Table6[[#This Row],[Manufacturer2]:[SN2]])</f>
        <v>0</v>
      </c>
      <c r="M35" t="b">
        <f>AND(Table6[[#This Row],[companyid2]:[categoryname2]],Table6[[#This Row],[Model2]:[SN2]])</f>
        <v>0</v>
      </c>
      <c r="N35" t="b">
        <f>AND(Table6[[#This Row],[companyid2]:[Manufacturer2]],Table6[[#This Row],[SN2]])</f>
        <v>0</v>
      </c>
      <c r="O35" t="b">
        <f>AND(Table6[[#This Row],[companyid2]:[Model2]])</f>
        <v>1</v>
      </c>
      <c r="AS35" s="30"/>
    </row>
    <row r="36" spans="1:45" x14ac:dyDescent="0.25">
      <c r="A36">
        <v>57221</v>
      </c>
      <c r="B36" t="s">
        <v>884</v>
      </c>
      <c r="C36" t="s">
        <v>962</v>
      </c>
      <c r="D36" s="38" t="s">
        <v>971</v>
      </c>
      <c r="E36" s="95">
        <v>9321</v>
      </c>
      <c r="F36" t="b">
        <f>IFERROR(Table6[[#This Row],[companyid]]=DropDowns!$N$20,TRUE)</f>
        <v>1</v>
      </c>
      <c r="G36" t="b">
        <f>OR(Worksheet!$D$5="",Worksheet!$D$5=Table6[[#This Row],[categoryname]])</f>
        <v>1</v>
      </c>
      <c r="H36" t="b">
        <f>OR(Worksheet!$D$7="",Worksheet!$D$7=Table6[[#This Row],[Manufacturer]])</f>
        <v>1</v>
      </c>
      <c r="I36" t="b">
        <f>OR(Worksheet!$G$7="",Worksheet!$G$7=Table6[[#This Row],[Model No.]])</f>
        <v>1</v>
      </c>
      <c r="J36" t="b">
        <f>OR(Worksheet!$D$8="",Worksheet!$D$8=Table6[[#This Row],[Serial No.]])</f>
        <v>0</v>
      </c>
      <c r="K36" t="b">
        <f>AND(Table6[[#This Row],[categoryname2]:[SN2]])</f>
        <v>0</v>
      </c>
      <c r="L36" t="b">
        <f>AND(Table6[[#This Row],[companyid2]],Table6[[#This Row],[Manufacturer2]:[SN2]])</f>
        <v>0</v>
      </c>
      <c r="M36" t="b">
        <f>AND(Table6[[#This Row],[companyid2]:[categoryname2]],Table6[[#This Row],[Model2]:[SN2]])</f>
        <v>0</v>
      </c>
      <c r="N36" t="b">
        <f>AND(Table6[[#This Row],[companyid2]:[Manufacturer2]],Table6[[#This Row],[SN2]])</f>
        <v>0</v>
      </c>
      <c r="O36" t="b">
        <f>AND(Table6[[#This Row],[companyid2]:[Model2]])</f>
        <v>1</v>
      </c>
      <c r="AS36" s="30"/>
    </row>
    <row r="37" spans="1:45" x14ac:dyDescent="0.25">
      <c r="A37">
        <v>57221</v>
      </c>
      <c r="B37" t="s">
        <v>884</v>
      </c>
      <c r="C37" t="s">
        <v>962</v>
      </c>
      <c r="D37" s="38" t="s">
        <v>971</v>
      </c>
      <c r="E37" s="95">
        <v>9329</v>
      </c>
      <c r="F37" t="b">
        <f>IFERROR(Table6[[#This Row],[companyid]]=DropDowns!$N$20,TRUE)</f>
        <v>1</v>
      </c>
      <c r="G37" t="b">
        <f>OR(Worksheet!$D$5="",Worksheet!$D$5=Table6[[#This Row],[categoryname]])</f>
        <v>1</v>
      </c>
      <c r="H37" t="b">
        <f>OR(Worksheet!$D$7="",Worksheet!$D$7=Table6[[#This Row],[Manufacturer]])</f>
        <v>1</v>
      </c>
      <c r="I37" t="b">
        <f>OR(Worksheet!$G$7="",Worksheet!$G$7=Table6[[#This Row],[Model No.]])</f>
        <v>1</v>
      </c>
      <c r="J37" t="b">
        <f>OR(Worksheet!$D$8="",Worksheet!$D$8=Table6[[#This Row],[Serial No.]])</f>
        <v>0</v>
      </c>
      <c r="K37" t="b">
        <f>AND(Table6[[#This Row],[categoryname2]:[SN2]])</f>
        <v>0</v>
      </c>
      <c r="L37" t="b">
        <f>AND(Table6[[#This Row],[companyid2]],Table6[[#This Row],[Manufacturer2]:[SN2]])</f>
        <v>0</v>
      </c>
      <c r="M37" t="b">
        <f>AND(Table6[[#This Row],[companyid2]:[categoryname2]],Table6[[#This Row],[Model2]:[SN2]])</f>
        <v>0</v>
      </c>
      <c r="N37" t="b">
        <f>AND(Table6[[#This Row],[companyid2]:[Manufacturer2]],Table6[[#This Row],[SN2]])</f>
        <v>0</v>
      </c>
      <c r="O37" t="b">
        <f>AND(Table6[[#This Row],[companyid2]:[Model2]])</f>
        <v>1</v>
      </c>
      <c r="AS37" s="30"/>
    </row>
    <row r="38" spans="1:45" x14ac:dyDescent="0.25">
      <c r="A38">
        <v>57222</v>
      </c>
      <c r="B38" t="s">
        <v>884</v>
      </c>
      <c r="C38" t="s">
        <v>878</v>
      </c>
      <c r="D38" s="38">
        <v>574</v>
      </c>
      <c r="E38" s="95" t="s">
        <v>1031</v>
      </c>
      <c r="F38" t="b">
        <f>IFERROR(Table6[[#This Row],[companyid]]=DropDowns!$N$20,TRUE)</f>
        <v>1</v>
      </c>
      <c r="G38" t="b">
        <f>OR(Worksheet!$D$5="",Worksheet!$D$5=Table6[[#This Row],[categoryname]])</f>
        <v>1</v>
      </c>
      <c r="H38" t="b">
        <f>OR(Worksheet!$D$7="",Worksheet!$D$7=Table6[[#This Row],[Manufacturer]])</f>
        <v>1</v>
      </c>
      <c r="I38" t="b">
        <f>OR(Worksheet!$G$7="",Worksheet!$G$7=Table6[[#This Row],[Model No.]])</f>
        <v>1</v>
      </c>
      <c r="J38" t="b">
        <f>OR(Worksheet!$D$8="",Worksheet!$D$8=Table6[[#This Row],[Serial No.]])</f>
        <v>0</v>
      </c>
      <c r="K38" t="b">
        <f>AND(Table6[[#This Row],[categoryname2]:[SN2]])</f>
        <v>0</v>
      </c>
      <c r="L38" t="b">
        <f>AND(Table6[[#This Row],[companyid2]],Table6[[#This Row],[Manufacturer2]:[SN2]])</f>
        <v>0</v>
      </c>
      <c r="M38" t="b">
        <f>AND(Table6[[#This Row],[companyid2]:[categoryname2]],Table6[[#This Row],[Model2]:[SN2]])</f>
        <v>0</v>
      </c>
      <c r="N38" t="b">
        <f>AND(Table6[[#This Row],[companyid2]:[Manufacturer2]],Table6[[#This Row],[SN2]])</f>
        <v>0</v>
      </c>
      <c r="O38" t="b">
        <f>AND(Table6[[#This Row],[companyid2]:[Model2]])</f>
        <v>1</v>
      </c>
      <c r="AS38" s="30"/>
    </row>
    <row r="39" spans="1:45" x14ac:dyDescent="0.25">
      <c r="A39">
        <v>57240</v>
      </c>
      <c r="B39" t="s">
        <v>845</v>
      </c>
      <c r="C39" t="s">
        <v>853</v>
      </c>
      <c r="D39" s="38" t="s">
        <v>854</v>
      </c>
      <c r="E39" s="95">
        <v>191641</v>
      </c>
      <c r="F39" t="b">
        <f>IFERROR(Table6[[#This Row],[companyid]]=DropDowns!$N$20,TRUE)</f>
        <v>1</v>
      </c>
      <c r="G39" t="b">
        <f>OR(Worksheet!$D$5="",Worksheet!$D$5=Table6[[#This Row],[categoryname]])</f>
        <v>1</v>
      </c>
      <c r="H39" t="b">
        <f>OR(Worksheet!$D$7="",Worksheet!$D$7=Table6[[#This Row],[Manufacturer]])</f>
        <v>1</v>
      </c>
      <c r="I39" t="b">
        <f>OR(Worksheet!$G$7="",Worksheet!$G$7=Table6[[#This Row],[Model No.]])</f>
        <v>1</v>
      </c>
      <c r="J39" t="b">
        <f>OR(Worksheet!$D$8="",Worksheet!$D$8=Table6[[#This Row],[Serial No.]])</f>
        <v>0</v>
      </c>
      <c r="K39" t="b">
        <f>AND(Table6[[#This Row],[categoryname2]:[SN2]])</f>
        <v>0</v>
      </c>
      <c r="L39" t="b">
        <f>AND(Table6[[#This Row],[companyid2]],Table6[[#This Row],[Manufacturer2]:[SN2]])</f>
        <v>0</v>
      </c>
      <c r="M39" t="b">
        <f>AND(Table6[[#This Row],[companyid2]:[categoryname2]],Table6[[#This Row],[Model2]:[SN2]])</f>
        <v>0</v>
      </c>
      <c r="N39" t="b">
        <f>AND(Table6[[#This Row],[companyid2]:[Manufacturer2]],Table6[[#This Row],[SN2]])</f>
        <v>0</v>
      </c>
      <c r="O39" t="b">
        <f>AND(Table6[[#This Row],[companyid2]:[Model2]])</f>
        <v>1</v>
      </c>
      <c r="AS39" s="30"/>
    </row>
    <row r="40" spans="1:45" x14ac:dyDescent="0.25">
      <c r="A40">
        <v>57240</v>
      </c>
      <c r="B40" t="s">
        <v>884</v>
      </c>
      <c r="C40" t="s">
        <v>1013</v>
      </c>
      <c r="D40" s="38">
        <v>3814</v>
      </c>
      <c r="E40" s="95">
        <v>8975</v>
      </c>
      <c r="F40" t="b">
        <f>IFERROR(Table6[[#This Row],[companyid]]=DropDowns!$N$20,TRUE)</f>
        <v>1</v>
      </c>
      <c r="G40" t="b">
        <f>OR(Worksheet!$D$5="",Worksheet!$D$5=Table6[[#This Row],[categoryname]])</f>
        <v>1</v>
      </c>
      <c r="H40" t="b">
        <f>OR(Worksheet!$D$7="",Worksheet!$D$7=Table6[[#This Row],[Manufacturer]])</f>
        <v>1</v>
      </c>
      <c r="I40" t="b">
        <f>OR(Worksheet!$G$7="",Worksheet!$G$7=Table6[[#This Row],[Model No.]])</f>
        <v>1</v>
      </c>
      <c r="J40" t="b">
        <f>OR(Worksheet!$D$8="",Worksheet!$D$8=Table6[[#This Row],[Serial No.]])</f>
        <v>0</v>
      </c>
      <c r="K40" t="b">
        <f>AND(Table6[[#This Row],[categoryname2]:[SN2]])</f>
        <v>0</v>
      </c>
      <c r="L40" t="b">
        <f>AND(Table6[[#This Row],[companyid2]],Table6[[#This Row],[Manufacturer2]:[SN2]])</f>
        <v>0</v>
      </c>
      <c r="M40" t="b">
        <f>AND(Table6[[#This Row],[companyid2]:[categoryname2]],Table6[[#This Row],[Model2]:[SN2]])</f>
        <v>0</v>
      </c>
      <c r="N40" t="b">
        <f>AND(Table6[[#This Row],[companyid2]:[Manufacturer2]],Table6[[#This Row],[SN2]])</f>
        <v>0</v>
      </c>
      <c r="O40" t="b">
        <f>AND(Table6[[#This Row],[companyid2]:[Model2]])</f>
        <v>1</v>
      </c>
      <c r="AS40" s="30"/>
    </row>
    <row r="41" spans="1:45" x14ac:dyDescent="0.25">
      <c r="A41">
        <v>57248</v>
      </c>
      <c r="B41" t="s">
        <v>845</v>
      </c>
      <c r="C41" t="s">
        <v>850</v>
      </c>
      <c r="D41" s="38" t="s">
        <v>852</v>
      </c>
      <c r="E41" s="94">
        <v>7196</v>
      </c>
      <c r="F41" t="b">
        <f>IFERROR(Table6[[#This Row],[companyid]]=DropDowns!$N$20,TRUE)</f>
        <v>1</v>
      </c>
      <c r="G41" t="b">
        <f>OR(Worksheet!$D$5="",Worksheet!$D$5=Table6[[#This Row],[categoryname]])</f>
        <v>1</v>
      </c>
      <c r="H41" t="b">
        <f>OR(Worksheet!$D$7="",Worksheet!$D$7=Table6[[#This Row],[Manufacturer]])</f>
        <v>1</v>
      </c>
      <c r="I41" t="b">
        <f>OR(Worksheet!$G$7="",Worksheet!$G$7=Table6[[#This Row],[Model No.]])</f>
        <v>1</v>
      </c>
      <c r="J41" t="b">
        <f>OR(Worksheet!$D$8="",Worksheet!$D$8=Table6[[#This Row],[Serial No.]])</f>
        <v>0</v>
      </c>
      <c r="K41" t="b">
        <f>AND(Table6[[#This Row],[categoryname2]:[SN2]])</f>
        <v>0</v>
      </c>
      <c r="L41" t="b">
        <f>AND(Table6[[#This Row],[companyid2]],Table6[[#This Row],[Manufacturer2]:[SN2]])</f>
        <v>0</v>
      </c>
      <c r="M41" t="b">
        <f>AND(Table6[[#This Row],[companyid2]:[categoryname2]],Table6[[#This Row],[Model2]:[SN2]])</f>
        <v>0</v>
      </c>
      <c r="N41" t="b">
        <f>AND(Table6[[#This Row],[companyid2]:[Manufacturer2]],Table6[[#This Row],[SN2]])</f>
        <v>0</v>
      </c>
      <c r="O41" t="b">
        <f>AND(Table6[[#This Row],[companyid2]:[Model2]])</f>
        <v>1</v>
      </c>
      <c r="AH41" s="84"/>
    </row>
    <row r="42" spans="1:45" x14ac:dyDescent="0.25">
      <c r="A42">
        <v>57248</v>
      </c>
      <c r="B42" t="s">
        <v>845</v>
      </c>
      <c r="C42" t="s">
        <v>853</v>
      </c>
      <c r="D42" s="38" t="s">
        <v>854</v>
      </c>
      <c r="E42" s="95" t="s">
        <v>861</v>
      </c>
      <c r="F42" t="b">
        <f>IFERROR(Table6[[#This Row],[companyid]]=DropDowns!$N$20,TRUE)</f>
        <v>1</v>
      </c>
      <c r="G42" t="b">
        <f>OR(Worksheet!$D$5="",Worksheet!$D$5=Table6[[#This Row],[categoryname]])</f>
        <v>1</v>
      </c>
      <c r="H42" t="b">
        <f>OR(Worksheet!$D$7="",Worksheet!$D$7=Table6[[#This Row],[Manufacturer]])</f>
        <v>1</v>
      </c>
      <c r="I42" t="b">
        <f>OR(Worksheet!$G$7="",Worksheet!$G$7=Table6[[#This Row],[Model No.]])</f>
        <v>1</v>
      </c>
      <c r="J42" t="b">
        <f>OR(Worksheet!$D$8="",Worksheet!$D$8=Table6[[#This Row],[Serial No.]])</f>
        <v>0</v>
      </c>
      <c r="K42" t="b">
        <f>AND(Table6[[#This Row],[categoryname2]:[SN2]])</f>
        <v>0</v>
      </c>
      <c r="L42" t="b">
        <f>AND(Table6[[#This Row],[companyid2]],Table6[[#This Row],[Manufacturer2]:[SN2]])</f>
        <v>0</v>
      </c>
      <c r="M42" t="b">
        <f>AND(Table6[[#This Row],[companyid2]:[categoryname2]],Table6[[#This Row],[Model2]:[SN2]])</f>
        <v>0</v>
      </c>
      <c r="N42" t="b">
        <f>AND(Table6[[#This Row],[companyid2]:[Manufacturer2]],Table6[[#This Row],[SN2]])</f>
        <v>0</v>
      </c>
      <c r="O42" t="b">
        <f>AND(Table6[[#This Row],[companyid2]:[Model2]])</f>
        <v>1</v>
      </c>
      <c r="AS42" s="30"/>
    </row>
    <row r="43" spans="1:45" x14ac:dyDescent="0.25">
      <c r="A43">
        <v>57248</v>
      </c>
      <c r="B43" t="s">
        <v>845</v>
      </c>
      <c r="C43" t="s">
        <v>878</v>
      </c>
      <c r="D43" s="38" t="s">
        <v>883</v>
      </c>
      <c r="E43" s="95">
        <v>21</v>
      </c>
      <c r="F43" t="b">
        <f>IFERROR(Table6[[#This Row],[companyid]]=DropDowns!$N$20,TRUE)</f>
        <v>1</v>
      </c>
      <c r="G43" t="b">
        <f>OR(Worksheet!$D$5="",Worksheet!$D$5=Table6[[#This Row],[categoryname]])</f>
        <v>1</v>
      </c>
      <c r="H43" t="b">
        <f>OR(Worksheet!$D$7="",Worksheet!$D$7=Table6[[#This Row],[Manufacturer]])</f>
        <v>1</v>
      </c>
      <c r="I43" t="b">
        <f>OR(Worksheet!$G$7="",Worksheet!$G$7=Table6[[#This Row],[Model No.]])</f>
        <v>1</v>
      </c>
      <c r="J43" t="b">
        <f>OR(Worksheet!$D$8="",Worksheet!$D$8=Table6[[#This Row],[Serial No.]])</f>
        <v>0</v>
      </c>
      <c r="K43" t="b">
        <f>AND(Table6[[#This Row],[categoryname2]:[SN2]])</f>
        <v>0</v>
      </c>
      <c r="L43" t="b">
        <f>AND(Table6[[#This Row],[companyid2]],Table6[[#This Row],[Manufacturer2]:[SN2]])</f>
        <v>0</v>
      </c>
      <c r="M43" t="b">
        <f>AND(Table6[[#This Row],[companyid2]:[categoryname2]],Table6[[#This Row],[Model2]:[SN2]])</f>
        <v>0</v>
      </c>
      <c r="N43" t="b">
        <f>AND(Table6[[#This Row],[companyid2]:[Manufacturer2]],Table6[[#This Row],[SN2]])</f>
        <v>0</v>
      </c>
      <c r="O43" t="b">
        <f>AND(Table6[[#This Row],[companyid2]:[Model2]])</f>
        <v>1</v>
      </c>
      <c r="AS43" s="30"/>
    </row>
    <row r="44" spans="1:45" x14ac:dyDescent="0.25">
      <c r="A44">
        <v>57248</v>
      </c>
      <c r="B44" t="s">
        <v>884</v>
      </c>
      <c r="C44" t="s">
        <v>846</v>
      </c>
      <c r="D44" s="38" t="s">
        <v>892</v>
      </c>
      <c r="E44" s="94">
        <v>74901</v>
      </c>
      <c r="F44" t="b">
        <f>IFERROR(Table6[[#This Row],[companyid]]=DropDowns!$N$20,TRUE)</f>
        <v>1</v>
      </c>
      <c r="G44" t="b">
        <f>OR(Worksheet!$D$5="",Worksheet!$D$5=Table6[[#This Row],[categoryname]])</f>
        <v>1</v>
      </c>
      <c r="H44" t="b">
        <f>OR(Worksheet!$D$7="",Worksheet!$D$7=Table6[[#This Row],[Manufacturer]])</f>
        <v>1</v>
      </c>
      <c r="I44" t="b">
        <f>OR(Worksheet!$G$7="",Worksheet!$G$7=Table6[[#This Row],[Model No.]])</f>
        <v>1</v>
      </c>
      <c r="J44" t="b">
        <f>OR(Worksheet!$D$8="",Worksheet!$D$8=Table6[[#This Row],[Serial No.]])</f>
        <v>0</v>
      </c>
      <c r="K44" t="b">
        <f>AND(Table6[[#This Row],[categoryname2]:[SN2]])</f>
        <v>0</v>
      </c>
      <c r="L44" t="b">
        <f>AND(Table6[[#This Row],[companyid2]],Table6[[#This Row],[Manufacturer2]:[SN2]])</f>
        <v>0</v>
      </c>
      <c r="M44" t="b">
        <f>AND(Table6[[#This Row],[companyid2]:[categoryname2]],Table6[[#This Row],[Model2]:[SN2]])</f>
        <v>0</v>
      </c>
      <c r="N44" t="b">
        <f>AND(Table6[[#This Row],[companyid2]:[Manufacturer2]],Table6[[#This Row],[SN2]])</f>
        <v>0</v>
      </c>
      <c r="O44" t="b">
        <f>AND(Table6[[#This Row],[companyid2]:[Model2]])</f>
        <v>1</v>
      </c>
      <c r="AS44" s="30"/>
    </row>
    <row r="45" spans="1:45" x14ac:dyDescent="0.25">
      <c r="A45">
        <v>57248</v>
      </c>
      <c r="B45" t="s">
        <v>884</v>
      </c>
      <c r="C45" t="s">
        <v>962</v>
      </c>
      <c r="D45" s="38" t="s">
        <v>966</v>
      </c>
      <c r="E45" s="95">
        <v>6532</v>
      </c>
      <c r="F45" t="b">
        <f>IFERROR(Table6[[#This Row],[companyid]]=DropDowns!$N$20,TRUE)</f>
        <v>1</v>
      </c>
      <c r="G45" t="b">
        <f>OR(Worksheet!$D$5="",Worksheet!$D$5=Table6[[#This Row],[categoryname]])</f>
        <v>1</v>
      </c>
      <c r="H45" t="b">
        <f>OR(Worksheet!$D$7="",Worksheet!$D$7=Table6[[#This Row],[Manufacturer]])</f>
        <v>1</v>
      </c>
      <c r="I45" t="b">
        <f>OR(Worksheet!$G$7="",Worksheet!$G$7=Table6[[#This Row],[Model No.]])</f>
        <v>1</v>
      </c>
      <c r="J45" t="b">
        <f>OR(Worksheet!$D$8="",Worksheet!$D$8=Table6[[#This Row],[Serial No.]])</f>
        <v>0</v>
      </c>
      <c r="K45" t="b">
        <f>AND(Table6[[#This Row],[categoryname2]:[SN2]])</f>
        <v>0</v>
      </c>
      <c r="L45" t="b">
        <f>AND(Table6[[#This Row],[companyid2]],Table6[[#This Row],[Manufacturer2]:[SN2]])</f>
        <v>0</v>
      </c>
      <c r="M45" t="b">
        <f>AND(Table6[[#This Row],[companyid2]:[categoryname2]],Table6[[#This Row],[Model2]:[SN2]])</f>
        <v>0</v>
      </c>
      <c r="N45" t="b">
        <f>AND(Table6[[#This Row],[companyid2]:[Manufacturer2]],Table6[[#This Row],[SN2]])</f>
        <v>0</v>
      </c>
      <c r="O45" t="b">
        <f>AND(Table6[[#This Row],[companyid2]:[Model2]])</f>
        <v>1</v>
      </c>
      <c r="AS45" s="30"/>
    </row>
    <row r="46" spans="1:45" x14ac:dyDescent="0.25">
      <c r="A46">
        <v>57248</v>
      </c>
      <c r="B46" t="s">
        <v>884</v>
      </c>
      <c r="C46" t="s">
        <v>962</v>
      </c>
      <c r="D46" s="38" t="s">
        <v>966</v>
      </c>
      <c r="E46" s="95">
        <v>7235</v>
      </c>
      <c r="F46" t="b">
        <f>IFERROR(Table6[[#This Row],[companyid]]=DropDowns!$N$20,TRUE)</f>
        <v>1</v>
      </c>
      <c r="G46" t="b">
        <f>OR(Worksheet!$D$5="",Worksheet!$D$5=Table6[[#This Row],[categoryname]])</f>
        <v>1</v>
      </c>
      <c r="H46" t="b">
        <f>OR(Worksheet!$D$7="",Worksheet!$D$7=Table6[[#This Row],[Manufacturer]])</f>
        <v>1</v>
      </c>
      <c r="I46" t="b">
        <f>OR(Worksheet!$G$7="",Worksheet!$G$7=Table6[[#This Row],[Model No.]])</f>
        <v>1</v>
      </c>
      <c r="J46" t="b">
        <f>OR(Worksheet!$D$8="",Worksheet!$D$8=Table6[[#This Row],[Serial No.]])</f>
        <v>0</v>
      </c>
      <c r="K46" t="b">
        <f>AND(Table6[[#This Row],[categoryname2]:[SN2]])</f>
        <v>0</v>
      </c>
      <c r="L46" t="b">
        <f>AND(Table6[[#This Row],[companyid2]],Table6[[#This Row],[Manufacturer2]:[SN2]])</f>
        <v>0</v>
      </c>
      <c r="M46" t="b">
        <f>AND(Table6[[#This Row],[companyid2]:[categoryname2]],Table6[[#This Row],[Model2]:[SN2]])</f>
        <v>0</v>
      </c>
      <c r="N46" t="b">
        <f>AND(Table6[[#This Row],[companyid2]:[Manufacturer2]],Table6[[#This Row],[SN2]])</f>
        <v>0</v>
      </c>
      <c r="O46" t="b">
        <f>AND(Table6[[#This Row],[companyid2]:[Model2]])</f>
        <v>1</v>
      </c>
      <c r="AS46" s="30"/>
    </row>
    <row r="47" spans="1:45" x14ac:dyDescent="0.25">
      <c r="A47">
        <v>57248</v>
      </c>
      <c r="B47" t="s">
        <v>884</v>
      </c>
      <c r="C47" t="s">
        <v>962</v>
      </c>
      <c r="D47" s="38" t="s">
        <v>966</v>
      </c>
      <c r="E47" s="95">
        <v>7734</v>
      </c>
      <c r="F47" t="b">
        <f>IFERROR(Table6[[#This Row],[companyid]]=DropDowns!$N$20,TRUE)</f>
        <v>1</v>
      </c>
      <c r="G47" t="b">
        <f>OR(Worksheet!$D$5="",Worksheet!$D$5=Table6[[#This Row],[categoryname]])</f>
        <v>1</v>
      </c>
      <c r="H47" t="b">
        <f>OR(Worksheet!$D$7="",Worksheet!$D$7=Table6[[#This Row],[Manufacturer]])</f>
        <v>1</v>
      </c>
      <c r="I47" t="b">
        <f>OR(Worksheet!$G$7="",Worksheet!$G$7=Table6[[#This Row],[Model No.]])</f>
        <v>1</v>
      </c>
      <c r="J47" t="b">
        <f>OR(Worksheet!$D$8="",Worksheet!$D$8=Table6[[#This Row],[Serial No.]])</f>
        <v>0</v>
      </c>
      <c r="K47" t="b">
        <f>AND(Table6[[#This Row],[categoryname2]:[SN2]])</f>
        <v>0</v>
      </c>
      <c r="L47" t="b">
        <f>AND(Table6[[#This Row],[companyid2]],Table6[[#This Row],[Manufacturer2]:[SN2]])</f>
        <v>0</v>
      </c>
      <c r="M47" t="b">
        <f>AND(Table6[[#This Row],[companyid2]:[categoryname2]],Table6[[#This Row],[Model2]:[SN2]])</f>
        <v>0</v>
      </c>
      <c r="N47" t="b">
        <f>AND(Table6[[#This Row],[companyid2]:[Manufacturer2]],Table6[[#This Row],[SN2]])</f>
        <v>0</v>
      </c>
      <c r="O47" t="b">
        <f>AND(Table6[[#This Row],[companyid2]:[Model2]])</f>
        <v>1</v>
      </c>
      <c r="AS47" s="30"/>
    </row>
    <row r="48" spans="1:45" x14ac:dyDescent="0.25">
      <c r="A48">
        <v>57248</v>
      </c>
      <c r="B48" t="s">
        <v>884</v>
      </c>
      <c r="C48" t="s">
        <v>1024</v>
      </c>
      <c r="D48" s="38" t="s">
        <v>1025</v>
      </c>
      <c r="E48" s="95">
        <v>2192283</v>
      </c>
      <c r="F48" t="b">
        <f>IFERROR(Table6[[#This Row],[companyid]]=DropDowns!$N$20,TRUE)</f>
        <v>1</v>
      </c>
      <c r="G48" t="b">
        <f>OR(Worksheet!$D$5="",Worksheet!$D$5=Table6[[#This Row],[categoryname]])</f>
        <v>1</v>
      </c>
      <c r="H48" t="b">
        <f>OR(Worksheet!$D$7="",Worksheet!$D$7=Table6[[#This Row],[Manufacturer]])</f>
        <v>1</v>
      </c>
      <c r="I48" t="b">
        <f>OR(Worksheet!$G$7="",Worksheet!$G$7=Table6[[#This Row],[Model No.]])</f>
        <v>1</v>
      </c>
      <c r="J48" t="b">
        <f>OR(Worksheet!$D$8="",Worksheet!$D$8=Table6[[#This Row],[Serial No.]])</f>
        <v>0</v>
      </c>
      <c r="K48" t="b">
        <f>AND(Table6[[#This Row],[categoryname2]:[SN2]])</f>
        <v>0</v>
      </c>
      <c r="L48" t="b">
        <f>AND(Table6[[#This Row],[companyid2]],Table6[[#This Row],[Manufacturer2]:[SN2]])</f>
        <v>0</v>
      </c>
      <c r="M48" t="b">
        <f>AND(Table6[[#This Row],[companyid2]:[categoryname2]],Table6[[#This Row],[Model2]:[SN2]])</f>
        <v>0</v>
      </c>
      <c r="N48" t="b">
        <f>AND(Table6[[#This Row],[companyid2]:[Manufacturer2]],Table6[[#This Row],[SN2]])</f>
        <v>0</v>
      </c>
      <c r="O48" t="b">
        <f>AND(Table6[[#This Row],[companyid2]:[Model2]])</f>
        <v>1</v>
      </c>
      <c r="AH48" s="84"/>
    </row>
    <row r="49" spans="1:47" x14ac:dyDescent="0.25">
      <c r="A49">
        <v>57248</v>
      </c>
      <c r="B49" t="s">
        <v>884</v>
      </c>
      <c r="C49" t="s">
        <v>1024</v>
      </c>
      <c r="D49" s="38" t="s">
        <v>1025</v>
      </c>
      <c r="E49" s="95">
        <v>2192284</v>
      </c>
      <c r="F49" t="b">
        <f>IFERROR(Table6[[#This Row],[companyid]]=DropDowns!$N$20,TRUE)</f>
        <v>1</v>
      </c>
      <c r="G49" t="b">
        <f>OR(Worksheet!$D$5="",Worksheet!$D$5=Table6[[#This Row],[categoryname]])</f>
        <v>1</v>
      </c>
      <c r="H49" t="b">
        <f>OR(Worksheet!$D$7="",Worksheet!$D$7=Table6[[#This Row],[Manufacturer]])</f>
        <v>1</v>
      </c>
      <c r="I49" t="b">
        <f>OR(Worksheet!$G$7="",Worksheet!$G$7=Table6[[#This Row],[Model No.]])</f>
        <v>1</v>
      </c>
      <c r="J49" t="b">
        <f>OR(Worksheet!$D$8="",Worksheet!$D$8=Table6[[#This Row],[Serial No.]])</f>
        <v>0</v>
      </c>
      <c r="K49" t="b">
        <f>AND(Table6[[#This Row],[categoryname2]:[SN2]])</f>
        <v>0</v>
      </c>
      <c r="L49" t="b">
        <f>AND(Table6[[#This Row],[companyid2]],Table6[[#This Row],[Manufacturer2]:[SN2]])</f>
        <v>0</v>
      </c>
      <c r="M49" t="b">
        <f>AND(Table6[[#This Row],[companyid2]:[categoryname2]],Table6[[#This Row],[Model2]:[SN2]])</f>
        <v>0</v>
      </c>
      <c r="N49" t="b">
        <f>AND(Table6[[#This Row],[companyid2]:[Manufacturer2]],Table6[[#This Row],[SN2]])</f>
        <v>0</v>
      </c>
      <c r="O49" t="b">
        <f>AND(Table6[[#This Row],[companyid2]:[Model2]])</f>
        <v>1</v>
      </c>
      <c r="AH49" s="84"/>
    </row>
    <row r="50" spans="1:47" x14ac:dyDescent="0.25">
      <c r="A50">
        <v>57248</v>
      </c>
      <c r="B50" t="s">
        <v>884</v>
      </c>
      <c r="C50" t="s">
        <v>1024</v>
      </c>
      <c r="D50" s="38" t="s">
        <v>1025</v>
      </c>
      <c r="E50" s="95">
        <v>2192285</v>
      </c>
      <c r="F50" t="b">
        <f>IFERROR(Table6[[#This Row],[companyid]]=DropDowns!$N$20,TRUE)</f>
        <v>1</v>
      </c>
      <c r="G50" t="b">
        <f>OR(Worksheet!$D$5="",Worksheet!$D$5=Table6[[#This Row],[categoryname]])</f>
        <v>1</v>
      </c>
      <c r="H50" t="b">
        <f>OR(Worksheet!$D$7="",Worksheet!$D$7=Table6[[#This Row],[Manufacturer]])</f>
        <v>1</v>
      </c>
      <c r="I50" t="b">
        <f>OR(Worksheet!$G$7="",Worksheet!$G$7=Table6[[#This Row],[Model No.]])</f>
        <v>1</v>
      </c>
      <c r="J50" t="b">
        <f>OR(Worksheet!$D$8="",Worksheet!$D$8=Table6[[#This Row],[Serial No.]])</f>
        <v>0</v>
      </c>
      <c r="K50" t="b">
        <f>AND(Table6[[#This Row],[categoryname2]:[SN2]])</f>
        <v>0</v>
      </c>
      <c r="L50" t="b">
        <f>AND(Table6[[#This Row],[companyid2]],Table6[[#This Row],[Manufacturer2]:[SN2]])</f>
        <v>0</v>
      </c>
      <c r="M50" t="b">
        <f>AND(Table6[[#This Row],[companyid2]:[categoryname2]],Table6[[#This Row],[Model2]:[SN2]])</f>
        <v>0</v>
      </c>
      <c r="N50" t="b">
        <f>AND(Table6[[#This Row],[companyid2]:[Manufacturer2]],Table6[[#This Row],[SN2]])</f>
        <v>0</v>
      </c>
      <c r="O50" t="b">
        <f>AND(Table6[[#This Row],[companyid2]:[Model2]])</f>
        <v>1</v>
      </c>
      <c r="AS50" s="30"/>
    </row>
    <row r="51" spans="1:47" x14ac:dyDescent="0.25">
      <c r="A51">
        <v>57248</v>
      </c>
      <c r="B51" t="s">
        <v>884</v>
      </c>
      <c r="C51" t="s">
        <v>1024</v>
      </c>
      <c r="D51" s="38" t="s">
        <v>1025</v>
      </c>
      <c r="E51" s="95">
        <v>2192286</v>
      </c>
      <c r="F51" t="b">
        <f>IFERROR(Table6[[#This Row],[companyid]]=DropDowns!$N$20,TRUE)</f>
        <v>1</v>
      </c>
      <c r="G51" t="b">
        <f>OR(Worksheet!$D$5="",Worksheet!$D$5=Table6[[#This Row],[categoryname]])</f>
        <v>1</v>
      </c>
      <c r="H51" t="b">
        <f>OR(Worksheet!$D$7="",Worksheet!$D$7=Table6[[#This Row],[Manufacturer]])</f>
        <v>1</v>
      </c>
      <c r="I51" t="b">
        <f>OR(Worksheet!$G$7="",Worksheet!$G$7=Table6[[#This Row],[Model No.]])</f>
        <v>1</v>
      </c>
      <c r="J51" t="b">
        <f>OR(Worksheet!$D$8="",Worksheet!$D$8=Table6[[#This Row],[Serial No.]])</f>
        <v>0</v>
      </c>
      <c r="K51" t="b">
        <f>AND(Table6[[#This Row],[categoryname2]:[SN2]])</f>
        <v>0</v>
      </c>
      <c r="L51" t="b">
        <f>AND(Table6[[#This Row],[companyid2]],Table6[[#This Row],[Manufacturer2]:[SN2]])</f>
        <v>0</v>
      </c>
      <c r="M51" t="b">
        <f>AND(Table6[[#This Row],[companyid2]:[categoryname2]],Table6[[#This Row],[Model2]:[SN2]])</f>
        <v>0</v>
      </c>
      <c r="N51" t="b">
        <f>AND(Table6[[#This Row],[companyid2]:[Manufacturer2]],Table6[[#This Row],[SN2]])</f>
        <v>0</v>
      </c>
      <c r="O51" t="b">
        <f>AND(Table6[[#This Row],[companyid2]:[Model2]])</f>
        <v>1</v>
      </c>
      <c r="AS51" s="30"/>
    </row>
    <row r="52" spans="1:47" x14ac:dyDescent="0.25">
      <c r="A52">
        <v>57248</v>
      </c>
      <c r="B52" t="s">
        <v>884</v>
      </c>
      <c r="C52" t="s">
        <v>878</v>
      </c>
      <c r="D52" s="38" t="s">
        <v>1038</v>
      </c>
      <c r="E52" s="95" t="s">
        <v>1039</v>
      </c>
      <c r="F52" t="b">
        <f>IFERROR(Table6[[#This Row],[companyid]]=DropDowns!$N$20,TRUE)</f>
        <v>1</v>
      </c>
      <c r="G52" t="b">
        <f>OR(Worksheet!$D$5="",Worksheet!$D$5=Table6[[#This Row],[categoryname]])</f>
        <v>1</v>
      </c>
      <c r="H52" t="b">
        <f>OR(Worksheet!$D$7="",Worksheet!$D$7=Table6[[#This Row],[Manufacturer]])</f>
        <v>1</v>
      </c>
      <c r="I52" t="b">
        <f>OR(Worksheet!$G$7="",Worksheet!$G$7=Table6[[#This Row],[Model No.]])</f>
        <v>1</v>
      </c>
      <c r="J52" t="b">
        <f>OR(Worksheet!$D$8="",Worksheet!$D$8=Table6[[#This Row],[Serial No.]])</f>
        <v>0</v>
      </c>
      <c r="K52" t="b">
        <f>AND(Table6[[#This Row],[categoryname2]:[SN2]])</f>
        <v>0</v>
      </c>
      <c r="L52" t="b">
        <f>AND(Table6[[#This Row],[companyid2]],Table6[[#This Row],[Manufacturer2]:[SN2]])</f>
        <v>0</v>
      </c>
      <c r="M52" t="b">
        <f>AND(Table6[[#This Row],[companyid2]:[categoryname2]],Table6[[#This Row],[Model2]:[SN2]])</f>
        <v>0</v>
      </c>
      <c r="N52" t="b">
        <f>AND(Table6[[#This Row],[companyid2]:[Manufacturer2]],Table6[[#This Row],[SN2]])</f>
        <v>0</v>
      </c>
      <c r="O52" t="b">
        <f>AND(Table6[[#This Row],[companyid2]:[Model2]])</f>
        <v>1</v>
      </c>
      <c r="AS52" s="30"/>
      <c r="AU52" s="30"/>
    </row>
    <row r="53" spans="1:47" x14ac:dyDescent="0.25">
      <c r="A53">
        <v>57248</v>
      </c>
      <c r="B53" t="s">
        <v>884</v>
      </c>
      <c r="C53" t="s">
        <v>878</v>
      </c>
      <c r="D53" s="38" t="s">
        <v>1038</v>
      </c>
      <c r="E53" s="95" t="s">
        <v>1040</v>
      </c>
      <c r="F53" t="b">
        <f>IFERROR(Table6[[#This Row],[companyid]]=DropDowns!$N$20,TRUE)</f>
        <v>1</v>
      </c>
      <c r="G53" t="b">
        <f>OR(Worksheet!$D$5="",Worksheet!$D$5=Table6[[#This Row],[categoryname]])</f>
        <v>1</v>
      </c>
      <c r="H53" t="b">
        <f>OR(Worksheet!$D$7="",Worksheet!$D$7=Table6[[#This Row],[Manufacturer]])</f>
        <v>1</v>
      </c>
      <c r="I53" t="b">
        <f>OR(Worksheet!$G$7="",Worksheet!$G$7=Table6[[#This Row],[Model No.]])</f>
        <v>1</v>
      </c>
      <c r="J53" t="b">
        <f>OR(Worksheet!$D$8="",Worksheet!$D$8=Table6[[#This Row],[Serial No.]])</f>
        <v>0</v>
      </c>
      <c r="K53" t="b">
        <f>AND(Table6[[#This Row],[categoryname2]:[SN2]])</f>
        <v>0</v>
      </c>
      <c r="L53" t="b">
        <f>AND(Table6[[#This Row],[companyid2]],Table6[[#This Row],[Manufacturer2]:[SN2]])</f>
        <v>0</v>
      </c>
      <c r="M53" t="b">
        <f>AND(Table6[[#This Row],[companyid2]:[categoryname2]],Table6[[#This Row],[Model2]:[SN2]])</f>
        <v>0</v>
      </c>
      <c r="N53" t="b">
        <f>AND(Table6[[#This Row],[companyid2]:[Manufacturer2]],Table6[[#This Row],[SN2]])</f>
        <v>0</v>
      </c>
      <c r="O53" t="b">
        <f>AND(Table6[[#This Row],[companyid2]:[Model2]])</f>
        <v>1</v>
      </c>
      <c r="AS53" s="30"/>
    </row>
    <row r="54" spans="1:47" x14ac:dyDescent="0.25">
      <c r="A54">
        <v>57248</v>
      </c>
      <c r="B54" t="s">
        <v>884</v>
      </c>
      <c r="C54" t="s">
        <v>878</v>
      </c>
      <c r="D54" s="38" t="s">
        <v>1045</v>
      </c>
      <c r="E54" s="95">
        <v>3746</v>
      </c>
      <c r="F54" t="b">
        <f>IFERROR(Table6[[#This Row],[companyid]]=DropDowns!$N$20,TRUE)</f>
        <v>1</v>
      </c>
      <c r="G54" t="b">
        <f>OR(Worksheet!$D$5="",Worksheet!$D$5=Table6[[#This Row],[categoryname]])</f>
        <v>1</v>
      </c>
      <c r="H54" t="b">
        <f>OR(Worksheet!$D$7="",Worksheet!$D$7=Table6[[#This Row],[Manufacturer]])</f>
        <v>1</v>
      </c>
      <c r="I54" t="b">
        <f>OR(Worksheet!$G$7="",Worksheet!$G$7=Table6[[#This Row],[Model No.]])</f>
        <v>1</v>
      </c>
      <c r="J54" t="b">
        <f>OR(Worksheet!$D$8="",Worksheet!$D$8=Table6[[#This Row],[Serial No.]])</f>
        <v>0</v>
      </c>
      <c r="K54" t="b">
        <f>AND(Table6[[#This Row],[categoryname2]:[SN2]])</f>
        <v>0</v>
      </c>
      <c r="L54" t="b">
        <f>AND(Table6[[#This Row],[companyid2]],Table6[[#This Row],[Manufacturer2]:[SN2]])</f>
        <v>0</v>
      </c>
      <c r="M54" t="b">
        <f>AND(Table6[[#This Row],[companyid2]:[categoryname2]],Table6[[#This Row],[Model2]:[SN2]])</f>
        <v>0</v>
      </c>
      <c r="N54" t="b">
        <f>AND(Table6[[#This Row],[companyid2]:[Manufacturer2]],Table6[[#This Row],[SN2]])</f>
        <v>0</v>
      </c>
      <c r="O54" t="b">
        <f>AND(Table6[[#This Row],[companyid2]:[Model2]])</f>
        <v>1</v>
      </c>
      <c r="AS54" s="30"/>
    </row>
    <row r="55" spans="1:47" x14ac:dyDescent="0.25">
      <c r="A55">
        <v>57250</v>
      </c>
      <c r="B55" t="s">
        <v>884</v>
      </c>
      <c r="C55" t="s">
        <v>878</v>
      </c>
      <c r="D55" s="38">
        <v>425</v>
      </c>
      <c r="E55" s="95">
        <v>2282</v>
      </c>
      <c r="F55" t="b">
        <f>IFERROR(Table6[[#This Row],[companyid]]=DropDowns!$N$20,TRUE)</f>
        <v>1</v>
      </c>
      <c r="G55" t="b">
        <f>OR(Worksheet!$D$5="",Worksheet!$D$5=Table6[[#This Row],[categoryname]])</f>
        <v>1</v>
      </c>
      <c r="H55" t="b">
        <f>OR(Worksheet!$D$7="",Worksheet!$D$7=Table6[[#This Row],[Manufacturer]])</f>
        <v>1</v>
      </c>
      <c r="I55" t="b">
        <f>OR(Worksheet!$G$7="",Worksheet!$G$7=Table6[[#This Row],[Model No.]])</f>
        <v>1</v>
      </c>
      <c r="J55" t="b">
        <f>OR(Worksheet!$D$8="",Worksheet!$D$8=Table6[[#This Row],[Serial No.]])</f>
        <v>0</v>
      </c>
      <c r="K55" t="b">
        <f>AND(Table6[[#This Row],[categoryname2]:[SN2]])</f>
        <v>0</v>
      </c>
      <c r="L55" t="b">
        <f>AND(Table6[[#This Row],[companyid2]],Table6[[#This Row],[Manufacturer2]:[SN2]])</f>
        <v>0</v>
      </c>
      <c r="M55" t="b">
        <f>AND(Table6[[#This Row],[companyid2]:[categoryname2]],Table6[[#This Row],[Model2]:[SN2]])</f>
        <v>0</v>
      </c>
      <c r="N55" t="b">
        <f>AND(Table6[[#This Row],[companyid2]:[Manufacturer2]],Table6[[#This Row],[SN2]])</f>
        <v>0</v>
      </c>
      <c r="O55" t="b">
        <f>AND(Table6[[#This Row],[companyid2]:[Model2]])</f>
        <v>1</v>
      </c>
      <c r="AG55" s="80"/>
      <c r="AS55" s="30"/>
    </row>
    <row r="56" spans="1:47" x14ac:dyDescent="0.25">
      <c r="A56">
        <v>57273</v>
      </c>
      <c r="B56" t="s">
        <v>884</v>
      </c>
      <c r="C56" t="s">
        <v>989</v>
      </c>
      <c r="D56" s="38" t="s">
        <v>879</v>
      </c>
      <c r="E56" s="95">
        <v>7215</v>
      </c>
      <c r="F56" t="b">
        <f>IFERROR(Table6[[#This Row],[companyid]]=DropDowns!$N$20,TRUE)</f>
        <v>1</v>
      </c>
      <c r="G56" t="b">
        <f>OR(Worksheet!$D$5="",Worksheet!$D$5=Table6[[#This Row],[categoryname]])</f>
        <v>1</v>
      </c>
      <c r="H56" t="b">
        <f>OR(Worksheet!$D$7="",Worksheet!$D$7=Table6[[#This Row],[Manufacturer]])</f>
        <v>1</v>
      </c>
      <c r="I56" t="b">
        <f>OR(Worksheet!$G$7="",Worksheet!$G$7=Table6[[#This Row],[Model No.]])</f>
        <v>1</v>
      </c>
      <c r="J56" t="b">
        <f>OR(Worksheet!$D$8="",Worksheet!$D$8=Table6[[#This Row],[Serial No.]])</f>
        <v>0</v>
      </c>
      <c r="K56" t="b">
        <f>AND(Table6[[#This Row],[categoryname2]:[SN2]])</f>
        <v>0</v>
      </c>
      <c r="L56" t="b">
        <f>AND(Table6[[#This Row],[companyid2]],Table6[[#This Row],[Manufacturer2]:[SN2]])</f>
        <v>0</v>
      </c>
      <c r="M56" t="b">
        <f>AND(Table6[[#This Row],[companyid2]:[categoryname2]],Table6[[#This Row],[Model2]:[SN2]])</f>
        <v>0</v>
      </c>
      <c r="N56" t="b">
        <f>AND(Table6[[#This Row],[companyid2]:[Manufacturer2]],Table6[[#This Row],[SN2]])</f>
        <v>0</v>
      </c>
      <c r="O56" t="b">
        <f>AND(Table6[[#This Row],[companyid2]:[Model2]])</f>
        <v>1</v>
      </c>
      <c r="AS56" s="30"/>
    </row>
    <row r="57" spans="1:47" x14ac:dyDescent="0.25">
      <c r="A57">
        <v>57273</v>
      </c>
      <c r="B57" t="s">
        <v>884</v>
      </c>
      <c r="C57" t="s">
        <v>878</v>
      </c>
      <c r="D57" s="38" t="s">
        <v>1101</v>
      </c>
      <c r="E57" s="95" t="s">
        <v>1102</v>
      </c>
      <c r="F57" t="b">
        <f>IFERROR(Table6[[#This Row],[companyid]]=DropDowns!$N$20,TRUE)</f>
        <v>1</v>
      </c>
      <c r="G57" t="b">
        <f>OR(Worksheet!$D$5="",Worksheet!$D$5=Table6[[#This Row],[categoryname]])</f>
        <v>1</v>
      </c>
      <c r="H57" t="b">
        <f>OR(Worksheet!$D$7="",Worksheet!$D$7=Table6[[#This Row],[Manufacturer]])</f>
        <v>1</v>
      </c>
      <c r="I57" t="b">
        <f>OR(Worksheet!$G$7="",Worksheet!$G$7=Table6[[#This Row],[Model No.]])</f>
        <v>1</v>
      </c>
      <c r="J57" t="b">
        <f>OR(Worksheet!$D$8="",Worksheet!$D$8=Table6[[#This Row],[Serial No.]])</f>
        <v>0</v>
      </c>
      <c r="K57" t="b">
        <f>AND(Table6[[#This Row],[categoryname2]:[SN2]])</f>
        <v>0</v>
      </c>
      <c r="L57" t="b">
        <f>AND(Table6[[#This Row],[companyid2]],Table6[[#This Row],[Manufacturer2]:[SN2]])</f>
        <v>0</v>
      </c>
      <c r="M57" t="b">
        <f>AND(Table6[[#This Row],[companyid2]:[categoryname2]],Table6[[#This Row],[Model2]:[SN2]])</f>
        <v>0</v>
      </c>
      <c r="N57" t="b">
        <f>AND(Table6[[#This Row],[companyid2]:[Manufacturer2]],Table6[[#This Row],[SN2]])</f>
        <v>0</v>
      </c>
      <c r="O57" t="b">
        <f>AND(Table6[[#This Row],[companyid2]:[Model2]])</f>
        <v>1</v>
      </c>
      <c r="AS57" s="30"/>
    </row>
    <row r="58" spans="1:47" x14ac:dyDescent="0.25">
      <c r="A58">
        <v>57283</v>
      </c>
      <c r="B58" t="s">
        <v>884</v>
      </c>
      <c r="C58" t="s">
        <v>853</v>
      </c>
      <c r="D58" s="38" t="s">
        <v>919</v>
      </c>
      <c r="E58" s="95" t="s">
        <v>921</v>
      </c>
      <c r="F58" t="b">
        <f>IFERROR(Table6[[#This Row],[companyid]]=DropDowns!$N$20,TRUE)</f>
        <v>1</v>
      </c>
      <c r="G58" t="b">
        <f>OR(Worksheet!$D$5="",Worksheet!$D$5=Table6[[#This Row],[categoryname]])</f>
        <v>1</v>
      </c>
      <c r="H58" t="b">
        <f>OR(Worksheet!$D$7="",Worksheet!$D$7=Table6[[#This Row],[Manufacturer]])</f>
        <v>1</v>
      </c>
      <c r="I58" t="b">
        <f>OR(Worksheet!$G$7="",Worksheet!$G$7=Table6[[#This Row],[Model No.]])</f>
        <v>1</v>
      </c>
      <c r="J58" t="b">
        <f>OR(Worksheet!$D$8="",Worksheet!$D$8=Table6[[#This Row],[Serial No.]])</f>
        <v>0</v>
      </c>
      <c r="K58" t="b">
        <f>AND(Table6[[#This Row],[categoryname2]:[SN2]])</f>
        <v>0</v>
      </c>
      <c r="L58" t="b">
        <f>AND(Table6[[#This Row],[companyid2]],Table6[[#This Row],[Manufacturer2]:[SN2]])</f>
        <v>0</v>
      </c>
      <c r="M58" t="b">
        <f>AND(Table6[[#This Row],[companyid2]:[categoryname2]],Table6[[#This Row],[Model2]:[SN2]])</f>
        <v>0</v>
      </c>
      <c r="N58" t="b">
        <f>AND(Table6[[#This Row],[companyid2]:[Manufacturer2]],Table6[[#This Row],[SN2]])</f>
        <v>0</v>
      </c>
      <c r="O58" t="b">
        <f>AND(Table6[[#This Row],[companyid2]:[Model2]])</f>
        <v>1</v>
      </c>
      <c r="AS58" s="30"/>
    </row>
    <row r="59" spans="1:47" x14ac:dyDescent="0.25">
      <c r="A59">
        <v>57283</v>
      </c>
      <c r="B59" t="s">
        <v>884</v>
      </c>
      <c r="C59" t="s">
        <v>853</v>
      </c>
      <c r="D59" s="38" t="s">
        <v>919</v>
      </c>
      <c r="E59" s="95" t="s">
        <v>922</v>
      </c>
      <c r="F59" t="b">
        <f>IFERROR(Table6[[#This Row],[companyid]]=DropDowns!$N$20,TRUE)</f>
        <v>1</v>
      </c>
      <c r="G59" t="b">
        <f>OR(Worksheet!$D$5="",Worksheet!$D$5=Table6[[#This Row],[categoryname]])</f>
        <v>1</v>
      </c>
      <c r="H59" t="b">
        <f>OR(Worksheet!$D$7="",Worksheet!$D$7=Table6[[#This Row],[Manufacturer]])</f>
        <v>1</v>
      </c>
      <c r="I59" t="b">
        <f>OR(Worksheet!$G$7="",Worksheet!$G$7=Table6[[#This Row],[Model No.]])</f>
        <v>1</v>
      </c>
      <c r="J59" t="b">
        <f>OR(Worksheet!$D$8="",Worksheet!$D$8=Table6[[#This Row],[Serial No.]])</f>
        <v>0</v>
      </c>
      <c r="K59" t="b">
        <f>AND(Table6[[#This Row],[categoryname2]:[SN2]])</f>
        <v>0</v>
      </c>
      <c r="L59" t="b">
        <f>AND(Table6[[#This Row],[companyid2]],Table6[[#This Row],[Manufacturer2]:[SN2]])</f>
        <v>0</v>
      </c>
      <c r="M59" t="b">
        <f>AND(Table6[[#This Row],[companyid2]:[categoryname2]],Table6[[#This Row],[Model2]:[SN2]])</f>
        <v>0</v>
      </c>
      <c r="N59" t="b">
        <f>AND(Table6[[#This Row],[companyid2]:[Manufacturer2]],Table6[[#This Row],[SN2]])</f>
        <v>0</v>
      </c>
      <c r="O59" t="b">
        <f>AND(Table6[[#This Row],[companyid2]:[Model2]])</f>
        <v>1</v>
      </c>
      <c r="AS59" s="30"/>
    </row>
    <row r="60" spans="1:47" x14ac:dyDescent="0.25">
      <c r="A60">
        <v>57283</v>
      </c>
      <c r="B60" t="s">
        <v>884</v>
      </c>
      <c r="C60" t="s">
        <v>853</v>
      </c>
      <c r="D60" s="38" t="s">
        <v>931</v>
      </c>
      <c r="E60" s="95">
        <v>30244</v>
      </c>
      <c r="F60" t="b">
        <f>IFERROR(Table6[[#This Row],[companyid]]=DropDowns!$N$20,TRUE)</f>
        <v>1</v>
      </c>
      <c r="G60" t="b">
        <f>OR(Worksheet!$D$5="",Worksheet!$D$5=Table6[[#This Row],[categoryname]])</f>
        <v>1</v>
      </c>
      <c r="H60" t="b">
        <f>OR(Worksheet!$D$7="",Worksheet!$D$7=Table6[[#This Row],[Manufacturer]])</f>
        <v>1</v>
      </c>
      <c r="I60" t="b">
        <f>OR(Worksheet!$G$7="",Worksheet!$G$7=Table6[[#This Row],[Model No.]])</f>
        <v>1</v>
      </c>
      <c r="J60" t="b">
        <f>OR(Worksheet!$D$8="",Worksheet!$D$8=Table6[[#This Row],[Serial No.]])</f>
        <v>0</v>
      </c>
      <c r="K60" t="b">
        <f>AND(Table6[[#This Row],[categoryname2]:[SN2]])</f>
        <v>0</v>
      </c>
      <c r="L60" t="b">
        <f>AND(Table6[[#This Row],[companyid2]],Table6[[#This Row],[Manufacturer2]:[SN2]])</f>
        <v>0</v>
      </c>
      <c r="M60" t="b">
        <f>AND(Table6[[#This Row],[companyid2]:[categoryname2]],Table6[[#This Row],[Model2]:[SN2]])</f>
        <v>0</v>
      </c>
      <c r="N60" t="b">
        <f>AND(Table6[[#This Row],[companyid2]:[Manufacturer2]],Table6[[#This Row],[SN2]])</f>
        <v>0</v>
      </c>
      <c r="O60" t="b">
        <f>AND(Table6[[#This Row],[companyid2]:[Model2]])</f>
        <v>1</v>
      </c>
      <c r="AS60" s="30"/>
    </row>
    <row r="61" spans="1:47" x14ac:dyDescent="0.25">
      <c r="A61">
        <v>57283</v>
      </c>
      <c r="B61" t="s">
        <v>884</v>
      </c>
      <c r="C61" t="s">
        <v>962</v>
      </c>
      <c r="D61" s="38" t="s">
        <v>987</v>
      </c>
      <c r="E61" s="95">
        <v>2325</v>
      </c>
      <c r="F61" t="b">
        <f>IFERROR(Table6[[#This Row],[companyid]]=DropDowns!$N$20,TRUE)</f>
        <v>1</v>
      </c>
      <c r="G61" t="b">
        <f>OR(Worksheet!$D$5="",Worksheet!$D$5=Table6[[#This Row],[categoryname]])</f>
        <v>1</v>
      </c>
      <c r="H61" t="b">
        <f>OR(Worksheet!$D$7="",Worksheet!$D$7=Table6[[#This Row],[Manufacturer]])</f>
        <v>1</v>
      </c>
      <c r="I61" t="b">
        <f>OR(Worksheet!$G$7="",Worksheet!$G$7=Table6[[#This Row],[Model No.]])</f>
        <v>1</v>
      </c>
      <c r="J61" t="b">
        <f>OR(Worksheet!$D$8="",Worksheet!$D$8=Table6[[#This Row],[Serial No.]])</f>
        <v>0</v>
      </c>
      <c r="K61" t="b">
        <f>AND(Table6[[#This Row],[categoryname2]:[SN2]])</f>
        <v>0</v>
      </c>
      <c r="L61" t="b">
        <f>AND(Table6[[#This Row],[companyid2]],Table6[[#This Row],[Manufacturer2]:[SN2]])</f>
        <v>0</v>
      </c>
      <c r="M61" t="b">
        <f>AND(Table6[[#This Row],[companyid2]:[categoryname2]],Table6[[#This Row],[Model2]:[SN2]])</f>
        <v>0</v>
      </c>
      <c r="N61" t="b">
        <f>AND(Table6[[#This Row],[companyid2]:[Manufacturer2]],Table6[[#This Row],[SN2]])</f>
        <v>0</v>
      </c>
      <c r="O61" t="b">
        <f>AND(Table6[[#This Row],[companyid2]:[Model2]])</f>
        <v>1</v>
      </c>
      <c r="AS61" s="30"/>
    </row>
    <row r="62" spans="1:47" x14ac:dyDescent="0.25">
      <c r="A62">
        <v>57286</v>
      </c>
      <c r="B62" t="s">
        <v>884</v>
      </c>
      <c r="C62" t="s">
        <v>878</v>
      </c>
      <c r="D62" s="38" t="s">
        <v>901</v>
      </c>
      <c r="E62" s="95">
        <v>10573</v>
      </c>
      <c r="F62" t="b">
        <f>IFERROR(Table6[[#This Row],[companyid]]=DropDowns!$N$20,TRUE)</f>
        <v>1</v>
      </c>
      <c r="G62" t="b">
        <f>OR(Worksheet!$D$5="",Worksheet!$D$5=Table6[[#This Row],[categoryname]])</f>
        <v>1</v>
      </c>
      <c r="H62" t="b">
        <f>OR(Worksheet!$D$7="",Worksheet!$D$7=Table6[[#This Row],[Manufacturer]])</f>
        <v>1</v>
      </c>
      <c r="I62" t="b">
        <f>OR(Worksheet!$G$7="",Worksheet!$G$7=Table6[[#This Row],[Model No.]])</f>
        <v>1</v>
      </c>
      <c r="J62" t="b">
        <f>OR(Worksheet!$D$8="",Worksheet!$D$8=Table6[[#This Row],[Serial No.]])</f>
        <v>0</v>
      </c>
      <c r="K62" t="b">
        <f>AND(Table6[[#This Row],[categoryname2]:[SN2]])</f>
        <v>0</v>
      </c>
      <c r="L62" t="b">
        <f>AND(Table6[[#This Row],[companyid2]],Table6[[#This Row],[Manufacturer2]:[SN2]])</f>
        <v>0</v>
      </c>
      <c r="M62" t="b">
        <f>AND(Table6[[#This Row],[companyid2]:[categoryname2]],Table6[[#This Row],[Model2]:[SN2]])</f>
        <v>0</v>
      </c>
      <c r="N62" t="b">
        <f>AND(Table6[[#This Row],[companyid2]:[Manufacturer2]],Table6[[#This Row],[SN2]])</f>
        <v>0</v>
      </c>
      <c r="O62" t="b">
        <f>AND(Table6[[#This Row],[companyid2]:[Model2]])</f>
        <v>1</v>
      </c>
      <c r="AH62" s="84"/>
    </row>
    <row r="63" spans="1:47" x14ac:dyDescent="0.25">
      <c r="A63">
        <v>57290</v>
      </c>
      <c r="B63" t="s">
        <v>884</v>
      </c>
      <c r="C63" t="s">
        <v>962</v>
      </c>
      <c r="D63" s="38" t="s">
        <v>983</v>
      </c>
      <c r="E63" s="95" t="s">
        <v>984</v>
      </c>
      <c r="F63" t="b">
        <f>IFERROR(Table6[[#This Row],[companyid]]=DropDowns!$N$20,TRUE)</f>
        <v>1</v>
      </c>
      <c r="G63" t="b">
        <f>OR(Worksheet!$D$5="",Worksheet!$D$5=Table6[[#This Row],[categoryname]])</f>
        <v>1</v>
      </c>
      <c r="H63" t="b">
        <f>OR(Worksheet!$D$7="",Worksheet!$D$7=Table6[[#This Row],[Manufacturer]])</f>
        <v>1</v>
      </c>
      <c r="I63" t="b">
        <f>OR(Worksheet!$G$7="",Worksheet!$G$7=Table6[[#This Row],[Model No.]])</f>
        <v>1</v>
      </c>
      <c r="J63" t="b">
        <f>OR(Worksheet!$D$8="",Worksheet!$D$8=Table6[[#This Row],[Serial No.]])</f>
        <v>0</v>
      </c>
      <c r="K63" t="b">
        <f>AND(Table6[[#This Row],[categoryname2]:[SN2]])</f>
        <v>0</v>
      </c>
      <c r="L63" t="b">
        <f>AND(Table6[[#This Row],[companyid2]],Table6[[#This Row],[Manufacturer2]:[SN2]])</f>
        <v>0</v>
      </c>
      <c r="M63" t="b">
        <f>AND(Table6[[#This Row],[companyid2]:[categoryname2]],Table6[[#This Row],[Model2]:[SN2]])</f>
        <v>0</v>
      </c>
      <c r="N63" t="b">
        <f>AND(Table6[[#This Row],[companyid2]:[Manufacturer2]],Table6[[#This Row],[SN2]])</f>
        <v>0</v>
      </c>
      <c r="O63" t="b">
        <f>AND(Table6[[#This Row],[companyid2]:[Model2]])</f>
        <v>1</v>
      </c>
      <c r="AH63" s="84"/>
    </row>
    <row r="64" spans="1:47" x14ac:dyDescent="0.25">
      <c r="A64">
        <v>57290</v>
      </c>
      <c r="B64" t="s">
        <v>884</v>
      </c>
      <c r="C64" t="s">
        <v>962</v>
      </c>
      <c r="D64" s="38" t="s">
        <v>986</v>
      </c>
      <c r="E64" s="95">
        <v>195949</v>
      </c>
      <c r="F64" t="b">
        <f>IFERROR(Table6[[#This Row],[companyid]]=DropDowns!$N$20,TRUE)</f>
        <v>1</v>
      </c>
      <c r="G64" t="b">
        <f>OR(Worksheet!$D$5="",Worksheet!$D$5=Table6[[#This Row],[categoryname]])</f>
        <v>1</v>
      </c>
      <c r="H64" t="b">
        <f>OR(Worksheet!$D$7="",Worksheet!$D$7=Table6[[#This Row],[Manufacturer]])</f>
        <v>1</v>
      </c>
      <c r="I64" t="b">
        <f>OR(Worksheet!$G$7="",Worksheet!$G$7=Table6[[#This Row],[Model No.]])</f>
        <v>1</v>
      </c>
      <c r="J64" t="b">
        <f>OR(Worksheet!$D$8="",Worksheet!$D$8=Table6[[#This Row],[Serial No.]])</f>
        <v>0</v>
      </c>
      <c r="K64" t="b">
        <f>AND(Table6[[#This Row],[categoryname2]:[SN2]])</f>
        <v>0</v>
      </c>
      <c r="L64" t="b">
        <f>AND(Table6[[#This Row],[companyid2]],Table6[[#This Row],[Manufacturer2]:[SN2]])</f>
        <v>0</v>
      </c>
      <c r="M64" t="b">
        <f>AND(Table6[[#This Row],[companyid2]:[categoryname2]],Table6[[#This Row],[Model2]:[SN2]])</f>
        <v>0</v>
      </c>
      <c r="N64" t="b">
        <f>AND(Table6[[#This Row],[companyid2]:[Manufacturer2]],Table6[[#This Row],[SN2]])</f>
        <v>0</v>
      </c>
      <c r="O64" t="b">
        <f>AND(Table6[[#This Row],[companyid2]:[Model2]])</f>
        <v>1</v>
      </c>
      <c r="AS64" s="30"/>
    </row>
    <row r="65" spans="1:45" x14ac:dyDescent="0.25">
      <c r="A65">
        <v>57298</v>
      </c>
      <c r="B65" t="s">
        <v>884</v>
      </c>
      <c r="C65" t="s">
        <v>846</v>
      </c>
      <c r="D65" s="38" t="s">
        <v>891</v>
      </c>
      <c r="E65" s="95">
        <v>74111</v>
      </c>
      <c r="F65" t="b">
        <f>IFERROR(Table6[[#This Row],[companyid]]=DropDowns!$N$20,TRUE)</f>
        <v>1</v>
      </c>
      <c r="G65" t="b">
        <f>OR(Worksheet!$D$5="",Worksheet!$D$5=Table6[[#This Row],[categoryname]])</f>
        <v>1</v>
      </c>
      <c r="H65" t="b">
        <f>OR(Worksheet!$D$7="",Worksheet!$D$7=Table6[[#This Row],[Manufacturer]])</f>
        <v>1</v>
      </c>
      <c r="I65" t="b">
        <f>OR(Worksheet!$G$7="",Worksheet!$G$7=Table6[[#This Row],[Model No.]])</f>
        <v>1</v>
      </c>
      <c r="J65" t="b">
        <f>OR(Worksheet!$D$8="",Worksheet!$D$8=Table6[[#This Row],[Serial No.]])</f>
        <v>0</v>
      </c>
      <c r="K65" t="b">
        <f>AND(Table6[[#This Row],[categoryname2]:[SN2]])</f>
        <v>0</v>
      </c>
      <c r="L65" t="b">
        <f>AND(Table6[[#This Row],[companyid2]],Table6[[#This Row],[Manufacturer2]:[SN2]])</f>
        <v>0</v>
      </c>
      <c r="M65" t="b">
        <f>AND(Table6[[#This Row],[companyid2]:[categoryname2]],Table6[[#This Row],[Model2]:[SN2]])</f>
        <v>0</v>
      </c>
      <c r="N65" t="b">
        <f>AND(Table6[[#This Row],[companyid2]:[Manufacturer2]],Table6[[#This Row],[SN2]])</f>
        <v>0</v>
      </c>
      <c r="O65" t="b">
        <f>AND(Table6[[#This Row],[companyid2]:[Model2]])</f>
        <v>1</v>
      </c>
      <c r="AS65" s="30"/>
    </row>
    <row r="66" spans="1:45" x14ac:dyDescent="0.25">
      <c r="A66">
        <v>57298</v>
      </c>
      <c r="B66" t="s">
        <v>884</v>
      </c>
      <c r="C66" t="s">
        <v>878</v>
      </c>
      <c r="D66" s="38" t="s">
        <v>1115</v>
      </c>
      <c r="E66" s="95" t="s">
        <v>1114</v>
      </c>
      <c r="F66" t="b">
        <f>IFERROR(Table6[[#This Row],[companyid]]=DropDowns!$N$20,TRUE)</f>
        <v>1</v>
      </c>
      <c r="G66" t="b">
        <f>OR(Worksheet!$D$5="",Worksheet!$D$5=Table6[[#This Row],[categoryname]])</f>
        <v>1</v>
      </c>
      <c r="H66" t="b">
        <f>OR(Worksheet!$D$7="",Worksheet!$D$7=Table6[[#This Row],[Manufacturer]])</f>
        <v>1</v>
      </c>
      <c r="I66" t="b">
        <f>OR(Worksheet!$G$7="",Worksheet!$G$7=Table6[[#This Row],[Model No.]])</f>
        <v>1</v>
      </c>
      <c r="J66" t="b">
        <f>OR(Worksheet!$D$8="",Worksheet!$D$8=Table6[[#This Row],[Serial No.]])</f>
        <v>0</v>
      </c>
      <c r="K66" t="b">
        <f>AND(Table6[[#This Row],[categoryname2]:[SN2]])</f>
        <v>0</v>
      </c>
      <c r="L66" t="b">
        <f>AND(Table6[[#This Row],[companyid2]],Table6[[#This Row],[Manufacturer2]:[SN2]])</f>
        <v>0</v>
      </c>
      <c r="M66" t="b">
        <f>AND(Table6[[#This Row],[companyid2]:[categoryname2]],Table6[[#This Row],[Model2]:[SN2]])</f>
        <v>0</v>
      </c>
      <c r="N66" t="b">
        <f>AND(Table6[[#This Row],[companyid2]:[Manufacturer2]],Table6[[#This Row],[SN2]])</f>
        <v>0</v>
      </c>
      <c r="O66" t="b">
        <f>AND(Table6[[#This Row],[companyid2]:[Model2]])</f>
        <v>1</v>
      </c>
      <c r="AS66" s="30"/>
    </row>
    <row r="67" spans="1:45" x14ac:dyDescent="0.25">
      <c r="A67">
        <v>57298</v>
      </c>
      <c r="B67" t="s">
        <v>884</v>
      </c>
      <c r="C67" t="s">
        <v>878</v>
      </c>
      <c r="D67" s="38" t="s">
        <v>1098</v>
      </c>
      <c r="E67" s="95" t="s">
        <v>1099</v>
      </c>
      <c r="F67" t="b">
        <f>IFERROR(Table6[[#This Row],[companyid]]=DropDowns!$N$20,TRUE)</f>
        <v>1</v>
      </c>
      <c r="G67" t="b">
        <f>OR(Worksheet!$D$5="",Worksheet!$D$5=Table6[[#This Row],[categoryname]])</f>
        <v>1</v>
      </c>
      <c r="H67" t="b">
        <f>OR(Worksheet!$D$7="",Worksheet!$D$7=Table6[[#This Row],[Manufacturer]])</f>
        <v>1</v>
      </c>
      <c r="I67" t="b">
        <f>OR(Worksheet!$G$7="",Worksheet!$G$7=Table6[[#This Row],[Model No.]])</f>
        <v>1</v>
      </c>
      <c r="J67" t="b">
        <f>OR(Worksheet!$D$8="",Worksheet!$D$8=Table6[[#This Row],[Serial No.]])</f>
        <v>0</v>
      </c>
      <c r="K67" t="b">
        <f>AND(Table6[[#This Row],[categoryname2]:[SN2]])</f>
        <v>0</v>
      </c>
      <c r="L67" t="b">
        <f>AND(Table6[[#This Row],[companyid2]],Table6[[#This Row],[Manufacturer2]:[SN2]])</f>
        <v>0</v>
      </c>
      <c r="M67" t="b">
        <f>AND(Table6[[#This Row],[companyid2]:[categoryname2]],Table6[[#This Row],[Model2]:[SN2]])</f>
        <v>0</v>
      </c>
      <c r="N67" t="b">
        <f>AND(Table6[[#This Row],[companyid2]:[Manufacturer2]],Table6[[#This Row],[SN2]])</f>
        <v>0</v>
      </c>
      <c r="O67" t="b">
        <f>AND(Table6[[#This Row],[companyid2]:[Model2]])</f>
        <v>1</v>
      </c>
      <c r="AS67" s="30"/>
    </row>
    <row r="68" spans="1:45" x14ac:dyDescent="0.25">
      <c r="A68">
        <v>57305</v>
      </c>
      <c r="B68" t="s">
        <v>845</v>
      </c>
      <c r="C68" t="s">
        <v>853</v>
      </c>
      <c r="D68" s="38" t="s">
        <v>854</v>
      </c>
      <c r="E68" s="95">
        <v>86086</v>
      </c>
      <c r="F68" t="b">
        <f>IFERROR(Table6[[#This Row],[companyid]]=DropDowns!$N$20,TRUE)</f>
        <v>1</v>
      </c>
      <c r="G68" t="b">
        <f>OR(Worksheet!$D$5="",Worksheet!$D$5=Table6[[#This Row],[categoryname]])</f>
        <v>1</v>
      </c>
      <c r="H68" t="b">
        <f>OR(Worksheet!$D$7="",Worksheet!$D$7=Table6[[#This Row],[Manufacturer]])</f>
        <v>1</v>
      </c>
      <c r="I68" t="b">
        <f>OR(Worksheet!$G$7="",Worksheet!$G$7=Table6[[#This Row],[Model No.]])</f>
        <v>1</v>
      </c>
      <c r="J68" t="b">
        <f>OR(Worksheet!$D$8="",Worksheet!$D$8=Table6[[#This Row],[Serial No.]])</f>
        <v>0</v>
      </c>
      <c r="K68" t="b">
        <f>AND(Table6[[#This Row],[categoryname2]:[SN2]])</f>
        <v>0</v>
      </c>
      <c r="L68" t="b">
        <f>AND(Table6[[#This Row],[companyid2]],Table6[[#This Row],[Manufacturer2]:[SN2]])</f>
        <v>0</v>
      </c>
      <c r="M68" t="b">
        <f>AND(Table6[[#This Row],[companyid2]:[categoryname2]],Table6[[#This Row],[Model2]:[SN2]])</f>
        <v>0</v>
      </c>
      <c r="N68" t="b">
        <f>AND(Table6[[#This Row],[companyid2]:[Manufacturer2]],Table6[[#This Row],[SN2]])</f>
        <v>0</v>
      </c>
      <c r="O68" t="b">
        <f>AND(Table6[[#This Row],[companyid2]:[Model2]])</f>
        <v>1</v>
      </c>
      <c r="AS68" s="30"/>
    </row>
    <row r="69" spans="1:45" x14ac:dyDescent="0.25">
      <c r="A69">
        <v>57305</v>
      </c>
      <c r="B69" t="s">
        <v>884</v>
      </c>
      <c r="C69" t="s">
        <v>952</v>
      </c>
      <c r="D69" s="38" t="s">
        <v>952</v>
      </c>
      <c r="E69" s="95">
        <v>671121</v>
      </c>
      <c r="F69" t="b">
        <f>IFERROR(Table6[[#This Row],[companyid]]=DropDowns!$N$20,TRUE)</f>
        <v>1</v>
      </c>
      <c r="G69" t="b">
        <f>OR(Worksheet!$D$5="",Worksheet!$D$5=Table6[[#This Row],[categoryname]])</f>
        <v>1</v>
      </c>
      <c r="H69" t="b">
        <f>OR(Worksheet!$D$7="",Worksheet!$D$7=Table6[[#This Row],[Manufacturer]])</f>
        <v>1</v>
      </c>
      <c r="I69" t="b">
        <f>OR(Worksheet!$G$7="",Worksheet!$G$7=Table6[[#This Row],[Model No.]])</f>
        <v>1</v>
      </c>
      <c r="J69" t="b">
        <f>OR(Worksheet!$D$8="",Worksheet!$D$8=Table6[[#This Row],[Serial No.]])</f>
        <v>0</v>
      </c>
      <c r="K69" t="b">
        <f>AND(Table6[[#This Row],[categoryname2]:[SN2]])</f>
        <v>0</v>
      </c>
      <c r="L69" t="b">
        <f>AND(Table6[[#This Row],[companyid2]],Table6[[#This Row],[Manufacturer2]:[SN2]])</f>
        <v>0</v>
      </c>
      <c r="M69" t="b">
        <f>AND(Table6[[#This Row],[companyid2]:[categoryname2]],Table6[[#This Row],[Model2]:[SN2]])</f>
        <v>0</v>
      </c>
      <c r="N69" t="b">
        <f>AND(Table6[[#This Row],[companyid2]:[Manufacturer2]],Table6[[#This Row],[SN2]])</f>
        <v>0</v>
      </c>
      <c r="O69" t="b">
        <f>AND(Table6[[#This Row],[companyid2]:[Model2]])</f>
        <v>1</v>
      </c>
    </row>
    <row r="70" spans="1:45" x14ac:dyDescent="0.25">
      <c r="A70">
        <v>57305</v>
      </c>
      <c r="B70" t="s">
        <v>884</v>
      </c>
      <c r="C70" t="s">
        <v>878</v>
      </c>
      <c r="D70" s="38" t="s">
        <v>1070</v>
      </c>
      <c r="E70" s="95" t="s">
        <v>1071</v>
      </c>
      <c r="F70" t="b">
        <f>IFERROR(Table6[[#This Row],[companyid]]=DropDowns!$N$20,TRUE)</f>
        <v>1</v>
      </c>
      <c r="G70" t="b">
        <f>OR(Worksheet!$D$5="",Worksheet!$D$5=Table6[[#This Row],[categoryname]])</f>
        <v>1</v>
      </c>
      <c r="H70" t="b">
        <f>OR(Worksheet!$D$7="",Worksheet!$D$7=Table6[[#This Row],[Manufacturer]])</f>
        <v>1</v>
      </c>
      <c r="I70" t="b">
        <f>OR(Worksheet!$G$7="",Worksheet!$G$7=Table6[[#This Row],[Model No.]])</f>
        <v>1</v>
      </c>
      <c r="J70" t="b">
        <f>OR(Worksheet!$D$8="",Worksheet!$D$8=Table6[[#This Row],[Serial No.]])</f>
        <v>0</v>
      </c>
      <c r="K70" t="b">
        <f>AND(Table6[[#This Row],[categoryname2]:[SN2]])</f>
        <v>0</v>
      </c>
      <c r="L70" t="b">
        <f>AND(Table6[[#This Row],[companyid2]],Table6[[#This Row],[Manufacturer2]:[SN2]])</f>
        <v>0</v>
      </c>
      <c r="M70" t="b">
        <f>AND(Table6[[#This Row],[companyid2]:[categoryname2]],Table6[[#This Row],[Model2]:[SN2]])</f>
        <v>0</v>
      </c>
      <c r="N70" t="b">
        <f>AND(Table6[[#This Row],[companyid2]:[Manufacturer2]],Table6[[#This Row],[SN2]])</f>
        <v>0</v>
      </c>
      <c r="O70" t="b">
        <f>AND(Table6[[#This Row],[companyid2]:[Model2]])</f>
        <v>1</v>
      </c>
      <c r="AH70" s="84"/>
    </row>
    <row r="71" spans="1:45" x14ac:dyDescent="0.25">
      <c r="A71">
        <v>57310</v>
      </c>
      <c r="B71" t="s">
        <v>884</v>
      </c>
      <c r="C71" t="s">
        <v>885</v>
      </c>
      <c r="D71" s="38" t="s">
        <v>879</v>
      </c>
      <c r="E71" s="95">
        <v>1567</v>
      </c>
      <c r="F71" t="b">
        <f>IFERROR(Table6[[#This Row],[companyid]]=DropDowns!$N$20,TRUE)</f>
        <v>1</v>
      </c>
      <c r="G71" t="b">
        <f>OR(Worksheet!$D$5="",Worksheet!$D$5=Table6[[#This Row],[categoryname]])</f>
        <v>1</v>
      </c>
      <c r="H71" t="b">
        <f>OR(Worksheet!$D$7="",Worksheet!$D$7=Table6[[#This Row],[Manufacturer]])</f>
        <v>1</v>
      </c>
      <c r="I71" t="b">
        <f>OR(Worksheet!$G$7="",Worksheet!$G$7=Table6[[#This Row],[Model No.]])</f>
        <v>1</v>
      </c>
      <c r="J71" t="b">
        <f>OR(Worksheet!$D$8="",Worksheet!$D$8=Table6[[#This Row],[Serial No.]])</f>
        <v>0</v>
      </c>
      <c r="K71" t="b">
        <f>AND(Table6[[#This Row],[categoryname2]:[SN2]])</f>
        <v>0</v>
      </c>
      <c r="L71" t="b">
        <f>AND(Table6[[#This Row],[companyid2]],Table6[[#This Row],[Manufacturer2]:[SN2]])</f>
        <v>0</v>
      </c>
      <c r="M71" t="b">
        <f>AND(Table6[[#This Row],[companyid2]:[categoryname2]],Table6[[#This Row],[Model2]:[SN2]])</f>
        <v>0</v>
      </c>
      <c r="N71" t="b">
        <f>AND(Table6[[#This Row],[companyid2]:[Manufacturer2]],Table6[[#This Row],[SN2]])</f>
        <v>0</v>
      </c>
      <c r="O71" t="b">
        <f>AND(Table6[[#This Row],[companyid2]:[Model2]])</f>
        <v>1</v>
      </c>
      <c r="AS71" s="30"/>
    </row>
    <row r="72" spans="1:45" x14ac:dyDescent="0.25">
      <c r="A72">
        <v>57319</v>
      </c>
      <c r="B72" t="s">
        <v>884</v>
      </c>
      <c r="C72" t="s">
        <v>1013</v>
      </c>
      <c r="D72" s="38">
        <v>6814</v>
      </c>
      <c r="E72" s="95" t="s">
        <v>1017</v>
      </c>
      <c r="F72" t="b">
        <f>IFERROR(Table6[[#This Row],[companyid]]=DropDowns!$N$20,TRUE)</f>
        <v>1</v>
      </c>
      <c r="G72" t="b">
        <f>OR(Worksheet!$D$5="",Worksheet!$D$5=Table6[[#This Row],[categoryname]])</f>
        <v>1</v>
      </c>
      <c r="H72" t="b">
        <f>OR(Worksheet!$D$7="",Worksheet!$D$7=Table6[[#This Row],[Manufacturer]])</f>
        <v>1</v>
      </c>
      <c r="I72" t="b">
        <f>OR(Worksheet!$G$7="",Worksheet!$G$7=Table6[[#This Row],[Model No.]])</f>
        <v>1</v>
      </c>
      <c r="J72" t="b">
        <f>OR(Worksheet!$D$8="",Worksheet!$D$8=Table6[[#This Row],[Serial No.]])</f>
        <v>0</v>
      </c>
      <c r="K72" t="b">
        <f>AND(Table6[[#This Row],[categoryname2]:[SN2]])</f>
        <v>0</v>
      </c>
      <c r="L72" t="b">
        <f>AND(Table6[[#This Row],[companyid2]],Table6[[#This Row],[Manufacturer2]:[SN2]])</f>
        <v>0</v>
      </c>
      <c r="M72" t="b">
        <f>AND(Table6[[#This Row],[companyid2]:[categoryname2]],Table6[[#This Row],[Model2]:[SN2]])</f>
        <v>0</v>
      </c>
      <c r="N72" t="b">
        <f>AND(Table6[[#This Row],[companyid2]:[Manufacturer2]],Table6[[#This Row],[SN2]])</f>
        <v>0</v>
      </c>
      <c r="O72" t="b">
        <f>AND(Table6[[#This Row],[companyid2]:[Model2]])</f>
        <v>1</v>
      </c>
      <c r="AH72" s="84"/>
    </row>
    <row r="73" spans="1:45" x14ac:dyDescent="0.25">
      <c r="A73">
        <v>57319</v>
      </c>
      <c r="B73" t="s">
        <v>884</v>
      </c>
      <c r="C73" t="s">
        <v>1013</v>
      </c>
      <c r="D73" s="38">
        <v>6814</v>
      </c>
      <c r="E73" s="95" t="s">
        <v>1018</v>
      </c>
      <c r="F73" t="b">
        <f>IFERROR(Table6[[#This Row],[companyid]]=DropDowns!$N$20,TRUE)</f>
        <v>1</v>
      </c>
      <c r="G73" t="b">
        <f>OR(Worksheet!$D$5="",Worksheet!$D$5=Table6[[#This Row],[categoryname]])</f>
        <v>1</v>
      </c>
      <c r="H73" t="b">
        <f>OR(Worksheet!$D$7="",Worksheet!$D$7=Table6[[#This Row],[Manufacturer]])</f>
        <v>1</v>
      </c>
      <c r="I73" t="b">
        <f>OR(Worksheet!$G$7="",Worksheet!$G$7=Table6[[#This Row],[Model No.]])</f>
        <v>1</v>
      </c>
      <c r="J73" t="b">
        <f>OR(Worksheet!$D$8="",Worksheet!$D$8=Table6[[#This Row],[Serial No.]])</f>
        <v>0</v>
      </c>
      <c r="K73" t="b">
        <f>AND(Table6[[#This Row],[categoryname2]:[SN2]])</f>
        <v>0</v>
      </c>
      <c r="L73" t="b">
        <f>AND(Table6[[#This Row],[companyid2]],Table6[[#This Row],[Manufacturer2]:[SN2]])</f>
        <v>0</v>
      </c>
      <c r="M73" t="b">
        <f>AND(Table6[[#This Row],[companyid2]:[categoryname2]],Table6[[#This Row],[Model2]:[SN2]])</f>
        <v>0</v>
      </c>
      <c r="N73" t="b">
        <f>AND(Table6[[#This Row],[companyid2]:[Manufacturer2]],Table6[[#This Row],[SN2]])</f>
        <v>0</v>
      </c>
      <c r="O73" t="b">
        <f>AND(Table6[[#This Row],[companyid2]:[Model2]])</f>
        <v>1</v>
      </c>
      <c r="AS73" s="30"/>
    </row>
    <row r="74" spans="1:45" x14ac:dyDescent="0.25">
      <c r="A74">
        <v>57319</v>
      </c>
      <c r="B74" t="s">
        <v>884</v>
      </c>
      <c r="C74" t="s">
        <v>878</v>
      </c>
      <c r="D74" s="38" t="s">
        <v>1058</v>
      </c>
      <c r="E74" s="95" t="s">
        <v>1066</v>
      </c>
      <c r="F74" t="b">
        <f>IFERROR(Table6[[#This Row],[companyid]]=DropDowns!$N$20,TRUE)</f>
        <v>1</v>
      </c>
      <c r="G74" t="b">
        <f>OR(Worksheet!$D$5="",Worksheet!$D$5=Table6[[#This Row],[categoryname]])</f>
        <v>1</v>
      </c>
      <c r="H74" t="b">
        <f>OR(Worksheet!$D$7="",Worksheet!$D$7=Table6[[#This Row],[Manufacturer]])</f>
        <v>1</v>
      </c>
      <c r="I74" t="b">
        <f>OR(Worksheet!$G$7="",Worksheet!$G$7=Table6[[#This Row],[Model No.]])</f>
        <v>1</v>
      </c>
      <c r="J74" t="b">
        <f>OR(Worksheet!$D$8="",Worksheet!$D$8=Table6[[#This Row],[Serial No.]])</f>
        <v>0</v>
      </c>
      <c r="K74" t="b">
        <f>AND(Table6[[#This Row],[categoryname2]:[SN2]])</f>
        <v>0</v>
      </c>
      <c r="L74" t="b">
        <f>AND(Table6[[#This Row],[companyid2]],Table6[[#This Row],[Manufacturer2]:[SN2]])</f>
        <v>0</v>
      </c>
      <c r="M74" t="b">
        <f>AND(Table6[[#This Row],[companyid2]:[categoryname2]],Table6[[#This Row],[Model2]:[SN2]])</f>
        <v>0</v>
      </c>
      <c r="N74" t="b">
        <f>AND(Table6[[#This Row],[companyid2]:[Manufacturer2]],Table6[[#This Row],[SN2]])</f>
        <v>0</v>
      </c>
      <c r="O74" t="b">
        <f>AND(Table6[[#This Row],[companyid2]:[Model2]])</f>
        <v>1</v>
      </c>
      <c r="AS74" s="30"/>
    </row>
    <row r="75" spans="1:45" x14ac:dyDescent="0.25">
      <c r="A75">
        <v>57319</v>
      </c>
      <c r="B75" t="s">
        <v>884</v>
      </c>
      <c r="C75" t="s">
        <v>878</v>
      </c>
      <c r="D75" s="38" t="s">
        <v>1080</v>
      </c>
      <c r="E75" s="95" t="s">
        <v>1081</v>
      </c>
      <c r="F75" t="b">
        <f>IFERROR(Table6[[#This Row],[companyid]]=DropDowns!$N$20,TRUE)</f>
        <v>1</v>
      </c>
      <c r="G75" t="b">
        <f>OR(Worksheet!$D$5="",Worksheet!$D$5=Table6[[#This Row],[categoryname]])</f>
        <v>1</v>
      </c>
      <c r="H75" t="b">
        <f>OR(Worksheet!$D$7="",Worksheet!$D$7=Table6[[#This Row],[Manufacturer]])</f>
        <v>1</v>
      </c>
      <c r="I75" t="b">
        <f>OR(Worksheet!$G$7="",Worksheet!$G$7=Table6[[#This Row],[Model No.]])</f>
        <v>1</v>
      </c>
      <c r="J75" t="b">
        <f>OR(Worksheet!$D$8="",Worksheet!$D$8=Table6[[#This Row],[Serial No.]])</f>
        <v>0</v>
      </c>
      <c r="K75" t="b">
        <f>AND(Table6[[#This Row],[categoryname2]:[SN2]])</f>
        <v>0</v>
      </c>
      <c r="L75" t="b">
        <f>AND(Table6[[#This Row],[companyid2]],Table6[[#This Row],[Manufacturer2]:[SN2]])</f>
        <v>0</v>
      </c>
      <c r="M75" t="b">
        <f>AND(Table6[[#This Row],[companyid2]:[categoryname2]],Table6[[#This Row],[Model2]:[SN2]])</f>
        <v>0</v>
      </c>
      <c r="N75" t="b">
        <f>AND(Table6[[#This Row],[companyid2]:[Manufacturer2]],Table6[[#This Row],[SN2]])</f>
        <v>0</v>
      </c>
      <c r="O75" t="b">
        <f>AND(Table6[[#This Row],[companyid2]:[Model2]])</f>
        <v>1</v>
      </c>
      <c r="AS75" s="30"/>
    </row>
    <row r="76" spans="1:45" x14ac:dyDescent="0.25">
      <c r="A76">
        <v>57327</v>
      </c>
      <c r="B76" t="s">
        <v>884</v>
      </c>
      <c r="C76" t="s">
        <v>878</v>
      </c>
      <c r="D76" s="38">
        <v>500</v>
      </c>
      <c r="E76" s="95" t="s">
        <v>1029</v>
      </c>
      <c r="F76" t="b">
        <f>IFERROR(Table6[[#This Row],[companyid]]=DropDowns!$N$20,TRUE)</f>
        <v>1</v>
      </c>
      <c r="G76" t="b">
        <f>OR(Worksheet!$D$5="",Worksheet!$D$5=Table6[[#This Row],[categoryname]])</f>
        <v>1</v>
      </c>
      <c r="H76" t="b">
        <f>OR(Worksheet!$D$7="",Worksheet!$D$7=Table6[[#This Row],[Manufacturer]])</f>
        <v>1</v>
      </c>
      <c r="I76" t="b">
        <f>OR(Worksheet!$G$7="",Worksheet!$G$7=Table6[[#This Row],[Model No.]])</f>
        <v>1</v>
      </c>
      <c r="J76" t="b">
        <f>OR(Worksheet!$D$8="",Worksheet!$D$8=Table6[[#This Row],[Serial No.]])</f>
        <v>0</v>
      </c>
      <c r="K76" t="b">
        <f>AND(Table6[[#This Row],[categoryname2]:[SN2]])</f>
        <v>0</v>
      </c>
      <c r="L76" t="b">
        <f>AND(Table6[[#This Row],[companyid2]],Table6[[#This Row],[Manufacturer2]:[SN2]])</f>
        <v>0</v>
      </c>
      <c r="M76" t="b">
        <f>AND(Table6[[#This Row],[companyid2]:[categoryname2]],Table6[[#This Row],[Model2]:[SN2]])</f>
        <v>0</v>
      </c>
      <c r="N76" t="b">
        <f>AND(Table6[[#This Row],[companyid2]:[Manufacturer2]],Table6[[#This Row],[SN2]])</f>
        <v>0</v>
      </c>
      <c r="O76" t="b">
        <f>AND(Table6[[#This Row],[companyid2]:[Model2]])</f>
        <v>1</v>
      </c>
      <c r="AS76" s="30"/>
    </row>
    <row r="77" spans="1:45" x14ac:dyDescent="0.25">
      <c r="A77">
        <v>57330</v>
      </c>
      <c r="B77" t="s">
        <v>884</v>
      </c>
      <c r="C77" t="s">
        <v>878</v>
      </c>
      <c r="D77" s="38">
        <v>4</v>
      </c>
      <c r="E77" s="95" t="s">
        <v>1028</v>
      </c>
      <c r="F77" t="b">
        <f>IFERROR(Table6[[#This Row],[companyid]]=DropDowns!$N$20,TRUE)</f>
        <v>1</v>
      </c>
      <c r="G77" t="b">
        <f>OR(Worksheet!$D$5="",Worksheet!$D$5=Table6[[#This Row],[categoryname]])</f>
        <v>1</v>
      </c>
      <c r="H77" t="b">
        <f>OR(Worksheet!$D$7="",Worksheet!$D$7=Table6[[#This Row],[Manufacturer]])</f>
        <v>1</v>
      </c>
      <c r="I77" t="b">
        <f>OR(Worksheet!$G$7="",Worksheet!$G$7=Table6[[#This Row],[Model No.]])</f>
        <v>1</v>
      </c>
      <c r="J77" t="b">
        <f>OR(Worksheet!$D$8="",Worksheet!$D$8=Table6[[#This Row],[Serial No.]])</f>
        <v>0</v>
      </c>
      <c r="K77" t="b">
        <f>AND(Table6[[#This Row],[categoryname2]:[SN2]])</f>
        <v>0</v>
      </c>
      <c r="L77" t="b">
        <f>AND(Table6[[#This Row],[companyid2]],Table6[[#This Row],[Manufacturer2]:[SN2]])</f>
        <v>0</v>
      </c>
      <c r="M77" t="b">
        <f>AND(Table6[[#This Row],[companyid2]:[categoryname2]],Table6[[#This Row],[Model2]:[SN2]])</f>
        <v>0</v>
      </c>
      <c r="N77" t="b">
        <f>AND(Table6[[#This Row],[companyid2]:[Manufacturer2]],Table6[[#This Row],[SN2]])</f>
        <v>0</v>
      </c>
      <c r="O77" t="b">
        <f>AND(Table6[[#This Row],[companyid2]:[Model2]])</f>
        <v>1</v>
      </c>
      <c r="AH77" s="84"/>
    </row>
    <row r="78" spans="1:45" x14ac:dyDescent="0.25">
      <c r="A78">
        <v>57330</v>
      </c>
      <c r="B78" t="s">
        <v>884</v>
      </c>
      <c r="C78" t="s">
        <v>878</v>
      </c>
      <c r="D78" s="38" t="s">
        <v>1045</v>
      </c>
      <c r="E78" s="95" t="s">
        <v>1047</v>
      </c>
      <c r="F78" t="b">
        <f>IFERROR(Table6[[#This Row],[companyid]]=DropDowns!$N$20,TRUE)</f>
        <v>1</v>
      </c>
      <c r="G78" t="b">
        <f>OR(Worksheet!$D$5="",Worksheet!$D$5=Table6[[#This Row],[categoryname]])</f>
        <v>1</v>
      </c>
      <c r="H78" t="b">
        <f>OR(Worksheet!$D$7="",Worksheet!$D$7=Table6[[#This Row],[Manufacturer]])</f>
        <v>1</v>
      </c>
      <c r="I78" t="b">
        <f>OR(Worksheet!$G$7="",Worksheet!$G$7=Table6[[#This Row],[Model No.]])</f>
        <v>1</v>
      </c>
      <c r="J78" t="b">
        <f>OR(Worksheet!$D$8="",Worksheet!$D$8=Table6[[#This Row],[Serial No.]])</f>
        <v>0</v>
      </c>
      <c r="K78" t="b">
        <f>AND(Table6[[#This Row],[categoryname2]:[SN2]])</f>
        <v>0</v>
      </c>
      <c r="L78" t="b">
        <f>AND(Table6[[#This Row],[companyid2]],Table6[[#This Row],[Manufacturer2]:[SN2]])</f>
        <v>0</v>
      </c>
      <c r="M78" t="b">
        <f>AND(Table6[[#This Row],[companyid2]:[categoryname2]],Table6[[#This Row],[Model2]:[SN2]])</f>
        <v>0</v>
      </c>
      <c r="N78" t="b">
        <f>AND(Table6[[#This Row],[companyid2]:[Manufacturer2]],Table6[[#This Row],[SN2]])</f>
        <v>0</v>
      </c>
      <c r="O78" t="b">
        <f>AND(Table6[[#This Row],[companyid2]:[Model2]])</f>
        <v>1</v>
      </c>
      <c r="AS78" s="30"/>
    </row>
    <row r="79" spans="1:45" x14ac:dyDescent="0.25">
      <c r="A79">
        <v>57332</v>
      </c>
      <c r="B79" t="s">
        <v>884</v>
      </c>
      <c r="C79" t="s">
        <v>953</v>
      </c>
      <c r="D79" s="38" t="s">
        <v>954</v>
      </c>
      <c r="E79" s="95">
        <v>1831</v>
      </c>
      <c r="F79" t="b">
        <f>IFERROR(Table6[[#This Row],[companyid]]=DropDowns!$N$20,TRUE)</f>
        <v>1</v>
      </c>
      <c r="G79" t="b">
        <f>OR(Worksheet!$D$5="",Worksheet!$D$5=Table6[[#This Row],[categoryname]])</f>
        <v>1</v>
      </c>
      <c r="H79" t="b">
        <f>OR(Worksheet!$D$7="",Worksheet!$D$7=Table6[[#This Row],[Manufacturer]])</f>
        <v>1</v>
      </c>
      <c r="I79" t="b">
        <f>OR(Worksheet!$G$7="",Worksheet!$G$7=Table6[[#This Row],[Model No.]])</f>
        <v>1</v>
      </c>
      <c r="J79" t="b">
        <f>OR(Worksheet!$D$8="",Worksheet!$D$8=Table6[[#This Row],[Serial No.]])</f>
        <v>0</v>
      </c>
      <c r="K79" t="b">
        <f>AND(Table6[[#This Row],[categoryname2]:[SN2]])</f>
        <v>0</v>
      </c>
      <c r="L79" t="b">
        <f>AND(Table6[[#This Row],[companyid2]],Table6[[#This Row],[Manufacturer2]:[SN2]])</f>
        <v>0</v>
      </c>
      <c r="M79" t="b">
        <f>AND(Table6[[#This Row],[companyid2]:[categoryname2]],Table6[[#This Row],[Model2]:[SN2]])</f>
        <v>0</v>
      </c>
      <c r="N79" t="b">
        <f>AND(Table6[[#This Row],[companyid2]:[Manufacturer2]],Table6[[#This Row],[SN2]])</f>
        <v>0</v>
      </c>
      <c r="O79" t="b">
        <f>AND(Table6[[#This Row],[companyid2]:[Model2]])</f>
        <v>1</v>
      </c>
      <c r="AS79" s="30"/>
    </row>
    <row r="80" spans="1:45" x14ac:dyDescent="0.25">
      <c r="A80">
        <v>57332</v>
      </c>
      <c r="B80" t="s">
        <v>884</v>
      </c>
      <c r="C80" t="s">
        <v>878</v>
      </c>
      <c r="D80" s="38" t="s">
        <v>1058</v>
      </c>
      <c r="E80" s="95">
        <v>7549</v>
      </c>
      <c r="F80" t="b">
        <f>IFERROR(Table6[[#This Row],[companyid]]=DropDowns!$N$20,TRUE)</f>
        <v>1</v>
      </c>
      <c r="G80" t="b">
        <f>OR(Worksheet!$D$5="",Worksheet!$D$5=Table6[[#This Row],[categoryname]])</f>
        <v>1</v>
      </c>
      <c r="H80" t="b">
        <f>OR(Worksheet!$D$7="",Worksheet!$D$7=Table6[[#This Row],[Manufacturer]])</f>
        <v>1</v>
      </c>
      <c r="I80" t="b">
        <f>OR(Worksheet!$G$7="",Worksheet!$G$7=Table6[[#This Row],[Model No.]])</f>
        <v>1</v>
      </c>
      <c r="J80" t="b">
        <f>OR(Worksheet!$D$8="",Worksheet!$D$8=Table6[[#This Row],[Serial No.]])</f>
        <v>0</v>
      </c>
      <c r="K80" t="b">
        <f>AND(Table6[[#This Row],[categoryname2]:[SN2]])</f>
        <v>0</v>
      </c>
      <c r="L80" t="b">
        <f>AND(Table6[[#This Row],[companyid2]],Table6[[#This Row],[Manufacturer2]:[SN2]])</f>
        <v>0</v>
      </c>
      <c r="M80" t="b">
        <f>AND(Table6[[#This Row],[companyid2]:[categoryname2]],Table6[[#This Row],[Model2]:[SN2]])</f>
        <v>0</v>
      </c>
      <c r="N80" t="b">
        <f>AND(Table6[[#This Row],[companyid2]:[Manufacturer2]],Table6[[#This Row],[SN2]])</f>
        <v>0</v>
      </c>
      <c r="O80" t="b">
        <f>AND(Table6[[#This Row],[companyid2]:[Model2]])</f>
        <v>1</v>
      </c>
      <c r="AS80" s="30"/>
    </row>
    <row r="81" spans="1:45" x14ac:dyDescent="0.25">
      <c r="A81">
        <v>57332</v>
      </c>
      <c r="B81" t="s">
        <v>884</v>
      </c>
      <c r="C81" t="s">
        <v>878</v>
      </c>
      <c r="D81" s="38" t="s">
        <v>1058</v>
      </c>
      <c r="E81" s="95" t="s">
        <v>1064</v>
      </c>
      <c r="F81" t="b">
        <f>IFERROR(Table6[[#This Row],[companyid]]=DropDowns!$N$20,TRUE)</f>
        <v>1</v>
      </c>
      <c r="G81" t="b">
        <f>OR(Worksheet!$D$5="",Worksheet!$D$5=Table6[[#This Row],[categoryname]])</f>
        <v>1</v>
      </c>
      <c r="H81" t="b">
        <f>OR(Worksheet!$D$7="",Worksheet!$D$7=Table6[[#This Row],[Manufacturer]])</f>
        <v>1</v>
      </c>
      <c r="I81" t="b">
        <f>OR(Worksheet!$G$7="",Worksheet!$G$7=Table6[[#This Row],[Model No.]])</f>
        <v>1</v>
      </c>
      <c r="J81" t="b">
        <f>OR(Worksheet!$D$8="",Worksheet!$D$8=Table6[[#This Row],[Serial No.]])</f>
        <v>0</v>
      </c>
      <c r="K81" t="b">
        <f>AND(Table6[[#This Row],[categoryname2]:[SN2]])</f>
        <v>0</v>
      </c>
      <c r="L81" t="b">
        <f>AND(Table6[[#This Row],[companyid2]],Table6[[#This Row],[Manufacturer2]:[SN2]])</f>
        <v>0</v>
      </c>
      <c r="M81" t="b">
        <f>AND(Table6[[#This Row],[companyid2]:[categoryname2]],Table6[[#This Row],[Model2]:[SN2]])</f>
        <v>0</v>
      </c>
      <c r="N81" t="b">
        <f>AND(Table6[[#This Row],[companyid2]:[Manufacturer2]],Table6[[#This Row],[SN2]])</f>
        <v>0</v>
      </c>
      <c r="O81" t="b">
        <f>AND(Table6[[#This Row],[companyid2]:[Model2]])</f>
        <v>1</v>
      </c>
      <c r="AH81" s="84"/>
    </row>
    <row r="82" spans="1:45" x14ac:dyDescent="0.25">
      <c r="A82">
        <v>57341</v>
      </c>
      <c r="B82" t="s">
        <v>884</v>
      </c>
      <c r="C82" t="s">
        <v>853</v>
      </c>
      <c r="D82" s="38" t="s">
        <v>927</v>
      </c>
      <c r="E82" s="95" t="s">
        <v>928</v>
      </c>
      <c r="F82" t="b">
        <f>IFERROR(Table6[[#This Row],[companyid]]=DropDowns!$N$20,TRUE)</f>
        <v>1</v>
      </c>
      <c r="G82" t="b">
        <f>OR(Worksheet!$D$5="",Worksheet!$D$5=Table6[[#This Row],[categoryname]])</f>
        <v>1</v>
      </c>
      <c r="H82" t="b">
        <f>OR(Worksheet!$D$7="",Worksheet!$D$7=Table6[[#This Row],[Manufacturer]])</f>
        <v>1</v>
      </c>
      <c r="I82" t="b">
        <f>OR(Worksheet!$G$7="",Worksheet!$G$7=Table6[[#This Row],[Model No.]])</f>
        <v>1</v>
      </c>
      <c r="J82" t="b">
        <f>OR(Worksheet!$D$8="",Worksheet!$D$8=Table6[[#This Row],[Serial No.]])</f>
        <v>0</v>
      </c>
      <c r="K82" t="b">
        <f>AND(Table6[[#This Row],[categoryname2]:[SN2]])</f>
        <v>0</v>
      </c>
      <c r="L82" t="b">
        <f>AND(Table6[[#This Row],[companyid2]],Table6[[#This Row],[Manufacturer2]:[SN2]])</f>
        <v>0</v>
      </c>
      <c r="M82" t="b">
        <f>AND(Table6[[#This Row],[companyid2]:[categoryname2]],Table6[[#This Row],[Model2]:[SN2]])</f>
        <v>0</v>
      </c>
      <c r="N82" t="b">
        <f>AND(Table6[[#This Row],[companyid2]:[Manufacturer2]],Table6[[#This Row],[SN2]])</f>
        <v>0</v>
      </c>
      <c r="O82" t="b">
        <f>AND(Table6[[#This Row],[companyid2]:[Model2]])</f>
        <v>1</v>
      </c>
      <c r="AH82" s="84"/>
      <c r="AS82" s="30"/>
    </row>
    <row r="83" spans="1:45" x14ac:dyDescent="0.25">
      <c r="A83">
        <v>57344</v>
      </c>
      <c r="B83" t="s">
        <v>884</v>
      </c>
      <c r="C83" t="s">
        <v>853</v>
      </c>
      <c r="D83" s="38" t="s">
        <v>901</v>
      </c>
      <c r="E83" s="95">
        <v>7313</v>
      </c>
      <c r="F83" t="b">
        <f>IFERROR(Table6[[#This Row],[companyid]]=DropDowns!$N$20,TRUE)</f>
        <v>1</v>
      </c>
      <c r="G83" t="b">
        <f>OR(Worksheet!$D$5="",Worksheet!$D$5=Table6[[#This Row],[categoryname]])</f>
        <v>1</v>
      </c>
      <c r="H83" t="b">
        <f>OR(Worksheet!$D$7="",Worksheet!$D$7=Table6[[#This Row],[Manufacturer]])</f>
        <v>1</v>
      </c>
      <c r="I83" t="b">
        <f>OR(Worksheet!$G$7="",Worksheet!$G$7=Table6[[#This Row],[Model No.]])</f>
        <v>1</v>
      </c>
      <c r="J83" t="b">
        <f>OR(Worksheet!$D$8="",Worksheet!$D$8=Table6[[#This Row],[Serial No.]])</f>
        <v>0</v>
      </c>
      <c r="K83" t="b">
        <f>AND(Table6[[#This Row],[categoryname2]:[SN2]])</f>
        <v>0</v>
      </c>
      <c r="L83" t="b">
        <f>AND(Table6[[#This Row],[companyid2]],Table6[[#This Row],[Manufacturer2]:[SN2]])</f>
        <v>0</v>
      </c>
      <c r="M83" t="b">
        <f>AND(Table6[[#This Row],[companyid2]:[categoryname2]],Table6[[#This Row],[Model2]:[SN2]])</f>
        <v>0</v>
      </c>
      <c r="N83" t="b">
        <f>AND(Table6[[#This Row],[companyid2]:[Manufacturer2]],Table6[[#This Row],[SN2]])</f>
        <v>0</v>
      </c>
      <c r="O83" t="b">
        <f>AND(Table6[[#This Row],[companyid2]:[Model2]])</f>
        <v>1</v>
      </c>
      <c r="AS83" s="30"/>
    </row>
    <row r="84" spans="1:45" x14ac:dyDescent="0.25">
      <c r="A84">
        <v>57358</v>
      </c>
      <c r="B84" t="s">
        <v>884</v>
      </c>
      <c r="C84" t="s">
        <v>878</v>
      </c>
      <c r="D84" s="38" t="s">
        <v>1094</v>
      </c>
      <c r="E84" s="95" t="s">
        <v>1095</v>
      </c>
      <c r="F84" t="b">
        <f>IFERROR(Table6[[#This Row],[companyid]]=DropDowns!$N$20,TRUE)</f>
        <v>1</v>
      </c>
      <c r="G84" t="b">
        <f>OR(Worksheet!$D$5="",Worksheet!$D$5=Table6[[#This Row],[categoryname]])</f>
        <v>1</v>
      </c>
      <c r="H84" t="b">
        <f>OR(Worksheet!$D$7="",Worksheet!$D$7=Table6[[#This Row],[Manufacturer]])</f>
        <v>1</v>
      </c>
      <c r="I84" t="b">
        <f>OR(Worksheet!$G$7="",Worksheet!$G$7=Table6[[#This Row],[Model No.]])</f>
        <v>1</v>
      </c>
      <c r="J84" t="b">
        <f>OR(Worksheet!$D$8="",Worksheet!$D$8=Table6[[#This Row],[Serial No.]])</f>
        <v>0</v>
      </c>
      <c r="K84" t="b">
        <f>AND(Table6[[#This Row],[categoryname2]:[SN2]])</f>
        <v>0</v>
      </c>
      <c r="L84" t="b">
        <f>AND(Table6[[#This Row],[companyid2]],Table6[[#This Row],[Manufacturer2]:[SN2]])</f>
        <v>0</v>
      </c>
      <c r="M84" t="b">
        <f>AND(Table6[[#This Row],[companyid2]:[categoryname2]],Table6[[#This Row],[Model2]:[SN2]])</f>
        <v>0</v>
      </c>
      <c r="N84" t="b">
        <f>AND(Table6[[#This Row],[companyid2]:[Manufacturer2]],Table6[[#This Row],[SN2]])</f>
        <v>0</v>
      </c>
      <c r="O84" t="b">
        <f>AND(Table6[[#This Row],[companyid2]:[Model2]])</f>
        <v>1</v>
      </c>
      <c r="AS84" s="30"/>
    </row>
    <row r="85" spans="1:45" x14ac:dyDescent="0.25">
      <c r="A85">
        <v>57382</v>
      </c>
      <c r="B85" t="s">
        <v>884</v>
      </c>
      <c r="C85" t="s">
        <v>853</v>
      </c>
      <c r="D85" s="38" t="s">
        <v>917</v>
      </c>
      <c r="E85" s="95">
        <v>5218</v>
      </c>
      <c r="F85" t="b">
        <f>IFERROR(Table6[[#This Row],[companyid]]=DropDowns!$N$20,TRUE)</f>
        <v>1</v>
      </c>
      <c r="G85" t="b">
        <f>OR(Worksheet!$D$5="",Worksheet!$D$5=Table6[[#This Row],[categoryname]])</f>
        <v>1</v>
      </c>
      <c r="H85" t="b">
        <f>OR(Worksheet!$D$7="",Worksheet!$D$7=Table6[[#This Row],[Manufacturer]])</f>
        <v>1</v>
      </c>
      <c r="I85" t="b">
        <f>OR(Worksheet!$G$7="",Worksheet!$G$7=Table6[[#This Row],[Model No.]])</f>
        <v>1</v>
      </c>
      <c r="J85" t="b">
        <f>OR(Worksheet!$D$8="",Worksheet!$D$8=Table6[[#This Row],[Serial No.]])</f>
        <v>0</v>
      </c>
      <c r="K85" t="b">
        <f>AND(Table6[[#This Row],[categoryname2]:[SN2]])</f>
        <v>0</v>
      </c>
      <c r="L85" t="b">
        <f>AND(Table6[[#This Row],[companyid2]],Table6[[#This Row],[Manufacturer2]:[SN2]])</f>
        <v>0</v>
      </c>
      <c r="M85" t="b">
        <f>AND(Table6[[#This Row],[companyid2]:[categoryname2]],Table6[[#This Row],[Model2]:[SN2]])</f>
        <v>0</v>
      </c>
      <c r="N85" t="b">
        <f>AND(Table6[[#This Row],[companyid2]:[Manufacturer2]],Table6[[#This Row],[SN2]])</f>
        <v>0</v>
      </c>
      <c r="O85" t="b">
        <f>AND(Table6[[#This Row],[companyid2]:[Model2]])</f>
        <v>1</v>
      </c>
      <c r="AS85" s="30"/>
    </row>
    <row r="86" spans="1:45" x14ac:dyDescent="0.25">
      <c r="A86">
        <v>57408</v>
      </c>
      <c r="B86" t="s">
        <v>884</v>
      </c>
      <c r="C86" t="s">
        <v>991</v>
      </c>
      <c r="D86" s="38" t="s">
        <v>992</v>
      </c>
      <c r="E86" s="95">
        <v>1664</v>
      </c>
      <c r="F86" t="b">
        <f>IFERROR(Table6[[#This Row],[companyid]]=DropDowns!$N$20,TRUE)</f>
        <v>1</v>
      </c>
      <c r="G86" t="b">
        <f>OR(Worksheet!$D$5="",Worksheet!$D$5=Table6[[#This Row],[categoryname]])</f>
        <v>1</v>
      </c>
      <c r="H86" t="b">
        <f>OR(Worksheet!$D$7="",Worksheet!$D$7=Table6[[#This Row],[Manufacturer]])</f>
        <v>1</v>
      </c>
      <c r="I86" t="b">
        <f>OR(Worksheet!$G$7="",Worksheet!$G$7=Table6[[#This Row],[Model No.]])</f>
        <v>1</v>
      </c>
      <c r="J86" t="b">
        <f>OR(Worksheet!$D$8="",Worksheet!$D$8=Table6[[#This Row],[Serial No.]])</f>
        <v>0</v>
      </c>
      <c r="K86" t="b">
        <f>AND(Table6[[#This Row],[categoryname2]:[SN2]])</f>
        <v>0</v>
      </c>
      <c r="L86" t="b">
        <f>AND(Table6[[#This Row],[companyid2]],Table6[[#This Row],[Manufacturer2]:[SN2]])</f>
        <v>0</v>
      </c>
      <c r="M86" t="b">
        <f>AND(Table6[[#This Row],[companyid2]:[categoryname2]],Table6[[#This Row],[Model2]:[SN2]])</f>
        <v>0</v>
      </c>
      <c r="N86" t="b">
        <f>AND(Table6[[#This Row],[companyid2]:[Manufacturer2]],Table6[[#This Row],[SN2]])</f>
        <v>0</v>
      </c>
      <c r="O86" t="b">
        <f>AND(Table6[[#This Row],[companyid2]:[Model2]])</f>
        <v>1</v>
      </c>
      <c r="AS86" s="30"/>
    </row>
    <row r="87" spans="1:45" x14ac:dyDescent="0.25">
      <c r="A87">
        <v>57410</v>
      </c>
      <c r="B87" t="s">
        <v>884</v>
      </c>
      <c r="C87" t="s">
        <v>878</v>
      </c>
      <c r="D87" s="38" t="s">
        <v>1098</v>
      </c>
      <c r="E87" s="95" t="s">
        <v>1100</v>
      </c>
      <c r="F87" t="b">
        <f>IFERROR(Table6[[#This Row],[companyid]]=DropDowns!$N$20,TRUE)</f>
        <v>1</v>
      </c>
      <c r="G87" t="b">
        <f>OR(Worksheet!$D$5="",Worksheet!$D$5=Table6[[#This Row],[categoryname]])</f>
        <v>1</v>
      </c>
      <c r="H87" t="b">
        <f>OR(Worksheet!$D$7="",Worksheet!$D$7=Table6[[#This Row],[Manufacturer]])</f>
        <v>1</v>
      </c>
      <c r="I87" t="b">
        <f>OR(Worksheet!$G$7="",Worksheet!$G$7=Table6[[#This Row],[Model No.]])</f>
        <v>1</v>
      </c>
      <c r="J87" t="b">
        <f>OR(Worksheet!$D$8="",Worksheet!$D$8=Table6[[#This Row],[Serial No.]])</f>
        <v>0</v>
      </c>
      <c r="K87" t="b">
        <f>AND(Table6[[#This Row],[categoryname2]:[SN2]])</f>
        <v>0</v>
      </c>
      <c r="L87" t="b">
        <f>AND(Table6[[#This Row],[companyid2]],Table6[[#This Row],[Manufacturer2]:[SN2]])</f>
        <v>0</v>
      </c>
      <c r="M87" t="b">
        <f>AND(Table6[[#This Row],[companyid2]:[categoryname2]],Table6[[#This Row],[Model2]:[SN2]])</f>
        <v>0</v>
      </c>
      <c r="N87" t="b">
        <f>AND(Table6[[#This Row],[companyid2]:[Manufacturer2]],Table6[[#This Row],[SN2]])</f>
        <v>0</v>
      </c>
      <c r="O87" t="b">
        <f>AND(Table6[[#This Row],[companyid2]:[Model2]])</f>
        <v>1</v>
      </c>
      <c r="AS87" s="30"/>
    </row>
    <row r="88" spans="1:45" x14ac:dyDescent="0.25">
      <c r="A88">
        <v>57416</v>
      </c>
      <c r="B88" t="s">
        <v>884</v>
      </c>
      <c r="C88" t="s">
        <v>884</v>
      </c>
      <c r="D88" s="38" t="s">
        <v>879</v>
      </c>
      <c r="E88" s="95" t="s">
        <v>1005</v>
      </c>
      <c r="F88" t="b">
        <f>IFERROR(Table6[[#This Row],[companyid]]=DropDowns!$N$20,TRUE)</f>
        <v>1</v>
      </c>
      <c r="G88" t="b">
        <f>OR(Worksheet!$D$5="",Worksheet!$D$5=Table6[[#This Row],[categoryname]])</f>
        <v>1</v>
      </c>
      <c r="H88" t="b">
        <f>OR(Worksheet!$D$7="",Worksheet!$D$7=Table6[[#This Row],[Manufacturer]])</f>
        <v>1</v>
      </c>
      <c r="I88" t="b">
        <f>OR(Worksheet!$G$7="",Worksheet!$G$7=Table6[[#This Row],[Model No.]])</f>
        <v>1</v>
      </c>
      <c r="J88" t="b">
        <f>OR(Worksheet!$D$8="",Worksheet!$D$8=Table6[[#This Row],[Serial No.]])</f>
        <v>0</v>
      </c>
      <c r="K88" t="b">
        <f>AND(Table6[[#This Row],[categoryname2]:[SN2]])</f>
        <v>0</v>
      </c>
      <c r="L88" t="b">
        <f>AND(Table6[[#This Row],[companyid2]],Table6[[#This Row],[Manufacturer2]:[SN2]])</f>
        <v>0</v>
      </c>
      <c r="M88" t="b">
        <f>AND(Table6[[#This Row],[companyid2]:[categoryname2]],Table6[[#This Row],[Model2]:[SN2]])</f>
        <v>0</v>
      </c>
      <c r="N88" t="b">
        <f>AND(Table6[[#This Row],[companyid2]:[Manufacturer2]],Table6[[#This Row],[SN2]])</f>
        <v>0</v>
      </c>
      <c r="O88" t="b">
        <f>AND(Table6[[#This Row],[companyid2]:[Model2]])</f>
        <v>1</v>
      </c>
      <c r="AS88" s="30"/>
    </row>
    <row r="89" spans="1:45" x14ac:dyDescent="0.25">
      <c r="A89">
        <v>57416</v>
      </c>
      <c r="B89" t="s">
        <v>884</v>
      </c>
      <c r="C89" t="s">
        <v>1009</v>
      </c>
      <c r="D89" s="38" t="s">
        <v>951</v>
      </c>
      <c r="E89" s="95" t="s">
        <v>1010</v>
      </c>
      <c r="F89" t="b">
        <f>IFERROR(Table6[[#This Row],[companyid]]=DropDowns!$N$20,TRUE)</f>
        <v>1</v>
      </c>
      <c r="G89" t="b">
        <f>OR(Worksheet!$D$5="",Worksheet!$D$5=Table6[[#This Row],[categoryname]])</f>
        <v>1</v>
      </c>
      <c r="H89" t="b">
        <f>OR(Worksheet!$D$7="",Worksheet!$D$7=Table6[[#This Row],[Manufacturer]])</f>
        <v>1</v>
      </c>
      <c r="I89" t="b">
        <f>OR(Worksheet!$G$7="",Worksheet!$G$7=Table6[[#This Row],[Model No.]])</f>
        <v>1</v>
      </c>
      <c r="J89" t="b">
        <f>OR(Worksheet!$D$8="",Worksheet!$D$8=Table6[[#This Row],[Serial No.]])</f>
        <v>0</v>
      </c>
      <c r="K89" t="b">
        <f>AND(Table6[[#This Row],[categoryname2]:[SN2]])</f>
        <v>0</v>
      </c>
      <c r="L89" t="b">
        <f>AND(Table6[[#This Row],[companyid2]],Table6[[#This Row],[Manufacturer2]:[SN2]])</f>
        <v>0</v>
      </c>
      <c r="M89" t="b">
        <f>AND(Table6[[#This Row],[companyid2]:[categoryname2]],Table6[[#This Row],[Model2]:[SN2]])</f>
        <v>0</v>
      </c>
      <c r="N89" t="b">
        <f>AND(Table6[[#This Row],[companyid2]:[Manufacturer2]],Table6[[#This Row],[SN2]])</f>
        <v>0</v>
      </c>
      <c r="O89" t="b">
        <f>AND(Table6[[#This Row],[companyid2]:[Model2]])</f>
        <v>1</v>
      </c>
      <c r="AS89" s="30"/>
    </row>
    <row r="90" spans="1:45" x14ac:dyDescent="0.25">
      <c r="A90">
        <v>57421</v>
      </c>
      <c r="B90" t="s">
        <v>845</v>
      </c>
      <c r="C90" t="s">
        <v>853</v>
      </c>
      <c r="D90" s="38" t="s">
        <v>854</v>
      </c>
      <c r="E90" s="95">
        <v>14326</v>
      </c>
      <c r="F90" t="b">
        <f>IFERROR(Table6[[#This Row],[companyid]]=DropDowns!$N$20,TRUE)</f>
        <v>1</v>
      </c>
      <c r="G90" t="b">
        <f>OR(Worksheet!$D$5="",Worksheet!$D$5=Table6[[#This Row],[categoryname]])</f>
        <v>1</v>
      </c>
      <c r="H90" t="b">
        <f>OR(Worksheet!$D$7="",Worksheet!$D$7=Table6[[#This Row],[Manufacturer]])</f>
        <v>1</v>
      </c>
      <c r="I90" t="b">
        <f>OR(Worksheet!$G$7="",Worksheet!$G$7=Table6[[#This Row],[Model No.]])</f>
        <v>1</v>
      </c>
      <c r="J90" t="b">
        <f>OR(Worksheet!$D$8="",Worksheet!$D$8=Table6[[#This Row],[Serial No.]])</f>
        <v>0</v>
      </c>
      <c r="K90" t="b">
        <f>AND(Table6[[#This Row],[categoryname2]:[SN2]])</f>
        <v>0</v>
      </c>
      <c r="L90" t="b">
        <f>AND(Table6[[#This Row],[companyid2]],Table6[[#This Row],[Manufacturer2]:[SN2]])</f>
        <v>0</v>
      </c>
      <c r="M90" t="b">
        <f>AND(Table6[[#This Row],[companyid2]:[categoryname2]],Table6[[#This Row],[Model2]:[SN2]])</f>
        <v>0</v>
      </c>
      <c r="N90" t="b">
        <f>AND(Table6[[#This Row],[companyid2]:[Manufacturer2]],Table6[[#This Row],[SN2]])</f>
        <v>0</v>
      </c>
      <c r="O90" t="b">
        <f>AND(Table6[[#This Row],[companyid2]:[Model2]])</f>
        <v>1</v>
      </c>
      <c r="AS90" s="30"/>
    </row>
    <row r="91" spans="1:45" x14ac:dyDescent="0.25">
      <c r="A91">
        <v>57421</v>
      </c>
      <c r="B91" t="s">
        <v>845</v>
      </c>
      <c r="C91" t="s">
        <v>853</v>
      </c>
      <c r="D91" s="38" t="s">
        <v>854</v>
      </c>
      <c r="E91" s="95">
        <v>17527</v>
      </c>
      <c r="F91" t="b">
        <f>IFERROR(Table6[[#This Row],[companyid]]=DropDowns!$N$20,TRUE)</f>
        <v>1</v>
      </c>
      <c r="G91" t="b">
        <f>OR(Worksheet!$D$5="",Worksheet!$D$5=Table6[[#This Row],[categoryname]])</f>
        <v>1</v>
      </c>
      <c r="H91" t="b">
        <f>OR(Worksheet!$D$7="",Worksheet!$D$7=Table6[[#This Row],[Manufacturer]])</f>
        <v>1</v>
      </c>
      <c r="I91" t="b">
        <f>OR(Worksheet!$G$7="",Worksheet!$G$7=Table6[[#This Row],[Model No.]])</f>
        <v>1</v>
      </c>
      <c r="J91" t="b">
        <f>OR(Worksheet!$D$8="",Worksheet!$D$8=Table6[[#This Row],[Serial No.]])</f>
        <v>0</v>
      </c>
      <c r="K91" t="b">
        <f>AND(Table6[[#This Row],[categoryname2]:[SN2]])</f>
        <v>0</v>
      </c>
      <c r="L91" t="b">
        <f>AND(Table6[[#This Row],[companyid2]],Table6[[#This Row],[Manufacturer2]:[SN2]])</f>
        <v>0</v>
      </c>
      <c r="M91" t="b">
        <f>AND(Table6[[#This Row],[companyid2]:[categoryname2]],Table6[[#This Row],[Model2]:[SN2]])</f>
        <v>0</v>
      </c>
      <c r="N91" t="b">
        <f>AND(Table6[[#This Row],[companyid2]:[Manufacturer2]],Table6[[#This Row],[SN2]])</f>
        <v>0</v>
      </c>
      <c r="O91" t="b">
        <f>AND(Table6[[#This Row],[companyid2]:[Model2]])</f>
        <v>1</v>
      </c>
      <c r="AS91" s="30"/>
    </row>
    <row r="92" spans="1:45" x14ac:dyDescent="0.25">
      <c r="A92">
        <v>57421</v>
      </c>
      <c r="B92" t="s">
        <v>884</v>
      </c>
      <c r="C92" t="s">
        <v>898</v>
      </c>
      <c r="D92" s="38" t="s">
        <v>879</v>
      </c>
      <c r="E92" s="95" t="s">
        <v>899</v>
      </c>
      <c r="F92" t="b">
        <f>IFERROR(Table6[[#This Row],[companyid]]=DropDowns!$N$20,TRUE)</f>
        <v>1</v>
      </c>
      <c r="G92" t="b">
        <f>OR(Worksheet!$D$5="",Worksheet!$D$5=Table6[[#This Row],[categoryname]])</f>
        <v>1</v>
      </c>
      <c r="H92" t="b">
        <f>OR(Worksheet!$D$7="",Worksheet!$D$7=Table6[[#This Row],[Manufacturer]])</f>
        <v>1</v>
      </c>
      <c r="I92" t="b">
        <f>OR(Worksheet!$G$7="",Worksheet!$G$7=Table6[[#This Row],[Model No.]])</f>
        <v>1</v>
      </c>
      <c r="J92" t="b">
        <f>OR(Worksheet!$D$8="",Worksheet!$D$8=Table6[[#This Row],[Serial No.]])</f>
        <v>0</v>
      </c>
      <c r="K92" t="b">
        <f>AND(Table6[[#This Row],[categoryname2]:[SN2]])</f>
        <v>0</v>
      </c>
      <c r="L92" t="b">
        <f>AND(Table6[[#This Row],[companyid2]],Table6[[#This Row],[Manufacturer2]:[SN2]])</f>
        <v>0</v>
      </c>
      <c r="M92" t="b">
        <f>AND(Table6[[#This Row],[companyid2]:[categoryname2]],Table6[[#This Row],[Model2]:[SN2]])</f>
        <v>0</v>
      </c>
      <c r="N92" t="b">
        <f>AND(Table6[[#This Row],[companyid2]:[Manufacturer2]],Table6[[#This Row],[SN2]])</f>
        <v>0</v>
      </c>
      <c r="O92" t="b">
        <f>AND(Table6[[#This Row],[companyid2]:[Model2]])</f>
        <v>1</v>
      </c>
      <c r="AS92" s="30"/>
    </row>
    <row r="93" spans="1:45" x14ac:dyDescent="0.25">
      <c r="A93">
        <v>57421</v>
      </c>
      <c r="B93" t="s">
        <v>884</v>
      </c>
      <c r="C93" t="s">
        <v>878</v>
      </c>
      <c r="D93" s="38" t="s">
        <v>1054</v>
      </c>
      <c r="E93" s="95" t="s">
        <v>1055</v>
      </c>
      <c r="F93" t="b">
        <f>IFERROR(Table6[[#This Row],[companyid]]=DropDowns!$N$20,TRUE)</f>
        <v>1</v>
      </c>
      <c r="G93" t="b">
        <f>OR(Worksheet!$D$5="",Worksheet!$D$5=Table6[[#This Row],[categoryname]])</f>
        <v>1</v>
      </c>
      <c r="H93" t="b">
        <f>OR(Worksheet!$D$7="",Worksheet!$D$7=Table6[[#This Row],[Manufacturer]])</f>
        <v>1</v>
      </c>
      <c r="I93" t="b">
        <f>OR(Worksheet!$G$7="",Worksheet!$G$7=Table6[[#This Row],[Model No.]])</f>
        <v>1</v>
      </c>
      <c r="J93" t="b">
        <f>OR(Worksheet!$D$8="",Worksheet!$D$8=Table6[[#This Row],[Serial No.]])</f>
        <v>0</v>
      </c>
      <c r="K93" t="b">
        <f>AND(Table6[[#This Row],[categoryname2]:[SN2]])</f>
        <v>0</v>
      </c>
      <c r="L93" t="b">
        <f>AND(Table6[[#This Row],[companyid2]],Table6[[#This Row],[Manufacturer2]:[SN2]])</f>
        <v>0</v>
      </c>
      <c r="M93" t="b">
        <f>AND(Table6[[#This Row],[companyid2]:[categoryname2]],Table6[[#This Row],[Model2]:[SN2]])</f>
        <v>0</v>
      </c>
      <c r="N93" t="b">
        <f>AND(Table6[[#This Row],[companyid2]:[Manufacturer2]],Table6[[#This Row],[SN2]])</f>
        <v>0</v>
      </c>
      <c r="O93" t="b">
        <f>AND(Table6[[#This Row],[companyid2]:[Model2]])</f>
        <v>1</v>
      </c>
      <c r="AS93" s="30"/>
    </row>
    <row r="94" spans="1:45" x14ac:dyDescent="0.25">
      <c r="A94">
        <v>57431</v>
      </c>
      <c r="B94" t="s">
        <v>884</v>
      </c>
      <c r="C94" t="s">
        <v>878</v>
      </c>
      <c r="D94" s="38" t="s">
        <v>879</v>
      </c>
      <c r="E94" s="95" t="s">
        <v>1091</v>
      </c>
      <c r="F94" t="b">
        <f>IFERROR(Table6[[#This Row],[companyid]]=DropDowns!$N$20,TRUE)</f>
        <v>1</v>
      </c>
      <c r="G94" t="b">
        <f>OR(Worksheet!$D$5="",Worksheet!$D$5=Table6[[#This Row],[categoryname]])</f>
        <v>1</v>
      </c>
      <c r="H94" t="b">
        <f>OR(Worksheet!$D$7="",Worksheet!$D$7=Table6[[#This Row],[Manufacturer]])</f>
        <v>1</v>
      </c>
      <c r="I94" t="b">
        <f>OR(Worksheet!$G$7="",Worksheet!$G$7=Table6[[#This Row],[Model No.]])</f>
        <v>1</v>
      </c>
      <c r="J94" t="b">
        <f>OR(Worksheet!$D$8="",Worksheet!$D$8=Table6[[#This Row],[Serial No.]])</f>
        <v>0</v>
      </c>
      <c r="K94" t="b">
        <f>AND(Table6[[#This Row],[categoryname2]:[SN2]])</f>
        <v>0</v>
      </c>
      <c r="L94" t="b">
        <f>AND(Table6[[#This Row],[companyid2]],Table6[[#This Row],[Manufacturer2]:[SN2]])</f>
        <v>0</v>
      </c>
      <c r="M94" t="b">
        <f>AND(Table6[[#This Row],[companyid2]:[categoryname2]],Table6[[#This Row],[Model2]:[SN2]])</f>
        <v>0</v>
      </c>
      <c r="N94" t="b">
        <f>AND(Table6[[#This Row],[companyid2]:[Manufacturer2]],Table6[[#This Row],[SN2]])</f>
        <v>0</v>
      </c>
      <c r="O94" t="b">
        <f>AND(Table6[[#This Row],[companyid2]:[Model2]])</f>
        <v>1</v>
      </c>
      <c r="AS94" s="30"/>
    </row>
    <row r="95" spans="1:45" x14ac:dyDescent="0.25">
      <c r="A95">
        <v>57433</v>
      </c>
      <c r="B95" t="s">
        <v>884</v>
      </c>
      <c r="C95" t="s">
        <v>878</v>
      </c>
      <c r="D95" s="38" t="s">
        <v>1086</v>
      </c>
      <c r="E95" s="95">
        <v>97352503</v>
      </c>
      <c r="F95" t="b">
        <f>IFERROR(Table6[[#This Row],[companyid]]=DropDowns!$N$20,TRUE)</f>
        <v>1</v>
      </c>
      <c r="G95" t="b">
        <f>OR(Worksheet!$D$5="",Worksheet!$D$5=Table6[[#This Row],[categoryname]])</f>
        <v>1</v>
      </c>
      <c r="H95" t="b">
        <f>OR(Worksheet!$D$7="",Worksheet!$D$7=Table6[[#This Row],[Manufacturer]])</f>
        <v>1</v>
      </c>
      <c r="I95" t="b">
        <f>OR(Worksheet!$G$7="",Worksheet!$G$7=Table6[[#This Row],[Model No.]])</f>
        <v>1</v>
      </c>
      <c r="J95" t="b">
        <f>OR(Worksheet!$D$8="",Worksheet!$D$8=Table6[[#This Row],[Serial No.]])</f>
        <v>0</v>
      </c>
      <c r="K95" t="b">
        <f>AND(Table6[[#This Row],[categoryname2]:[SN2]])</f>
        <v>0</v>
      </c>
      <c r="L95" t="b">
        <f>AND(Table6[[#This Row],[companyid2]],Table6[[#This Row],[Manufacturer2]:[SN2]])</f>
        <v>0</v>
      </c>
      <c r="M95" t="b">
        <f>AND(Table6[[#This Row],[companyid2]:[categoryname2]],Table6[[#This Row],[Model2]:[SN2]])</f>
        <v>0</v>
      </c>
      <c r="N95" t="b">
        <f>AND(Table6[[#This Row],[companyid2]:[Manufacturer2]],Table6[[#This Row],[SN2]])</f>
        <v>0</v>
      </c>
      <c r="O95" t="b">
        <f>AND(Table6[[#This Row],[companyid2]:[Model2]])</f>
        <v>1</v>
      </c>
      <c r="AS95" s="30"/>
    </row>
    <row r="96" spans="1:45" x14ac:dyDescent="0.25">
      <c r="A96">
        <v>57437</v>
      </c>
      <c r="B96" t="s">
        <v>884</v>
      </c>
      <c r="C96" t="s">
        <v>878</v>
      </c>
      <c r="D96" s="38" t="s">
        <v>901</v>
      </c>
      <c r="E96" s="95">
        <v>9287</v>
      </c>
      <c r="F96" t="b">
        <f>IFERROR(Table6[[#This Row],[companyid]]=DropDowns!$N$20,TRUE)</f>
        <v>1</v>
      </c>
      <c r="G96" t="b">
        <f>OR(Worksheet!$D$5="",Worksheet!$D$5=Table6[[#This Row],[categoryname]])</f>
        <v>1</v>
      </c>
      <c r="H96" t="b">
        <f>OR(Worksheet!$D$7="",Worksheet!$D$7=Table6[[#This Row],[Manufacturer]])</f>
        <v>1</v>
      </c>
      <c r="I96" t="b">
        <f>OR(Worksheet!$G$7="",Worksheet!$G$7=Table6[[#This Row],[Model No.]])</f>
        <v>1</v>
      </c>
      <c r="J96" t="b">
        <f>OR(Worksheet!$D$8="",Worksheet!$D$8=Table6[[#This Row],[Serial No.]])</f>
        <v>0</v>
      </c>
      <c r="K96" t="b">
        <f>AND(Table6[[#This Row],[categoryname2]:[SN2]])</f>
        <v>0</v>
      </c>
      <c r="L96" t="b">
        <f>AND(Table6[[#This Row],[companyid2]],Table6[[#This Row],[Manufacturer2]:[SN2]])</f>
        <v>0</v>
      </c>
      <c r="M96" t="b">
        <f>AND(Table6[[#This Row],[companyid2]:[categoryname2]],Table6[[#This Row],[Model2]:[SN2]])</f>
        <v>0</v>
      </c>
      <c r="N96" t="b">
        <f>AND(Table6[[#This Row],[companyid2]:[Manufacturer2]],Table6[[#This Row],[SN2]])</f>
        <v>0</v>
      </c>
      <c r="O96" t="b">
        <f>AND(Table6[[#This Row],[companyid2]:[Model2]])</f>
        <v>1</v>
      </c>
      <c r="AS96" s="30"/>
    </row>
    <row r="97" spans="1:47" x14ac:dyDescent="0.25">
      <c r="A97">
        <v>57437</v>
      </c>
      <c r="B97" t="s">
        <v>884</v>
      </c>
      <c r="C97" t="s">
        <v>878</v>
      </c>
      <c r="D97" s="38" t="s">
        <v>1058</v>
      </c>
      <c r="E97" s="95">
        <v>7336</v>
      </c>
      <c r="F97" t="b">
        <f>IFERROR(Table6[[#This Row],[companyid]]=DropDowns!$N$20,TRUE)</f>
        <v>1</v>
      </c>
      <c r="G97" t="b">
        <f>OR(Worksheet!$D$5="",Worksheet!$D$5=Table6[[#This Row],[categoryname]])</f>
        <v>1</v>
      </c>
      <c r="H97" t="b">
        <f>OR(Worksheet!$D$7="",Worksheet!$D$7=Table6[[#This Row],[Manufacturer]])</f>
        <v>1</v>
      </c>
      <c r="I97" t="b">
        <f>OR(Worksheet!$G$7="",Worksheet!$G$7=Table6[[#This Row],[Model No.]])</f>
        <v>1</v>
      </c>
      <c r="J97" t="b">
        <f>OR(Worksheet!$D$8="",Worksheet!$D$8=Table6[[#This Row],[Serial No.]])</f>
        <v>0</v>
      </c>
      <c r="K97" t="b">
        <f>AND(Table6[[#This Row],[categoryname2]:[SN2]])</f>
        <v>0</v>
      </c>
      <c r="L97" t="b">
        <f>AND(Table6[[#This Row],[companyid2]],Table6[[#This Row],[Manufacturer2]:[SN2]])</f>
        <v>0</v>
      </c>
      <c r="M97" t="b">
        <f>AND(Table6[[#This Row],[companyid2]:[categoryname2]],Table6[[#This Row],[Model2]:[SN2]])</f>
        <v>0</v>
      </c>
      <c r="N97" t="b">
        <f>AND(Table6[[#This Row],[companyid2]:[Manufacturer2]],Table6[[#This Row],[SN2]])</f>
        <v>0</v>
      </c>
      <c r="O97" t="b">
        <f>AND(Table6[[#This Row],[companyid2]:[Model2]])</f>
        <v>1</v>
      </c>
      <c r="AS97" s="30"/>
    </row>
    <row r="98" spans="1:47" x14ac:dyDescent="0.25">
      <c r="A98">
        <v>57439</v>
      </c>
      <c r="B98" t="s">
        <v>884</v>
      </c>
      <c r="C98" t="s">
        <v>878</v>
      </c>
      <c r="D98" s="38" t="s">
        <v>1058</v>
      </c>
      <c r="E98" s="95">
        <v>7326</v>
      </c>
      <c r="F98" t="b">
        <f>IFERROR(Table6[[#This Row],[companyid]]=DropDowns!$N$20,TRUE)</f>
        <v>1</v>
      </c>
      <c r="G98" t="b">
        <f>OR(Worksheet!$D$5="",Worksheet!$D$5=Table6[[#This Row],[categoryname]])</f>
        <v>1</v>
      </c>
      <c r="H98" t="b">
        <f>OR(Worksheet!$D$7="",Worksheet!$D$7=Table6[[#This Row],[Manufacturer]])</f>
        <v>1</v>
      </c>
      <c r="I98" t="b">
        <f>OR(Worksheet!$G$7="",Worksheet!$G$7=Table6[[#This Row],[Model No.]])</f>
        <v>1</v>
      </c>
      <c r="J98" t="b">
        <f>OR(Worksheet!$D$8="",Worksheet!$D$8=Table6[[#This Row],[Serial No.]])</f>
        <v>0</v>
      </c>
      <c r="K98" t="b">
        <f>AND(Table6[[#This Row],[categoryname2]:[SN2]])</f>
        <v>0</v>
      </c>
      <c r="L98" t="b">
        <f>AND(Table6[[#This Row],[companyid2]],Table6[[#This Row],[Manufacturer2]:[SN2]])</f>
        <v>0</v>
      </c>
      <c r="M98" t="b">
        <f>AND(Table6[[#This Row],[companyid2]:[categoryname2]],Table6[[#This Row],[Model2]:[SN2]])</f>
        <v>0</v>
      </c>
      <c r="N98" t="b">
        <f>AND(Table6[[#This Row],[companyid2]:[Manufacturer2]],Table6[[#This Row],[SN2]])</f>
        <v>0</v>
      </c>
      <c r="O98" t="b">
        <f>AND(Table6[[#This Row],[companyid2]:[Model2]])</f>
        <v>1</v>
      </c>
      <c r="AS98" s="30"/>
    </row>
    <row r="99" spans="1:47" x14ac:dyDescent="0.25">
      <c r="A99">
        <v>57460</v>
      </c>
      <c r="B99" t="s">
        <v>845</v>
      </c>
      <c r="C99" t="s">
        <v>876</v>
      </c>
      <c r="D99" s="38" t="s">
        <v>877</v>
      </c>
      <c r="E99" s="95">
        <v>9873</v>
      </c>
      <c r="F99" t="b">
        <f>IFERROR(Table6[[#This Row],[companyid]]=DropDowns!$N$20,TRUE)</f>
        <v>1</v>
      </c>
      <c r="G99" t="b">
        <f>OR(Worksheet!$D$5="",Worksheet!$D$5=Table6[[#This Row],[categoryname]])</f>
        <v>1</v>
      </c>
      <c r="H99" t="b">
        <f>OR(Worksheet!$D$7="",Worksheet!$D$7=Table6[[#This Row],[Manufacturer]])</f>
        <v>1</v>
      </c>
      <c r="I99" t="b">
        <f>OR(Worksheet!$G$7="",Worksheet!$G$7=Table6[[#This Row],[Model No.]])</f>
        <v>1</v>
      </c>
      <c r="J99" t="b">
        <f>OR(Worksheet!$D$8="",Worksheet!$D$8=Table6[[#This Row],[Serial No.]])</f>
        <v>0</v>
      </c>
      <c r="K99" t="b">
        <f>AND(Table6[[#This Row],[categoryname2]:[SN2]])</f>
        <v>0</v>
      </c>
      <c r="L99" t="b">
        <f>AND(Table6[[#This Row],[companyid2]],Table6[[#This Row],[Manufacturer2]:[SN2]])</f>
        <v>0</v>
      </c>
      <c r="M99" t="b">
        <f>AND(Table6[[#This Row],[companyid2]:[categoryname2]],Table6[[#This Row],[Model2]:[SN2]])</f>
        <v>0</v>
      </c>
      <c r="N99" t="b">
        <f>AND(Table6[[#This Row],[companyid2]:[Manufacturer2]],Table6[[#This Row],[SN2]])</f>
        <v>0</v>
      </c>
      <c r="O99" t="b">
        <f>AND(Table6[[#This Row],[companyid2]:[Model2]])</f>
        <v>1</v>
      </c>
      <c r="AS99" s="30"/>
      <c r="AU99" s="30"/>
    </row>
    <row r="100" spans="1:47" x14ac:dyDescent="0.25">
      <c r="A100">
        <v>57460</v>
      </c>
      <c r="B100" t="s">
        <v>884</v>
      </c>
      <c r="C100" t="s">
        <v>878</v>
      </c>
      <c r="D100" s="38" t="s">
        <v>1058</v>
      </c>
      <c r="E100" s="95">
        <v>7013</v>
      </c>
      <c r="F100" t="b">
        <f>IFERROR(Table6[[#This Row],[companyid]]=DropDowns!$N$20,TRUE)</f>
        <v>1</v>
      </c>
      <c r="G100" t="b">
        <f>OR(Worksheet!$D$5="",Worksheet!$D$5=Table6[[#This Row],[categoryname]])</f>
        <v>1</v>
      </c>
      <c r="H100" t="b">
        <f>OR(Worksheet!$D$7="",Worksheet!$D$7=Table6[[#This Row],[Manufacturer]])</f>
        <v>1</v>
      </c>
      <c r="I100" t="b">
        <f>OR(Worksheet!$G$7="",Worksheet!$G$7=Table6[[#This Row],[Model No.]])</f>
        <v>1</v>
      </c>
      <c r="J100" t="b">
        <f>OR(Worksheet!$D$8="",Worksheet!$D$8=Table6[[#This Row],[Serial No.]])</f>
        <v>0</v>
      </c>
      <c r="K100" t="b">
        <f>AND(Table6[[#This Row],[categoryname2]:[SN2]])</f>
        <v>0</v>
      </c>
      <c r="L100" t="b">
        <f>AND(Table6[[#This Row],[companyid2]],Table6[[#This Row],[Manufacturer2]:[SN2]])</f>
        <v>0</v>
      </c>
      <c r="M100" t="b">
        <f>AND(Table6[[#This Row],[companyid2]:[categoryname2]],Table6[[#This Row],[Model2]:[SN2]])</f>
        <v>0</v>
      </c>
      <c r="N100" t="b">
        <f>AND(Table6[[#This Row],[companyid2]:[Manufacturer2]],Table6[[#This Row],[SN2]])</f>
        <v>0</v>
      </c>
      <c r="O100" t="b">
        <f>AND(Table6[[#This Row],[companyid2]:[Model2]])</f>
        <v>1</v>
      </c>
      <c r="AS100" s="30"/>
    </row>
    <row r="101" spans="1:47" x14ac:dyDescent="0.25">
      <c r="A101">
        <v>57460</v>
      </c>
      <c r="B101" t="s">
        <v>884</v>
      </c>
      <c r="C101" t="s">
        <v>878</v>
      </c>
      <c r="D101" s="38" t="s">
        <v>1096</v>
      </c>
      <c r="E101" s="95" t="s">
        <v>1097</v>
      </c>
      <c r="F101" t="b">
        <f>IFERROR(Table6[[#This Row],[companyid]]=DropDowns!$N$20,TRUE)</f>
        <v>1</v>
      </c>
      <c r="G101" t="b">
        <f>OR(Worksheet!$D$5="",Worksheet!$D$5=Table6[[#This Row],[categoryname]])</f>
        <v>1</v>
      </c>
      <c r="H101" t="b">
        <f>OR(Worksheet!$D$7="",Worksheet!$D$7=Table6[[#This Row],[Manufacturer]])</f>
        <v>1</v>
      </c>
      <c r="I101" t="b">
        <f>OR(Worksheet!$G$7="",Worksheet!$G$7=Table6[[#This Row],[Model No.]])</f>
        <v>1</v>
      </c>
      <c r="J101" t="b">
        <f>OR(Worksheet!$D$8="",Worksheet!$D$8=Table6[[#This Row],[Serial No.]])</f>
        <v>0</v>
      </c>
      <c r="K101" t="b">
        <f>AND(Table6[[#This Row],[categoryname2]:[SN2]])</f>
        <v>0</v>
      </c>
      <c r="L101" t="b">
        <f>AND(Table6[[#This Row],[companyid2]],Table6[[#This Row],[Manufacturer2]:[SN2]])</f>
        <v>0</v>
      </c>
      <c r="M101" t="b">
        <f>AND(Table6[[#This Row],[companyid2]:[categoryname2]],Table6[[#This Row],[Model2]:[SN2]])</f>
        <v>0</v>
      </c>
      <c r="N101" t="b">
        <f>AND(Table6[[#This Row],[companyid2]:[Manufacturer2]],Table6[[#This Row],[SN2]])</f>
        <v>0</v>
      </c>
      <c r="O101" t="b">
        <f>AND(Table6[[#This Row],[companyid2]:[Model2]])</f>
        <v>1</v>
      </c>
      <c r="AS101" s="30"/>
      <c r="AU101" s="30"/>
    </row>
    <row r="102" spans="1:47" x14ac:dyDescent="0.25">
      <c r="A102">
        <v>57461</v>
      </c>
      <c r="B102" t="s">
        <v>845</v>
      </c>
      <c r="C102" t="s">
        <v>853</v>
      </c>
      <c r="D102" s="38" t="s">
        <v>854</v>
      </c>
      <c r="E102" s="95">
        <v>13205</v>
      </c>
      <c r="F102" t="b">
        <f>IFERROR(Table6[[#This Row],[companyid]]=DropDowns!$N$20,TRUE)</f>
        <v>1</v>
      </c>
      <c r="G102" t="b">
        <f>OR(Worksheet!$D$5="",Worksheet!$D$5=Table6[[#This Row],[categoryname]])</f>
        <v>1</v>
      </c>
      <c r="H102" t="b">
        <f>OR(Worksheet!$D$7="",Worksheet!$D$7=Table6[[#This Row],[Manufacturer]])</f>
        <v>1</v>
      </c>
      <c r="I102" t="b">
        <f>OR(Worksheet!$G$7="",Worksheet!$G$7=Table6[[#This Row],[Model No.]])</f>
        <v>1</v>
      </c>
      <c r="J102" t="b">
        <f>OR(Worksheet!$D$8="",Worksheet!$D$8=Table6[[#This Row],[Serial No.]])</f>
        <v>0</v>
      </c>
      <c r="K102" t="b">
        <f>AND(Table6[[#This Row],[categoryname2]:[SN2]])</f>
        <v>0</v>
      </c>
      <c r="L102" t="b">
        <f>AND(Table6[[#This Row],[companyid2]],Table6[[#This Row],[Manufacturer2]:[SN2]])</f>
        <v>0</v>
      </c>
      <c r="M102" t="b">
        <f>AND(Table6[[#This Row],[companyid2]:[categoryname2]],Table6[[#This Row],[Model2]:[SN2]])</f>
        <v>0</v>
      </c>
      <c r="N102" t="b">
        <f>AND(Table6[[#This Row],[companyid2]:[Manufacturer2]],Table6[[#This Row],[SN2]])</f>
        <v>0</v>
      </c>
      <c r="O102" t="b">
        <f>AND(Table6[[#This Row],[companyid2]:[Model2]])</f>
        <v>1</v>
      </c>
      <c r="AS102" s="30"/>
    </row>
    <row r="103" spans="1:47" x14ac:dyDescent="0.25">
      <c r="A103">
        <v>57461</v>
      </c>
      <c r="B103" t="s">
        <v>845</v>
      </c>
      <c r="C103" t="s">
        <v>853</v>
      </c>
      <c r="D103" s="38" t="s">
        <v>854</v>
      </c>
      <c r="E103" s="95">
        <v>14301</v>
      </c>
      <c r="F103" t="b">
        <f>IFERROR(Table6[[#This Row],[companyid]]=DropDowns!$N$20,TRUE)</f>
        <v>1</v>
      </c>
      <c r="G103" t="b">
        <f>OR(Worksheet!$D$5="",Worksheet!$D$5=Table6[[#This Row],[categoryname]])</f>
        <v>1</v>
      </c>
      <c r="H103" t="b">
        <f>OR(Worksheet!$D$7="",Worksheet!$D$7=Table6[[#This Row],[Manufacturer]])</f>
        <v>1</v>
      </c>
      <c r="I103" t="b">
        <f>OR(Worksheet!$G$7="",Worksheet!$G$7=Table6[[#This Row],[Model No.]])</f>
        <v>1</v>
      </c>
      <c r="J103" t="b">
        <f>OR(Worksheet!$D$8="",Worksheet!$D$8=Table6[[#This Row],[Serial No.]])</f>
        <v>0</v>
      </c>
      <c r="K103" t="b">
        <f>AND(Table6[[#This Row],[categoryname2]:[SN2]])</f>
        <v>0</v>
      </c>
      <c r="L103" t="b">
        <f>AND(Table6[[#This Row],[companyid2]],Table6[[#This Row],[Manufacturer2]:[SN2]])</f>
        <v>0</v>
      </c>
      <c r="M103" t="b">
        <f>AND(Table6[[#This Row],[companyid2]:[categoryname2]],Table6[[#This Row],[Model2]:[SN2]])</f>
        <v>0</v>
      </c>
      <c r="N103" t="b">
        <f>AND(Table6[[#This Row],[companyid2]:[Manufacturer2]],Table6[[#This Row],[SN2]])</f>
        <v>0</v>
      </c>
      <c r="O103" t="b">
        <f>AND(Table6[[#This Row],[companyid2]:[Model2]])</f>
        <v>1</v>
      </c>
      <c r="AS103" s="30"/>
    </row>
    <row r="104" spans="1:47" x14ac:dyDescent="0.25">
      <c r="A104">
        <v>57461</v>
      </c>
      <c r="B104" t="s">
        <v>845</v>
      </c>
      <c r="C104" t="s">
        <v>853</v>
      </c>
      <c r="D104" s="38" t="s">
        <v>854</v>
      </c>
      <c r="E104" s="95">
        <v>15424</v>
      </c>
      <c r="F104" t="b">
        <f>IFERROR(Table6[[#This Row],[companyid]]=DropDowns!$N$20,TRUE)</f>
        <v>1</v>
      </c>
      <c r="G104" t="b">
        <f>OR(Worksheet!$D$5="",Worksheet!$D$5=Table6[[#This Row],[categoryname]])</f>
        <v>1</v>
      </c>
      <c r="H104" t="b">
        <f>OR(Worksheet!$D$7="",Worksheet!$D$7=Table6[[#This Row],[Manufacturer]])</f>
        <v>1</v>
      </c>
      <c r="I104" t="b">
        <f>OR(Worksheet!$G$7="",Worksheet!$G$7=Table6[[#This Row],[Model No.]])</f>
        <v>1</v>
      </c>
      <c r="J104" t="b">
        <f>OR(Worksheet!$D$8="",Worksheet!$D$8=Table6[[#This Row],[Serial No.]])</f>
        <v>0</v>
      </c>
      <c r="K104" t="b">
        <f>AND(Table6[[#This Row],[categoryname2]:[SN2]])</f>
        <v>0</v>
      </c>
      <c r="L104" t="b">
        <f>AND(Table6[[#This Row],[companyid2]],Table6[[#This Row],[Manufacturer2]:[SN2]])</f>
        <v>0</v>
      </c>
      <c r="M104" t="b">
        <f>AND(Table6[[#This Row],[companyid2]:[categoryname2]],Table6[[#This Row],[Model2]:[SN2]])</f>
        <v>0</v>
      </c>
      <c r="N104" t="b">
        <f>AND(Table6[[#This Row],[companyid2]:[Manufacturer2]],Table6[[#This Row],[SN2]])</f>
        <v>0</v>
      </c>
      <c r="O104" t="b">
        <f>AND(Table6[[#This Row],[companyid2]:[Model2]])</f>
        <v>1</v>
      </c>
      <c r="AS104" s="30"/>
    </row>
    <row r="105" spans="1:47" x14ac:dyDescent="0.25">
      <c r="A105">
        <v>57461</v>
      </c>
      <c r="B105" t="s">
        <v>845</v>
      </c>
      <c r="C105" t="s">
        <v>853</v>
      </c>
      <c r="D105" s="38" t="s">
        <v>869</v>
      </c>
      <c r="E105" s="95">
        <v>14348</v>
      </c>
      <c r="F105" t="b">
        <f>IFERROR(Table6[[#This Row],[companyid]]=DropDowns!$N$20,TRUE)</f>
        <v>1</v>
      </c>
      <c r="G105" t="b">
        <f>OR(Worksheet!$D$5="",Worksheet!$D$5=Table6[[#This Row],[categoryname]])</f>
        <v>1</v>
      </c>
      <c r="H105" t="b">
        <f>OR(Worksheet!$D$7="",Worksheet!$D$7=Table6[[#This Row],[Manufacturer]])</f>
        <v>1</v>
      </c>
      <c r="I105" t="b">
        <f>OR(Worksheet!$G$7="",Worksheet!$G$7=Table6[[#This Row],[Model No.]])</f>
        <v>1</v>
      </c>
      <c r="J105" t="b">
        <f>OR(Worksheet!$D$8="",Worksheet!$D$8=Table6[[#This Row],[Serial No.]])</f>
        <v>0</v>
      </c>
      <c r="K105" t="b">
        <f>AND(Table6[[#This Row],[categoryname2]:[SN2]])</f>
        <v>0</v>
      </c>
      <c r="L105" t="b">
        <f>AND(Table6[[#This Row],[companyid2]],Table6[[#This Row],[Manufacturer2]:[SN2]])</f>
        <v>0</v>
      </c>
      <c r="M105" t="b">
        <f>AND(Table6[[#This Row],[companyid2]:[categoryname2]],Table6[[#This Row],[Model2]:[SN2]])</f>
        <v>0</v>
      </c>
      <c r="N105" t="b">
        <f>AND(Table6[[#This Row],[companyid2]:[Manufacturer2]],Table6[[#This Row],[SN2]])</f>
        <v>0</v>
      </c>
      <c r="O105" t="b">
        <f>AND(Table6[[#This Row],[companyid2]:[Model2]])</f>
        <v>1</v>
      </c>
      <c r="AS105" s="30"/>
    </row>
    <row r="106" spans="1:47" x14ac:dyDescent="0.25">
      <c r="A106">
        <v>57461</v>
      </c>
      <c r="B106" t="s">
        <v>845</v>
      </c>
      <c r="C106" t="s">
        <v>876</v>
      </c>
      <c r="D106" s="38" t="s">
        <v>877</v>
      </c>
      <c r="E106" s="95">
        <v>9873</v>
      </c>
      <c r="F106" t="b">
        <f>IFERROR(Table6[[#This Row],[companyid]]=DropDowns!$N$20,TRUE)</f>
        <v>1</v>
      </c>
      <c r="G106" t="b">
        <f>OR(Worksheet!$D$5="",Worksheet!$D$5=Table6[[#This Row],[categoryname]])</f>
        <v>1</v>
      </c>
      <c r="H106" t="b">
        <f>OR(Worksheet!$D$7="",Worksheet!$D$7=Table6[[#This Row],[Manufacturer]])</f>
        <v>1</v>
      </c>
      <c r="I106" t="b">
        <f>OR(Worksheet!$G$7="",Worksheet!$G$7=Table6[[#This Row],[Model No.]])</f>
        <v>1</v>
      </c>
      <c r="J106" t="b">
        <f>OR(Worksheet!$D$8="",Worksheet!$D$8=Table6[[#This Row],[Serial No.]])</f>
        <v>0</v>
      </c>
      <c r="K106" t="b">
        <f>AND(Table6[[#This Row],[categoryname2]:[SN2]])</f>
        <v>0</v>
      </c>
      <c r="L106" t="b">
        <f>AND(Table6[[#This Row],[companyid2]],Table6[[#This Row],[Manufacturer2]:[SN2]])</f>
        <v>0</v>
      </c>
      <c r="M106" t="b">
        <f>AND(Table6[[#This Row],[companyid2]:[categoryname2]],Table6[[#This Row],[Model2]:[SN2]])</f>
        <v>0</v>
      </c>
      <c r="N106" t="b">
        <f>AND(Table6[[#This Row],[companyid2]:[Manufacturer2]],Table6[[#This Row],[SN2]])</f>
        <v>0</v>
      </c>
      <c r="O106" t="b">
        <f>AND(Table6[[#This Row],[companyid2]:[Model2]])</f>
        <v>1</v>
      </c>
      <c r="AS106" s="30"/>
    </row>
    <row r="107" spans="1:47" x14ac:dyDescent="0.25">
      <c r="A107">
        <v>57461</v>
      </c>
      <c r="B107" t="s">
        <v>884</v>
      </c>
      <c r="C107" t="s">
        <v>853</v>
      </c>
      <c r="D107" s="38" t="s">
        <v>869</v>
      </c>
      <c r="E107" s="95">
        <v>181584</v>
      </c>
      <c r="F107" t="b">
        <f>IFERROR(Table6[[#This Row],[companyid]]=DropDowns!$N$20,TRUE)</f>
        <v>1</v>
      </c>
      <c r="G107" t="b">
        <f>OR(Worksheet!$D$5="",Worksheet!$D$5=Table6[[#This Row],[categoryname]])</f>
        <v>1</v>
      </c>
      <c r="H107" t="b">
        <f>OR(Worksheet!$D$7="",Worksheet!$D$7=Table6[[#This Row],[Manufacturer]])</f>
        <v>1</v>
      </c>
      <c r="I107" t="b">
        <f>OR(Worksheet!$G$7="",Worksheet!$G$7=Table6[[#This Row],[Model No.]])</f>
        <v>1</v>
      </c>
      <c r="J107" t="b">
        <f>OR(Worksheet!$D$8="",Worksheet!$D$8=Table6[[#This Row],[Serial No.]])</f>
        <v>0</v>
      </c>
      <c r="K107" t="b">
        <f>AND(Table6[[#This Row],[categoryname2]:[SN2]])</f>
        <v>0</v>
      </c>
      <c r="L107" t="b">
        <f>AND(Table6[[#This Row],[companyid2]],Table6[[#This Row],[Manufacturer2]:[SN2]])</f>
        <v>0</v>
      </c>
      <c r="M107" t="b">
        <f>AND(Table6[[#This Row],[companyid2]:[categoryname2]],Table6[[#This Row],[Model2]:[SN2]])</f>
        <v>0</v>
      </c>
      <c r="N107" t="b">
        <f>AND(Table6[[#This Row],[companyid2]:[Manufacturer2]],Table6[[#This Row],[SN2]])</f>
        <v>0</v>
      </c>
      <c r="O107" t="b">
        <f>AND(Table6[[#This Row],[companyid2]:[Model2]])</f>
        <v>1</v>
      </c>
      <c r="AS107" s="30"/>
    </row>
    <row r="108" spans="1:47" x14ac:dyDescent="0.25">
      <c r="A108">
        <v>57461</v>
      </c>
      <c r="B108" t="s">
        <v>884</v>
      </c>
      <c r="C108" t="s">
        <v>1111</v>
      </c>
      <c r="D108" s="38" t="s">
        <v>1112</v>
      </c>
      <c r="E108" s="95" t="s">
        <v>1113</v>
      </c>
      <c r="F108" t="b">
        <f>IFERROR(Table6[[#This Row],[companyid]]=DropDowns!$N$20,TRUE)</f>
        <v>1</v>
      </c>
      <c r="G108" t="b">
        <f>OR(Worksheet!$D$5="",Worksheet!$D$5=Table6[[#This Row],[categoryname]])</f>
        <v>1</v>
      </c>
      <c r="H108" t="b">
        <f>OR(Worksheet!$D$7="",Worksheet!$D$7=Table6[[#This Row],[Manufacturer]])</f>
        <v>1</v>
      </c>
      <c r="I108" t="b">
        <f>OR(Worksheet!$G$7="",Worksheet!$G$7=Table6[[#This Row],[Model No.]])</f>
        <v>1</v>
      </c>
      <c r="J108" t="b">
        <f>OR(Worksheet!$D$8="",Worksheet!$D$8=Table6[[#This Row],[Serial No.]])</f>
        <v>0</v>
      </c>
      <c r="K108" t="b">
        <f>AND(Table6[[#This Row],[categoryname2]:[SN2]])</f>
        <v>0</v>
      </c>
      <c r="L108" t="b">
        <f>AND(Table6[[#This Row],[companyid2]],Table6[[#This Row],[Manufacturer2]:[SN2]])</f>
        <v>0</v>
      </c>
      <c r="M108" t="b">
        <f>AND(Table6[[#This Row],[companyid2]:[categoryname2]],Table6[[#This Row],[Model2]:[SN2]])</f>
        <v>0</v>
      </c>
      <c r="N108" t="b">
        <f>AND(Table6[[#This Row],[companyid2]:[Manufacturer2]],Table6[[#This Row],[SN2]])</f>
        <v>0</v>
      </c>
      <c r="O108" t="b">
        <f>AND(Table6[[#This Row],[companyid2]:[Model2]])</f>
        <v>1</v>
      </c>
      <c r="AS108" s="30"/>
    </row>
    <row r="109" spans="1:47" x14ac:dyDescent="0.25">
      <c r="A109">
        <v>57461</v>
      </c>
      <c r="B109" t="s">
        <v>884</v>
      </c>
      <c r="C109" t="s">
        <v>962</v>
      </c>
      <c r="D109" s="38" t="s">
        <v>963</v>
      </c>
      <c r="E109" s="95" t="s">
        <v>965</v>
      </c>
      <c r="F109" t="b">
        <f>IFERROR(Table6[[#This Row],[companyid]]=DropDowns!$N$20,TRUE)</f>
        <v>1</v>
      </c>
      <c r="G109" t="b">
        <f>OR(Worksheet!$D$5="",Worksheet!$D$5=Table6[[#This Row],[categoryname]])</f>
        <v>1</v>
      </c>
      <c r="H109" t="b">
        <f>OR(Worksheet!$D$7="",Worksheet!$D$7=Table6[[#This Row],[Manufacturer]])</f>
        <v>1</v>
      </c>
      <c r="I109" t="b">
        <f>OR(Worksheet!$G$7="",Worksheet!$G$7=Table6[[#This Row],[Model No.]])</f>
        <v>1</v>
      </c>
      <c r="J109" t="b">
        <f>OR(Worksheet!$D$8="",Worksheet!$D$8=Table6[[#This Row],[Serial No.]])</f>
        <v>0</v>
      </c>
      <c r="K109" t="b">
        <f>AND(Table6[[#This Row],[categoryname2]:[SN2]])</f>
        <v>0</v>
      </c>
      <c r="L109" t="b">
        <f>AND(Table6[[#This Row],[companyid2]],Table6[[#This Row],[Manufacturer2]:[SN2]])</f>
        <v>0</v>
      </c>
      <c r="M109" t="b">
        <f>AND(Table6[[#This Row],[companyid2]:[categoryname2]],Table6[[#This Row],[Model2]:[SN2]])</f>
        <v>0</v>
      </c>
      <c r="N109" t="b">
        <f>AND(Table6[[#This Row],[companyid2]:[Manufacturer2]],Table6[[#This Row],[SN2]])</f>
        <v>0</v>
      </c>
      <c r="O109" t="b">
        <f>AND(Table6[[#This Row],[companyid2]:[Model2]])</f>
        <v>1</v>
      </c>
      <c r="AS109" s="30"/>
    </row>
    <row r="110" spans="1:47" x14ac:dyDescent="0.25">
      <c r="A110">
        <v>57462</v>
      </c>
      <c r="B110" t="s">
        <v>845</v>
      </c>
      <c r="C110" t="s">
        <v>850</v>
      </c>
      <c r="D110" s="38" t="s">
        <v>851</v>
      </c>
      <c r="E110" s="94">
        <v>45505</v>
      </c>
      <c r="F110" t="b">
        <f>IFERROR(Table6[[#This Row],[companyid]]=DropDowns!$N$20,TRUE)</f>
        <v>1</v>
      </c>
      <c r="G110" t="b">
        <f>OR(Worksheet!$D$5="",Worksheet!$D$5=Table6[[#This Row],[categoryname]])</f>
        <v>1</v>
      </c>
      <c r="H110" t="b">
        <f>OR(Worksheet!$D$7="",Worksheet!$D$7=Table6[[#This Row],[Manufacturer]])</f>
        <v>1</v>
      </c>
      <c r="I110" t="b">
        <f>OR(Worksheet!$G$7="",Worksheet!$G$7=Table6[[#This Row],[Model No.]])</f>
        <v>1</v>
      </c>
      <c r="J110" t="b">
        <f>OR(Worksheet!$D$8="",Worksheet!$D$8=Table6[[#This Row],[Serial No.]])</f>
        <v>0</v>
      </c>
      <c r="K110" t="b">
        <f>AND(Table6[[#This Row],[categoryname2]:[SN2]])</f>
        <v>0</v>
      </c>
      <c r="L110" t="b">
        <f>AND(Table6[[#This Row],[companyid2]],Table6[[#This Row],[Manufacturer2]:[SN2]])</f>
        <v>0</v>
      </c>
      <c r="M110" t="b">
        <f>AND(Table6[[#This Row],[companyid2]:[categoryname2]],Table6[[#This Row],[Model2]:[SN2]])</f>
        <v>0</v>
      </c>
      <c r="N110" t="b">
        <f>AND(Table6[[#This Row],[companyid2]:[Manufacturer2]],Table6[[#This Row],[SN2]])</f>
        <v>0</v>
      </c>
      <c r="O110" t="b">
        <f>AND(Table6[[#This Row],[companyid2]:[Model2]])</f>
        <v>1</v>
      </c>
      <c r="AS110" s="30"/>
    </row>
    <row r="111" spans="1:47" x14ac:dyDescent="0.25">
      <c r="A111">
        <v>57464</v>
      </c>
      <c r="B111" t="s">
        <v>845</v>
      </c>
      <c r="C111" t="s">
        <v>853</v>
      </c>
      <c r="D111" s="38" t="s">
        <v>854</v>
      </c>
      <c r="E111" s="95" t="s">
        <v>856</v>
      </c>
      <c r="F111" t="b">
        <f>IFERROR(Table6[[#This Row],[companyid]]=DropDowns!$N$20,TRUE)</f>
        <v>1</v>
      </c>
      <c r="G111" t="b">
        <f>OR(Worksheet!$D$5="",Worksheet!$D$5=Table6[[#This Row],[categoryname]])</f>
        <v>1</v>
      </c>
      <c r="H111" t="b">
        <f>OR(Worksheet!$D$7="",Worksheet!$D$7=Table6[[#This Row],[Manufacturer]])</f>
        <v>1</v>
      </c>
      <c r="I111" t="b">
        <f>OR(Worksheet!$G$7="",Worksheet!$G$7=Table6[[#This Row],[Model No.]])</f>
        <v>1</v>
      </c>
      <c r="J111" t="b">
        <f>OR(Worksheet!$D$8="",Worksheet!$D$8=Table6[[#This Row],[Serial No.]])</f>
        <v>0</v>
      </c>
      <c r="K111" t="b">
        <f>AND(Table6[[#This Row],[categoryname2]:[SN2]])</f>
        <v>0</v>
      </c>
      <c r="L111" t="b">
        <f>AND(Table6[[#This Row],[companyid2]],Table6[[#This Row],[Manufacturer2]:[SN2]])</f>
        <v>0</v>
      </c>
      <c r="M111" t="b">
        <f>AND(Table6[[#This Row],[companyid2]:[categoryname2]],Table6[[#This Row],[Model2]:[SN2]])</f>
        <v>0</v>
      </c>
      <c r="N111" t="b">
        <f>AND(Table6[[#This Row],[companyid2]:[Manufacturer2]],Table6[[#This Row],[SN2]])</f>
        <v>0</v>
      </c>
      <c r="O111" t="b">
        <f>AND(Table6[[#This Row],[companyid2]:[Model2]])</f>
        <v>1</v>
      </c>
      <c r="AS111" s="30"/>
    </row>
    <row r="112" spans="1:47" x14ac:dyDescent="0.25">
      <c r="A112">
        <v>57470</v>
      </c>
      <c r="B112" t="s">
        <v>884</v>
      </c>
      <c r="C112" t="s">
        <v>878</v>
      </c>
      <c r="D112" s="38" t="s">
        <v>1058</v>
      </c>
      <c r="E112" s="95">
        <v>7772</v>
      </c>
      <c r="F112" t="b">
        <f>IFERROR(Table6[[#This Row],[companyid]]=DropDowns!$N$20,TRUE)</f>
        <v>1</v>
      </c>
      <c r="G112" t="b">
        <f>OR(Worksheet!$D$5="",Worksheet!$D$5=Table6[[#This Row],[categoryname]])</f>
        <v>1</v>
      </c>
      <c r="H112" t="b">
        <f>OR(Worksheet!$D$7="",Worksheet!$D$7=Table6[[#This Row],[Manufacturer]])</f>
        <v>1</v>
      </c>
      <c r="I112" t="b">
        <f>OR(Worksheet!$G$7="",Worksheet!$G$7=Table6[[#This Row],[Model No.]])</f>
        <v>1</v>
      </c>
      <c r="J112" t="b">
        <f>OR(Worksheet!$D$8="",Worksheet!$D$8=Table6[[#This Row],[Serial No.]])</f>
        <v>0</v>
      </c>
      <c r="K112" t="b">
        <f>AND(Table6[[#This Row],[categoryname2]:[SN2]])</f>
        <v>0</v>
      </c>
      <c r="L112" t="b">
        <f>AND(Table6[[#This Row],[companyid2]],Table6[[#This Row],[Manufacturer2]:[SN2]])</f>
        <v>0</v>
      </c>
      <c r="M112" t="b">
        <f>AND(Table6[[#This Row],[companyid2]:[categoryname2]],Table6[[#This Row],[Model2]:[SN2]])</f>
        <v>0</v>
      </c>
      <c r="N112" t="b">
        <f>AND(Table6[[#This Row],[companyid2]:[Manufacturer2]],Table6[[#This Row],[SN2]])</f>
        <v>0</v>
      </c>
      <c r="O112" t="b">
        <f>AND(Table6[[#This Row],[companyid2]:[Model2]])</f>
        <v>1</v>
      </c>
      <c r="AH112" s="84"/>
    </row>
    <row r="113" spans="1:47" x14ac:dyDescent="0.25">
      <c r="A113">
        <v>57480</v>
      </c>
      <c r="B113" t="s">
        <v>884</v>
      </c>
      <c r="C113" t="s">
        <v>885</v>
      </c>
      <c r="D113" s="96">
        <v>6534051</v>
      </c>
      <c r="E113" s="94">
        <v>1412</v>
      </c>
      <c r="F113" t="b">
        <f>IFERROR(Table6[[#This Row],[companyid]]=DropDowns!$N$20,TRUE)</f>
        <v>1</v>
      </c>
      <c r="G113" t="b">
        <f>OR(Worksheet!$D$5="",Worksheet!$D$5=Table6[[#This Row],[categoryname]])</f>
        <v>1</v>
      </c>
      <c r="H113" t="b">
        <f>OR(Worksheet!$D$7="",Worksheet!$D$7=Table6[[#This Row],[Manufacturer]])</f>
        <v>1</v>
      </c>
      <c r="I113" t="b">
        <f>OR(Worksheet!$G$7="",Worksheet!$G$7=Table6[[#This Row],[Model No.]])</f>
        <v>1</v>
      </c>
      <c r="J113" t="b">
        <f>OR(Worksheet!$D$8="",Worksheet!$D$8=Table6[[#This Row],[Serial No.]])</f>
        <v>0</v>
      </c>
      <c r="K113" t="b">
        <f>AND(Table6[[#This Row],[categoryname2]:[SN2]])</f>
        <v>0</v>
      </c>
      <c r="L113" t="b">
        <f>AND(Table6[[#This Row],[companyid2]],Table6[[#This Row],[Manufacturer2]:[SN2]])</f>
        <v>0</v>
      </c>
      <c r="M113" t="b">
        <f>AND(Table6[[#This Row],[companyid2]:[categoryname2]],Table6[[#This Row],[Model2]:[SN2]])</f>
        <v>0</v>
      </c>
      <c r="N113" t="b">
        <f>AND(Table6[[#This Row],[companyid2]:[Manufacturer2]],Table6[[#This Row],[SN2]])</f>
        <v>0</v>
      </c>
      <c r="O113" t="b">
        <f>AND(Table6[[#This Row],[companyid2]:[Model2]])</f>
        <v>1</v>
      </c>
      <c r="AH113" s="84"/>
    </row>
    <row r="114" spans="1:47" x14ac:dyDescent="0.25">
      <c r="A114">
        <v>57481</v>
      </c>
      <c r="B114" t="s">
        <v>845</v>
      </c>
      <c r="C114" t="s">
        <v>848</v>
      </c>
      <c r="D114" s="38" t="s">
        <v>849</v>
      </c>
      <c r="E114" s="94">
        <v>60413007</v>
      </c>
      <c r="F114" t="b">
        <f>IFERROR(Table6[[#This Row],[companyid]]=DropDowns!$N$20,TRUE)</f>
        <v>1</v>
      </c>
      <c r="G114" t="b">
        <f>OR(Worksheet!$D$5="",Worksheet!$D$5=Table6[[#This Row],[categoryname]])</f>
        <v>1</v>
      </c>
      <c r="H114" t="b">
        <f>OR(Worksheet!$D$7="",Worksheet!$D$7=Table6[[#This Row],[Manufacturer]])</f>
        <v>1</v>
      </c>
      <c r="I114" t="b">
        <f>OR(Worksheet!$G$7="",Worksheet!$G$7=Table6[[#This Row],[Model No.]])</f>
        <v>1</v>
      </c>
      <c r="J114" t="b">
        <f>OR(Worksheet!$D$8="",Worksheet!$D$8=Table6[[#This Row],[Serial No.]])</f>
        <v>0</v>
      </c>
      <c r="K114" t="b">
        <f>AND(Table6[[#This Row],[categoryname2]:[SN2]])</f>
        <v>0</v>
      </c>
      <c r="L114" t="b">
        <f>AND(Table6[[#This Row],[companyid2]],Table6[[#This Row],[Manufacturer2]:[SN2]])</f>
        <v>0</v>
      </c>
      <c r="M114" t="b">
        <f>AND(Table6[[#This Row],[companyid2]:[categoryname2]],Table6[[#This Row],[Model2]:[SN2]])</f>
        <v>0</v>
      </c>
      <c r="N114" t="b">
        <f>AND(Table6[[#This Row],[companyid2]:[Manufacturer2]],Table6[[#This Row],[SN2]])</f>
        <v>0</v>
      </c>
      <c r="O114" t="b">
        <f>AND(Table6[[#This Row],[companyid2]:[Model2]])</f>
        <v>1</v>
      </c>
      <c r="AH114" s="84"/>
    </row>
    <row r="115" spans="1:47" x14ac:dyDescent="0.25">
      <c r="A115">
        <v>57481</v>
      </c>
      <c r="B115" t="s">
        <v>845</v>
      </c>
      <c r="C115" t="s">
        <v>850</v>
      </c>
      <c r="D115" s="38" t="s">
        <v>852</v>
      </c>
      <c r="E115" s="94">
        <v>7799</v>
      </c>
      <c r="F115" t="b">
        <f>IFERROR(Table6[[#This Row],[companyid]]=DropDowns!$N$20,TRUE)</f>
        <v>1</v>
      </c>
      <c r="G115" t="b">
        <f>OR(Worksheet!$D$5="",Worksheet!$D$5=Table6[[#This Row],[categoryname]])</f>
        <v>1</v>
      </c>
      <c r="H115" t="b">
        <f>OR(Worksheet!$D$7="",Worksheet!$D$7=Table6[[#This Row],[Manufacturer]])</f>
        <v>1</v>
      </c>
      <c r="I115" t="b">
        <f>OR(Worksheet!$G$7="",Worksheet!$G$7=Table6[[#This Row],[Model No.]])</f>
        <v>1</v>
      </c>
      <c r="J115" t="b">
        <f>OR(Worksheet!$D$8="",Worksheet!$D$8=Table6[[#This Row],[Serial No.]])</f>
        <v>0</v>
      </c>
      <c r="K115" t="b">
        <f>AND(Table6[[#This Row],[categoryname2]:[SN2]])</f>
        <v>0</v>
      </c>
      <c r="L115" t="b">
        <f>AND(Table6[[#This Row],[companyid2]],Table6[[#This Row],[Manufacturer2]:[SN2]])</f>
        <v>0</v>
      </c>
      <c r="M115" t="b">
        <f>AND(Table6[[#This Row],[companyid2]:[categoryname2]],Table6[[#This Row],[Model2]:[SN2]])</f>
        <v>0</v>
      </c>
      <c r="N115" t="b">
        <f>AND(Table6[[#This Row],[companyid2]:[Manufacturer2]],Table6[[#This Row],[SN2]])</f>
        <v>0</v>
      </c>
      <c r="O115" t="b">
        <f>AND(Table6[[#This Row],[companyid2]:[Model2]])</f>
        <v>1</v>
      </c>
      <c r="AH115" s="84"/>
    </row>
    <row r="116" spans="1:47" x14ac:dyDescent="0.25">
      <c r="A116">
        <v>57481</v>
      </c>
      <c r="B116" t="s">
        <v>884</v>
      </c>
      <c r="C116" t="s">
        <v>962</v>
      </c>
      <c r="D116" s="38" t="s">
        <v>963</v>
      </c>
      <c r="E116" s="95" t="s">
        <v>964</v>
      </c>
      <c r="F116" t="b">
        <f>IFERROR(Table6[[#This Row],[companyid]]=DropDowns!$N$20,TRUE)</f>
        <v>1</v>
      </c>
      <c r="G116" t="b">
        <f>OR(Worksheet!$D$5="",Worksheet!$D$5=Table6[[#This Row],[categoryname]])</f>
        <v>1</v>
      </c>
      <c r="H116" t="b">
        <f>OR(Worksheet!$D$7="",Worksheet!$D$7=Table6[[#This Row],[Manufacturer]])</f>
        <v>1</v>
      </c>
      <c r="I116" t="b">
        <f>OR(Worksheet!$G$7="",Worksheet!$G$7=Table6[[#This Row],[Model No.]])</f>
        <v>1</v>
      </c>
      <c r="J116" t="b">
        <f>OR(Worksheet!$D$8="",Worksheet!$D$8=Table6[[#This Row],[Serial No.]])</f>
        <v>0</v>
      </c>
      <c r="K116" t="b">
        <f>AND(Table6[[#This Row],[categoryname2]:[SN2]])</f>
        <v>0</v>
      </c>
      <c r="L116" t="b">
        <f>AND(Table6[[#This Row],[companyid2]],Table6[[#This Row],[Manufacturer2]:[SN2]])</f>
        <v>0</v>
      </c>
      <c r="M116" t="b">
        <f>AND(Table6[[#This Row],[companyid2]:[categoryname2]],Table6[[#This Row],[Model2]:[SN2]])</f>
        <v>0</v>
      </c>
      <c r="N116" t="b">
        <f>AND(Table6[[#This Row],[companyid2]:[Manufacturer2]],Table6[[#This Row],[SN2]])</f>
        <v>0</v>
      </c>
      <c r="O116" t="b">
        <f>AND(Table6[[#This Row],[companyid2]:[Model2]])</f>
        <v>1</v>
      </c>
      <c r="AS116" s="30"/>
      <c r="AU116" s="30"/>
    </row>
    <row r="117" spans="1:47" x14ac:dyDescent="0.25">
      <c r="A117">
        <v>57481</v>
      </c>
      <c r="B117" t="s">
        <v>884</v>
      </c>
      <c r="C117" t="s">
        <v>962</v>
      </c>
      <c r="D117" s="38" t="s">
        <v>972</v>
      </c>
      <c r="E117" s="95">
        <v>124528</v>
      </c>
      <c r="F117" t="b">
        <f>IFERROR(Table6[[#This Row],[companyid]]=DropDowns!$N$20,TRUE)</f>
        <v>1</v>
      </c>
      <c r="G117" t="b">
        <f>OR(Worksheet!$D$5="",Worksheet!$D$5=Table6[[#This Row],[categoryname]])</f>
        <v>1</v>
      </c>
      <c r="H117" t="b">
        <f>OR(Worksheet!$D$7="",Worksheet!$D$7=Table6[[#This Row],[Manufacturer]])</f>
        <v>1</v>
      </c>
      <c r="I117" t="b">
        <f>OR(Worksheet!$G$7="",Worksheet!$G$7=Table6[[#This Row],[Model No.]])</f>
        <v>1</v>
      </c>
      <c r="J117" t="b">
        <f>OR(Worksheet!$D$8="",Worksheet!$D$8=Table6[[#This Row],[Serial No.]])</f>
        <v>0</v>
      </c>
      <c r="K117" t="b">
        <f>AND(Table6[[#This Row],[categoryname2]:[SN2]])</f>
        <v>0</v>
      </c>
      <c r="L117" t="b">
        <f>AND(Table6[[#This Row],[companyid2]],Table6[[#This Row],[Manufacturer2]:[SN2]])</f>
        <v>0</v>
      </c>
      <c r="M117" t="b">
        <f>AND(Table6[[#This Row],[companyid2]:[categoryname2]],Table6[[#This Row],[Model2]:[SN2]])</f>
        <v>0</v>
      </c>
      <c r="N117" t="b">
        <f>AND(Table6[[#This Row],[companyid2]:[Manufacturer2]],Table6[[#This Row],[SN2]])</f>
        <v>0</v>
      </c>
      <c r="O117" t="b">
        <f>AND(Table6[[#This Row],[companyid2]:[Model2]])</f>
        <v>1</v>
      </c>
      <c r="AS117" s="30"/>
    </row>
    <row r="118" spans="1:47" x14ac:dyDescent="0.25">
      <c r="A118">
        <v>57481</v>
      </c>
      <c r="B118" t="s">
        <v>884</v>
      </c>
      <c r="C118" t="s">
        <v>962</v>
      </c>
      <c r="D118" s="38" t="s">
        <v>987</v>
      </c>
      <c r="E118" s="95" t="s">
        <v>988</v>
      </c>
      <c r="F118" t="b">
        <f>IFERROR(Table6[[#This Row],[companyid]]=DropDowns!$N$20,TRUE)</f>
        <v>1</v>
      </c>
      <c r="G118" t="b">
        <f>OR(Worksheet!$D$5="",Worksheet!$D$5=Table6[[#This Row],[categoryname]])</f>
        <v>1</v>
      </c>
      <c r="H118" t="b">
        <f>OR(Worksheet!$D$7="",Worksheet!$D$7=Table6[[#This Row],[Manufacturer]])</f>
        <v>1</v>
      </c>
      <c r="I118" t="b">
        <f>OR(Worksheet!$G$7="",Worksheet!$G$7=Table6[[#This Row],[Model No.]])</f>
        <v>1</v>
      </c>
      <c r="J118" t="b">
        <f>OR(Worksheet!$D$8="",Worksheet!$D$8=Table6[[#This Row],[Serial No.]])</f>
        <v>0</v>
      </c>
      <c r="K118" t="b">
        <f>AND(Table6[[#This Row],[categoryname2]:[SN2]])</f>
        <v>0</v>
      </c>
      <c r="L118" t="b">
        <f>AND(Table6[[#This Row],[companyid2]],Table6[[#This Row],[Manufacturer2]:[SN2]])</f>
        <v>0</v>
      </c>
      <c r="M118" t="b">
        <f>AND(Table6[[#This Row],[companyid2]:[categoryname2]],Table6[[#This Row],[Model2]:[SN2]])</f>
        <v>0</v>
      </c>
      <c r="N118" t="b">
        <f>AND(Table6[[#This Row],[companyid2]:[Manufacturer2]],Table6[[#This Row],[SN2]])</f>
        <v>0</v>
      </c>
      <c r="O118" t="b">
        <f>AND(Table6[[#This Row],[companyid2]:[Model2]])</f>
        <v>1</v>
      </c>
      <c r="AH118" s="84"/>
    </row>
    <row r="119" spans="1:47" x14ac:dyDescent="0.25">
      <c r="A119">
        <v>57492</v>
      </c>
      <c r="B119" t="s">
        <v>845</v>
      </c>
      <c r="C119" t="s">
        <v>850</v>
      </c>
      <c r="D119" s="38" t="s">
        <v>852</v>
      </c>
      <c r="E119" s="94">
        <v>7597</v>
      </c>
      <c r="F119" t="b">
        <f>IFERROR(Table6[[#This Row],[companyid]]=DropDowns!$N$20,TRUE)</f>
        <v>1</v>
      </c>
      <c r="G119" t="b">
        <f>OR(Worksheet!$D$5="",Worksheet!$D$5=Table6[[#This Row],[categoryname]])</f>
        <v>1</v>
      </c>
      <c r="H119" t="b">
        <f>OR(Worksheet!$D$7="",Worksheet!$D$7=Table6[[#This Row],[Manufacturer]])</f>
        <v>1</v>
      </c>
      <c r="I119" t="b">
        <f>OR(Worksheet!$G$7="",Worksheet!$G$7=Table6[[#This Row],[Model No.]])</f>
        <v>1</v>
      </c>
      <c r="J119" t="b">
        <f>OR(Worksheet!$D$8="",Worksheet!$D$8=Table6[[#This Row],[Serial No.]])</f>
        <v>0</v>
      </c>
      <c r="K119" t="b">
        <f>AND(Table6[[#This Row],[categoryname2]:[SN2]])</f>
        <v>0</v>
      </c>
      <c r="L119" t="b">
        <f>AND(Table6[[#This Row],[companyid2]],Table6[[#This Row],[Manufacturer2]:[SN2]])</f>
        <v>0</v>
      </c>
      <c r="M119" t="b">
        <f>AND(Table6[[#This Row],[companyid2]:[categoryname2]],Table6[[#This Row],[Model2]:[SN2]])</f>
        <v>0</v>
      </c>
      <c r="N119" t="b">
        <f>AND(Table6[[#This Row],[companyid2]:[Manufacturer2]],Table6[[#This Row],[SN2]])</f>
        <v>0</v>
      </c>
      <c r="O119" t="b">
        <f>AND(Table6[[#This Row],[companyid2]:[Model2]])</f>
        <v>1</v>
      </c>
      <c r="AH119" s="84"/>
    </row>
    <row r="120" spans="1:47" x14ac:dyDescent="0.25">
      <c r="A120">
        <v>57492</v>
      </c>
      <c r="B120" t="s">
        <v>845</v>
      </c>
      <c r="C120" t="s">
        <v>853</v>
      </c>
      <c r="D120" s="38" t="s">
        <v>854</v>
      </c>
      <c r="E120" s="95" t="s">
        <v>858</v>
      </c>
      <c r="F120" t="b">
        <f>IFERROR(Table6[[#This Row],[companyid]]=DropDowns!$N$20,TRUE)</f>
        <v>1</v>
      </c>
      <c r="G120" t="b">
        <f>OR(Worksheet!$D$5="",Worksheet!$D$5=Table6[[#This Row],[categoryname]])</f>
        <v>1</v>
      </c>
      <c r="H120" t="b">
        <f>OR(Worksheet!$D$7="",Worksheet!$D$7=Table6[[#This Row],[Manufacturer]])</f>
        <v>1</v>
      </c>
      <c r="I120" t="b">
        <f>OR(Worksheet!$G$7="",Worksheet!$G$7=Table6[[#This Row],[Model No.]])</f>
        <v>1</v>
      </c>
      <c r="J120" t="b">
        <f>OR(Worksheet!$D$8="",Worksheet!$D$8=Table6[[#This Row],[Serial No.]])</f>
        <v>0</v>
      </c>
      <c r="K120" t="b">
        <f>AND(Table6[[#This Row],[categoryname2]:[SN2]])</f>
        <v>0</v>
      </c>
      <c r="L120" t="b">
        <f>AND(Table6[[#This Row],[companyid2]],Table6[[#This Row],[Manufacturer2]:[SN2]])</f>
        <v>0</v>
      </c>
      <c r="M120" t="b">
        <f>AND(Table6[[#This Row],[companyid2]:[categoryname2]],Table6[[#This Row],[Model2]:[SN2]])</f>
        <v>0</v>
      </c>
      <c r="N120" t="b">
        <f>AND(Table6[[#This Row],[companyid2]:[Manufacturer2]],Table6[[#This Row],[SN2]])</f>
        <v>0</v>
      </c>
      <c r="O120" t="b">
        <f>AND(Table6[[#This Row],[companyid2]:[Model2]])</f>
        <v>1</v>
      </c>
      <c r="AS120" s="30"/>
    </row>
    <row r="121" spans="1:47" x14ac:dyDescent="0.25">
      <c r="A121">
        <v>57492</v>
      </c>
      <c r="B121" t="s">
        <v>884</v>
      </c>
      <c r="C121" t="s">
        <v>853</v>
      </c>
      <c r="D121" s="38" t="s">
        <v>904</v>
      </c>
      <c r="E121" s="95" t="s">
        <v>907</v>
      </c>
      <c r="F121" t="b">
        <f>IFERROR(Table6[[#This Row],[companyid]]=DropDowns!$N$20,TRUE)</f>
        <v>1</v>
      </c>
      <c r="G121" t="b">
        <f>OR(Worksheet!$D$5="",Worksheet!$D$5=Table6[[#This Row],[categoryname]])</f>
        <v>1</v>
      </c>
      <c r="H121" t="b">
        <f>OR(Worksheet!$D$7="",Worksheet!$D$7=Table6[[#This Row],[Manufacturer]])</f>
        <v>1</v>
      </c>
      <c r="I121" t="b">
        <f>OR(Worksheet!$G$7="",Worksheet!$G$7=Table6[[#This Row],[Model No.]])</f>
        <v>1</v>
      </c>
      <c r="J121" t="b">
        <f>OR(Worksheet!$D$8="",Worksheet!$D$8=Table6[[#This Row],[Serial No.]])</f>
        <v>0</v>
      </c>
      <c r="K121" t="b">
        <f>AND(Table6[[#This Row],[categoryname2]:[SN2]])</f>
        <v>0</v>
      </c>
      <c r="L121" t="b">
        <f>AND(Table6[[#This Row],[companyid2]],Table6[[#This Row],[Manufacturer2]:[SN2]])</f>
        <v>0</v>
      </c>
      <c r="M121" t="b">
        <f>AND(Table6[[#This Row],[companyid2]:[categoryname2]],Table6[[#This Row],[Model2]:[SN2]])</f>
        <v>0</v>
      </c>
      <c r="N121" t="b">
        <f>AND(Table6[[#This Row],[companyid2]:[Manufacturer2]],Table6[[#This Row],[SN2]])</f>
        <v>0</v>
      </c>
      <c r="O121" t="b">
        <f>AND(Table6[[#This Row],[companyid2]:[Model2]])</f>
        <v>1</v>
      </c>
      <c r="AS121" s="30"/>
    </row>
    <row r="122" spans="1:47" x14ac:dyDescent="0.25">
      <c r="A122">
        <v>57508</v>
      </c>
      <c r="B122" t="s">
        <v>845</v>
      </c>
      <c r="C122" t="s">
        <v>853</v>
      </c>
      <c r="D122" s="38" t="s">
        <v>854</v>
      </c>
      <c r="E122" s="95" t="s">
        <v>860</v>
      </c>
      <c r="F122" t="b">
        <f>IFERROR(Table6[[#This Row],[companyid]]=DropDowns!$N$20,TRUE)</f>
        <v>1</v>
      </c>
      <c r="G122" t="b">
        <f>OR(Worksheet!$D$5="",Worksheet!$D$5=Table6[[#This Row],[categoryname]])</f>
        <v>1</v>
      </c>
      <c r="H122" t="b">
        <f>OR(Worksheet!$D$7="",Worksheet!$D$7=Table6[[#This Row],[Manufacturer]])</f>
        <v>1</v>
      </c>
      <c r="I122" t="b">
        <f>OR(Worksheet!$G$7="",Worksheet!$G$7=Table6[[#This Row],[Model No.]])</f>
        <v>1</v>
      </c>
      <c r="J122" t="b">
        <f>OR(Worksheet!$D$8="",Worksheet!$D$8=Table6[[#This Row],[Serial No.]])</f>
        <v>0</v>
      </c>
      <c r="K122" t="b">
        <f>AND(Table6[[#This Row],[categoryname2]:[SN2]])</f>
        <v>0</v>
      </c>
      <c r="L122" t="b">
        <f>AND(Table6[[#This Row],[companyid2]],Table6[[#This Row],[Manufacturer2]:[SN2]])</f>
        <v>0</v>
      </c>
      <c r="M122" t="b">
        <f>AND(Table6[[#This Row],[companyid2]:[categoryname2]],Table6[[#This Row],[Model2]:[SN2]])</f>
        <v>0</v>
      </c>
      <c r="N122" t="b">
        <f>AND(Table6[[#This Row],[companyid2]:[Manufacturer2]],Table6[[#This Row],[SN2]])</f>
        <v>0</v>
      </c>
      <c r="O122" t="b">
        <f>AND(Table6[[#This Row],[companyid2]:[Model2]])</f>
        <v>1</v>
      </c>
    </row>
    <row r="123" spans="1:47" x14ac:dyDescent="0.25">
      <c r="A123">
        <v>57508</v>
      </c>
      <c r="B123" t="s">
        <v>845</v>
      </c>
      <c r="C123" t="s">
        <v>853</v>
      </c>
      <c r="D123" s="38" t="s">
        <v>854</v>
      </c>
      <c r="E123" s="95" t="s">
        <v>865</v>
      </c>
      <c r="F123" t="b">
        <f>IFERROR(Table6[[#This Row],[companyid]]=DropDowns!$N$20,TRUE)</f>
        <v>1</v>
      </c>
      <c r="G123" t="b">
        <f>OR(Worksheet!$D$5="",Worksheet!$D$5=Table6[[#This Row],[categoryname]])</f>
        <v>1</v>
      </c>
      <c r="H123" t="b">
        <f>OR(Worksheet!$D$7="",Worksheet!$D$7=Table6[[#This Row],[Manufacturer]])</f>
        <v>1</v>
      </c>
      <c r="I123" t="b">
        <f>OR(Worksheet!$G$7="",Worksheet!$G$7=Table6[[#This Row],[Model No.]])</f>
        <v>1</v>
      </c>
      <c r="J123" t="b">
        <f>OR(Worksheet!$D$8="",Worksheet!$D$8=Table6[[#This Row],[Serial No.]])</f>
        <v>0</v>
      </c>
      <c r="K123" t="b">
        <f>AND(Table6[[#This Row],[categoryname2]:[SN2]])</f>
        <v>0</v>
      </c>
      <c r="L123" t="b">
        <f>AND(Table6[[#This Row],[companyid2]],Table6[[#This Row],[Manufacturer2]:[SN2]])</f>
        <v>0</v>
      </c>
      <c r="M123" t="b">
        <f>AND(Table6[[#This Row],[companyid2]:[categoryname2]],Table6[[#This Row],[Model2]:[SN2]])</f>
        <v>0</v>
      </c>
      <c r="N123" t="b">
        <f>AND(Table6[[#This Row],[companyid2]:[Manufacturer2]],Table6[[#This Row],[SN2]])</f>
        <v>0</v>
      </c>
      <c r="O123" t="b">
        <f>AND(Table6[[#This Row],[companyid2]:[Model2]])</f>
        <v>1</v>
      </c>
      <c r="AS123" s="30"/>
    </row>
    <row r="124" spans="1:47" x14ac:dyDescent="0.25">
      <c r="A124">
        <v>57508</v>
      </c>
      <c r="B124" t="s">
        <v>884</v>
      </c>
      <c r="C124" t="s">
        <v>848</v>
      </c>
      <c r="D124" s="38" t="s">
        <v>893</v>
      </c>
      <c r="E124" s="94">
        <v>11326</v>
      </c>
      <c r="F124" t="b">
        <f>IFERROR(Table6[[#This Row],[companyid]]=DropDowns!$N$20,TRUE)</f>
        <v>1</v>
      </c>
      <c r="G124" t="b">
        <f>OR(Worksheet!$D$5="",Worksheet!$D$5=Table6[[#This Row],[categoryname]])</f>
        <v>1</v>
      </c>
      <c r="H124" t="b">
        <f>OR(Worksheet!$D$7="",Worksheet!$D$7=Table6[[#This Row],[Manufacturer]])</f>
        <v>1</v>
      </c>
      <c r="I124" t="b">
        <f>OR(Worksheet!$G$7="",Worksheet!$G$7=Table6[[#This Row],[Model No.]])</f>
        <v>1</v>
      </c>
      <c r="J124" t="b">
        <f>OR(Worksheet!$D$8="",Worksheet!$D$8=Table6[[#This Row],[Serial No.]])</f>
        <v>0</v>
      </c>
      <c r="K124" t="b">
        <f>AND(Table6[[#This Row],[categoryname2]:[SN2]])</f>
        <v>0</v>
      </c>
      <c r="L124" t="b">
        <f>AND(Table6[[#This Row],[companyid2]],Table6[[#This Row],[Manufacturer2]:[SN2]])</f>
        <v>0</v>
      </c>
      <c r="M124" t="b">
        <f>AND(Table6[[#This Row],[companyid2]:[categoryname2]],Table6[[#This Row],[Model2]:[SN2]])</f>
        <v>0</v>
      </c>
      <c r="N124" t="b">
        <f>AND(Table6[[#This Row],[companyid2]:[Manufacturer2]],Table6[[#This Row],[SN2]])</f>
        <v>0</v>
      </c>
      <c r="O124" t="b">
        <f>AND(Table6[[#This Row],[companyid2]:[Model2]])</f>
        <v>1</v>
      </c>
      <c r="AS124" s="30"/>
    </row>
    <row r="125" spans="1:47" x14ac:dyDescent="0.25">
      <c r="A125">
        <v>57508</v>
      </c>
      <c r="B125" t="s">
        <v>884</v>
      </c>
      <c r="C125" t="s">
        <v>853</v>
      </c>
      <c r="D125" s="38" t="s">
        <v>917</v>
      </c>
      <c r="E125" s="95">
        <v>81278</v>
      </c>
      <c r="F125" t="b">
        <f>IFERROR(Table6[[#This Row],[companyid]]=DropDowns!$N$20,TRUE)</f>
        <v>1</v>
      </c>
      <c r="G125" t="b">
        <f>OR(Worksheet!$D$5="",Worksheet!$D$5=Table6[[#This Row],[categoryname]])</f>
        <v>1</v>
      </c>
      <c r="H125" t="b">
        <f>OR(Worksheet!$D$7="",Worksheet!$D$7=Table6[[#This Row],[Manufacturer]])</f>
        <v>1</v>
      </c>
      <c r="I125" t="b">
        <f>OR(Worksheet!$G$7="",Worksheet!$G$7=Table6[[#This Row],[Model No.]])</f>
        <v>1</v>
      </c>
      <c r="J125" t="b">
        <f>OR(Worksheet!$D$8="",Worksheet!$D$8=Table6[[#This Row],[Serial No.]])</f>
        <v>0</v>
      </c>
      <c r="K125" t="b">
        <f>AND(Table6[[#This Row],[categoryname2]:[SN2]])</f>
        <v>0</v>
      </c>
      <c r="L125" t="b">
        <f>AND(Table6[[#This Row],[companyid2]],Table6[[#This Row],[Manufacturer2]:[SN2]])</f>
        <v>0</v>
      </c>
      <c r="M125" t="b">
        <f>AND(Table6[[#This Row],[companyid2]:[categoryname2]],Table6[[#This Row],[Model2]:[SN2]])</f>
        <v>0</v>
      </c>
      <c r="N125" t="b">
        <f>AND(Table6[[#This Row],[companyid2]:[Manufacturer2]],Table6[[#This Row],[SN2]])</f>
        <v>0</v>
      </c>
      <c r="O125" t="b">
        <f>AND(Table6[[#This Row],[companyid2]:[Model2]])</f>
        <v>1</v>
      </c>
      <c r="AS125" s="30"/>
    </row>
    <row r="126" spans="1:47" x14ac:dyDescent="0.25">
      <c r="A126">
        <v>57508</v>
      </c>
      <c r="B126" t="s">
        <v>884</v>
      </c>
      <c r="C126" t="s">
        <v>878</v>
      </c>
      <c r="D126" s="38" t="s">
        <v>901</v>
      </c>
      <c r="E126" s="95" t="s">
        <v>1042</v>
      </c>
      <c r="F126" t="b">
        <f>IFERROR(Table6[[#This Row],[companyid]]=DropDowns!$N$20,TRUE)</f>
        <v>1</v>
      </c>
      <c r="G126" t="b">
        <f>OR(Worksheet!$D$5="",Worksheet!$D$5=Table6[[#This Row],[categoryname]])</f>
        <v>1</v>
      </c>
      <c r="H126" t="b">
        <f>OR(Worksheet!$D$7="",Worksheet!$D$7=Table6[[#This Row],[Manufacturer]])</f>
        <v>1</v>
      </c>
      <c r="I126" t="b">
        <f>OR(Worksheet!$G$7="",Worksheet!$G$7=Table6[[#This Row],[Model No.]])</f>
        <v>1</v>
      </c>
      <c r="J126" t="b">
        <f>OR(Worksheet!$D$8="",Worksheet!$D$8=Table6[[#This Row],[Serial No.]])</f>
        <v>0</v>
      </c>
      <c r="K126" t="b">
        <f>AND(Table6[[#This Row],[categoryname2]:[SN2]])</f>
        <v>0</v>
      </c>
      <c r="L126" t="b">
        <f>AND(Table6[[#This Row],[companyid2]],Table6[[#This Row],[Manufacturer2]:[SN2]])</f>
        <v>0</v>
      </c>
      <c r="M126" t="b">
        <f>AND(Table6[[#This Row],[companyid2]:[categoryname2]],Table6[[#This Row],[Model2]:[SN2]])</f>
        <v>0</v>
      </c>
      <c r="N126" t="b">
        <f>AND(Table6[[#This Row],[companyid2]:[Manufacturer2]],Table6[[#This Row],[SN2]])</f>
        <v>0</v>
      </c>
      <c r="O126" t="b">
        <f>AND(Table6[[#This Row],[companyid2]:[Model2]])</f>
        <v>1</v>
      </c>
      <c r="AS126" s="30"/>
    </row>
    <row r="127" spans="1:47" x14ac:dyDescent="0.25">
      <c r="A127">
        <v>57508</v>
      </c>
      <c r="B127" t="s">
        <v>884</v>
      </c>
      <c r="C127" t="s">
        <v>878</v>
      </c>
      <c r="D127" s="38" t="s">
        <v>1058</v>
      </c>
      <c r="E127" s="95">
        <v>3594</v>
      </c>
      <c r="F127" t="b">
        <f>IFERROR(Table6[[#This Row],[companyid]]=DropDowns!$N$20,TRUE)</f>
        <v>1</v>
      </c>
      <c r="G127" t="b">
        <f>OR(Worksheet!$D$5="",Worksheet!$D$5=Table6[[#This Row],[categoryname]])</f>
        <v>1</v>
      </c>
      <c r="H127" t="b">
        <f>OR(Worksheet!$D$7="",Worksheet!$D$7=Table6[[#This Row],[Manufacturer]])</f>
        <v>1</v>
      </c>
      <c r="I127" t="b">
        <f>OR(Worksheet!$G$7="",Worksheet!$G$7=Table6[[#This Row],[Model No.]])</f>
        <v>1</v>
      </c>
      <c r="J127" t="b">
        <f>OR(Worksheet!$D$8="",Worksheet!$D$8=Table6[[#This Row],[Serial No.]])</f>
        <v>0</v>
      </c>
      <c r="K127" t="b">
        <f>AND(Table6[[#This Row],[categoryname2]:[SN2]])</f>
        <v>0</v>
      </c>
      <c r="L127" t="b">
        <f>AND(Table6[[#This Row],[companyid2]],Table6[[#This Row],[Manufacturer2]:[SN2]])</f>
        <v>0</v>
      </c>
      <c r="M127" t="b">
        <f>AND(Table6[[#This Row],[companyid2]:[categoryname2]],Table6[[#This Row],[Model2]:[SN2]])</f>
        <v>0</v>
      </c>
      <c r="N127" t="b">
        <f>AND(Table6[[#This Row],[companyid2]:[Manufacturer2]],Table6[[#This Row],[SN2]])</f>
        <v>0</v>
      </c>
      <c r="O127" t="b">
        <f>AND(Table6[[#This Row],[companyid2]:[Model2]])</f>
        <v>1</v>
      </c>
      <c r="AS127" s="30"/>
    </row>
    <row r="128" spans="1:47" x14ac:dyDescent="0.25">
      <c r="A128">
        <v>57512</v>
      </c>
      <c r="B128" t="s">
        <v>884</v>
      </c>
      <c r="C128" t="s">
        <v>878</v>
      </c>
      <c r="D128" s="38" t="s">
        <v>879</v>
      </c>
      <c r="E128" s="95">
        <v>97487903</v>
      </c>
      <c r="F128" t="b">
        <f>IFERROR(Table6[[#This Row],[companyid]]=DropDowns!$N$20,TRUE)</f>
        <v>1</v>
      </c>
      <c r="G128" t="b">
        <f>OR(Worksheet!$D$5="",Worksheet!$D$5=Table6[[#This Row],[categoryname]])</f>
        <v>1</v>
      </c>
      <c r="H128" t="b">
        <f>OR(Worksheet!$D$7="",Worksheet!$D$7=Table6[[#This Row],[Manufacturer]])</f>
        <v>1</v>
      </c>
      <c r="I128" t="b">
        <f>OR(Worksheet!$G$7="",Worksheet!$G$7=Table6[[#This Row],[Model No.]])</f>
        <v>1</v>
      </c>
      <c r="J128" t="b">
        <f>OR(Worksheet!$D$8="",Worksheet!$D$8=Table6[[#This Row],[Serial No.]])</f>
        <v>0</v>
      </c>
      <c r="K128" t="b">
        <f>AND(Table6[[#This Row],[categoryname2]:[SN2]])</f>
        <v>0</v>
      </c>
      <c r="L128" t="b">
        <f>AND(Table6[[#This Row],[companyid2]],Table6[[#This Row],[Manufacturer2]:[SN2]])</f>
        <v>0</v>
      </c>
      <c r="M128" t="b">
        <f>AND(Table6[[#This Row],[companyid2]:[categoryname2]],Table6[[#This Row],[Model2]:[SN2]])</f>
        <v>0</v>
      </c>
      <c r="N128" t="b">
        <f>AND(Table6[[#This Row],[companyid2]:[Manufacturer2]],Table6[[#This Row],[SN2]])</f>
        <v>0</v>
      </c>
      <c r="O128" t="b">
        <f>AND(Table6[[#This Row],[companyid2]:[Model2]])</f>
        <v>1</v>
      </c>
      <c r="AS128" s="30"/>
    </row>
    <row r="129" spans="1:47" x14ac:dyDescent="0.25">
      <c r="A129">
        <v>57514</v>
      </c>
      <c r="B129" t="s">
        <v>884</v>
      </c>
      <c r="C129" t="s">
        <v>878</v>
      </c>
      <c r="D129" s="38" t="s">
        <v>1048</v>
      </c>
      <c r="E129" s="95" t="s">
        <v>1049</v>
      </c>
      <c r="F129" t="b">
        <f>IFERROR(Table6[[#This Row],[companyid]]=DropDowns!$N$20,TRUE)</f>
        <v>1</v>
      </c>
      <c r="G129" t="b">
        <f>OR(Worksheet!$D$5="",Worksheet!$D$5=Table6[[#This Row],[categoryname]])</f>
        <v>1</v>
      </c>
      <c r="H129" t="b">
        <f>OR(Worksheet!$D$7="",Worksheet!$D$7=Table6[[#This Row],[Manufacturer]])</f>
        <v>1</v>
      </c>
      <c r="I129" t="b">
        <f>OR(Worksheet!$G$7="",Worksheet!$G$7=Table6[[#This Row],[Model No.]])</f>
        <v>1</v>
      </c>
      <c r="J129" t="b">
        <f>OR(Worksheet!$D$8="",Worksheet!$D$8=Table6[[#This Row],[Serial No.]])</f>
        <v>0</v>
      </c>
      <c r="K129" t="b">
        <f>AND(Table6[[#This Row],[categoryname2]:[SN2]])</f>
        <v>0</v>
      </c>
      <c r="L129" t="b">
        <f>AND(Table6[[#This Row],[companyid2]],Table6[[#This Row],[Manufacturer2]:[SN2]])</f>
        <v>0</v>
      </c>
      <c r="M129" t="b">
        <f>AND(Table6[[#This Row],[companyid2]:[categoryname2]],Table6[[#This Row],[Model2]:[SN2]])</f>
        <v>0</v>
      </c>
      <c r="N129" t="b">
        <f>AND(Table6[[#This Row],[companyid2]:[Manufacturer2]],Table6[[#This Row],[SN2]])</f>
        <v>0</v>
      </c>
      <c r="O129" t="b">
        <f>AND(Table6[[#This Row],[companyid2]:[Model2]])</f>
        <v>1</v>
      </c>
      <c r="AS129" s="30"/>
    </row>
    <row r="130" spans="1:47" x14ac:dyDescent="0.25">
      <c r="A130">
        <v>57524</v>
      </c>
      <c r="B130" t="s">
        <v>884</v>
      </c>
      <c r="C130" t="s">
        <v>853</v>
      </c>
      <c r="D130" s="38" t="s">
        <v>902</v>
      </c>
      <c r="E130" s="95">
        <v>22098</v>
      </c>
      <c r="F130" t="b">
        <f>IFERROR(Table6[[#This Row],[companyid]]=DropDowns!$N$20,TRUE)</f>
        <v>1</v>
      </c>
      <c r="G130" t="b">
        <f>OR(Worksheet!$D$5="",Worksheet!$D$5=Table6[[#This Row],[categoryname]])</f>
        <v>1</v>
      </c>
      <c r="H130" t="b">
        <f>OR(Worksheet!$D$7="",Worksheet!$D$7=Table6[[#This Row],[Manufacturer]])</f>
        <v>1</v>
      </c>
      <c r="I130" t="b">
        <f>OR(Worksheet!$G$7="",Worksheet!$G$7=Table6[[#This Row],[Model No.]])</f>
        <v>1</v>
      </c>
      <c r="J130" t="b">
        <f>OR(Worksheet!$D$8="",Worksheet!$D$8=Table6[[#This Row],[Serial No.]])</f>
        <v>0</v>
      </c>
      <c r="K130" t="b">
        <f>AND(Table6[[#This Row],[categoryname2]:[SN2]])</f>
        <v>0</v>
      </c>
      <c r="L130" t="b">
        <f>AND(Table6[[#This Row],[companyid2]],Table6[[#This Row],[Manufacturer2]:[SN2]])</f>
        <v>0</v>
      </c>
      <c r="M130" t="b">
        <f>AND(Table6[[#This Row],[companyid2]:[categoryname2]],Table6[[#This Row],[Model2]:[SN2]])</f>
        <v>0</v>
      </c>
      <c r="N130" t="b">
        <f>AND(Table6[[#This Row],[companyid2]:[Manufacturer2]],Table6[[#This Row],[SN2]])</f>
        <v>0</v>
      </c>
      <c r="O130" t="b">
        <f>AND(Table6[[#This Row],[companyid2]:[Model2]])</f>
        <v>1</v>
      </c>
      <c r="AS130" s="30"/>
    </row>
    <row r="131" spans="1:47" x14ac:dyDescent="0.25">
      <c r="A131">
        <v>57524</v>
      </c>
      <c r="B131" t="s">
        <v>884</v>
      </c>
      <c r="C131" t="s">
        <v>878</v>
      </c>
      <c r="D131" s="38" t="s">
        <v>1068</v>
      </c>
      <c r="E131" s="95">
        <v>1323</v>
      </c>
      <c r="F131" t="b">
        <f>IFERROR(Table6[[#This Row],[companyid]]=DropDowns!$N$20,TRUE)</f>
        <v>1</v>
      </c>
      <c r="G131" t="b">
        <f>OR(Worksheet!$D$5="",Worksheet!$D$5=Table6[[#This Row],[categoryname]])</f>
        <v>1</v>
      </c>
      <c r="H131" t="b">
        <f>OR(Worksheet!$D$7="",Worksheet!$D$7=Table6[[#This Row],[Manufacturer]])</f>
        <v>1</v>
      </c>
      <c r="I131" t="b">
        <f>OR(Worksheet!$G$7="",Worksheet!$G$7=Table6[[#This Row],[Model No.]])</f>
        <v>1</v>
      </c>
      <c r="J131" t="b">
        <f>OR(Worksheet!$D$8="",Worksheet!$D$8=Table6[[#This Row],[Serial No.]])</f>
        <v>0</v>
      </c>
      <c r="K131" t="b">
        <f>AND(Table6[[#This Row],[categoryname2]:[SN2]])</f>
        <v>0</v>
      </c>
      <c r="L131" t="b">
        <f>AND(Table6[[#This Row],[companyid2]],Table6[[#This Row],[Manufacturer2]:[SN2]])</f>
        <v>0</v>
      </c>
      <c r="M131" t="b">
        <f>AND(Table6[[#This Row],[companyid2]:[categoryname2]],Table6[[#This Row],[Model2]:[SN2]])</f>
        <v>0</v>
      </c>
      <c r="N131" t="b">
        <f>AND(Table6[[#This Row],[companyid2]:[Manufacturer2]],Table6[[#This Row],[SN2]])</f>
        <v>0</v>
      </c>
      <c r="O131" t="b">
        <f>AND(Table6[[#This Row],[companyid2]:[Model2]])</f>
        <v>1</v>
      </c>
      <c r="AS131" s="30"/>
    </row>
    <row r="132" spans="1:47" x14ac:dyDescent="0.25">
      <c r="A132">
        <v>57525</v>
      </c>
      <c r="B132" t="s">
        <v>845</v>
      </c>
      <c r="C132" t="s">
        <v>853</v>
      </c>
      <c r="D132" s="38" t="s">
        <v>854</v>
      </c>
      <c r="E132" s="95">
        <v>16502</v>
      </c>
      <c r="F132" t="b">
        <f>IFERROR(Table6[[#This Row],[companyid]]=DropDowns!$N$20,TRUE)</f>
        <v>1</v>
      </c>
      <c r="G132" t="b">
        <f>OR(Worksheet!$D$5="",Worksheet!$D$5=Table6[[#This Row],[categoryname]])</f>
        <v>1</v>
      </c>
      <c r="H132" t="b">
        <f>OR(Worksheet!$D$7="",Worksheet!$D$7=Table6[[#This Row],[Manufacturer]])</f>
        <v>1</v>
      </c>
      <c r="I132" t="b">
        <f>OR(Worksheet!$G$7="",Worksheet!$G$7=Table6[[#This Row],[Model No.]])</f>
        <v>1</v>
      </c>
      <c r="J132" t="b">
        <f>OR(Worksheet!$D$8="",Worksheet!$D$8=Table6[[#This Row],[Serial No.]])</f>
        <v>0</v>
      </c>
      <c r="K132" t="b">
        <f>AND(Table6[[#This Row],[categoryname2]:[SN2]])</f>
        <v>0</v>
      </c>
      <c r="L132" t="b">
        <f>AND(Table6[[#This Row],[companyid2]],Table6[[#This Row],[Manufacturer2]:[SN2]])</f>
        <v>0</v>
      </c>
      <c r="M132" t="b">
        <f>AND(Table6[[#This Row],[companyid2]:[categoryname2]],Table6[[#This Row],[Model2]:[SN2]])</f>
        <v>0</v>
      </c>
      <c r="N132" t="b">
        <f>AND(Table6[[#This Row],[companyid2]:[Manufacturer2]],Table6[[#This Row],[SN2]])</f>
        <v>0</v>
      </c>
      <c r="O132" t="b">
        <f>AND(Table6[[#This Row],[companyid2]:[Model2]])</f>
        <v>1</v>
      </c>
      <c r="AS132" s="30"/>
    </row>
    <row r="133" spans="1:47" x14ac:dyDescent="0.25">
      <c r="A133">
        <v>57525</v>
      </c>
      <c r="B133" t="s">
        <v>845</v>
      </c>
      <c r="C133" t="s">
        <v>853</v>
      </c>
      <c r="D133" s="38" t="s">
        <v>869</v>
      </c>
      <c r="E133" s="95">
        <v>191664</v>
      </c>
      <c r="F133" t="b">
        <f>IFERROR(Table6[[#This Row],[companyid]]=DropDowns!$N$20,TRUE)</f>
        <v>1</v>
      </c>
      <c r="G133" t="b">
        <f>OR(Worksheet!$D$5="",Worksheet!$D$5=Table6[[#This Row],[categoryname]])</f>
        <v>1</v>
      </c>
      <c r="H133" t="b">
        <f>OR(Worksheet!$D$7="",Worksheet!$D$7=Table6[[#This Row],[Manufacturer]])</f>
        <v>1</v>
      </c>
      <c r="I133" t="b">
        <f>OR(Worksheet!$G$7="",Worksheet!$G$7=Table6[[#This Row],[Model No.]])</f>
        <v>1</v>
      </c>
      <c r="J133" t="b">
        <f>OR(Worksheet!$D$8="",Worksheet!$D$8=Table6[[#This Row],[Serial No.]])</f>
        <v>0</v>
      </c>
      <c r="K133" t="b">
        <f>AND(Table6[[#This Row],[categoryname2]:[SN2]])</f>
        <v>0</v>
      </c>
      <c r="L133" t="b">
        <f>AND(Table6[[#This Row],[companyid2]],Table6[[#This Row],[Manufacturer2]:[SN2]])</f>
        <v>0</v>
      </c>
      <c r="M133" t="b">
        <f>AND(Table6[[#This Row],[companyid2]:[categoryname2]],Table6[[#This Row],[Model2]:[SN2]])</f>
        <v>0</v>
      </c>
      <c r="N133" t="b">
        <f>AND(Table6[[#This Row],[companyid2]:[Manufacturer2]],Table6[[#This Row],[SN2]])</f>
        <v>0</v>
      </c>
      <c r="O133" t="b">
        <f>AND(Table6[[#This Row],[companyid2]:[Model2]])</f>
        <v>1</v>
      </c>
      <c r="AS133" s="30"/>
    </row>
    <row r="134" spans="1:47" x14ac:dyDescent="0.25">
      <c r="A134">
        <v>57525</v>
      </c>
      <c r="B134" t="s">
        <v>884</v>
      </c>
      <c r="C134" t="s">
        <v>853</v>
      </c>
      <c r="D134" s="38" t="s">
        <v>911</v>
      </c>
      <c r="E134" s="94" t="s">
        <v>912</v>
      </c>
      <c r="F134" t="b">
        <f>IFERROR(Table6[[#This Row],[companyid]]=DropDowns!$N$20,TRUE)</f>
        <v>1</v>
      </c>
      <c r="G134" t="b">
        <f>OR(Worksheet!$D$5="",Worksheet!$D$5=Table6[[#This Row],[categoryname]])</f>
        <v>1</v>
      </c>
      <c r="H134" t="b">
        <f>OR(Worksheet!$D$7="",Worksheet!$D$7=Table6[[#This Row],[Manufacturer]])</f>
        <v>1</v>
      </c>
      <c r="I134" t="b">
        <f>OR(Worksheet!$G$7="",Worksheet!$G$7=Table6[[#This Row],[Model No.]])</f>
        <v>1</v>
      </c>
      <c r="J134" t="b">
        <f>OR(Worksheet!$D$8="",Worksheet!$D$8=Table6[[#This Row],[Serial No.]])</f>
        <v>0</v>
      </c>
      <c r="K134" t="b">
        <f>AND(Table6[[#This Row],[categoryname2]:[SN2]])</f>
        <v>0</v>
      </c>
      <c r="L134" t="b">
        <f>AND(Table6[[#This Row],[companyid2]],Table6[[#This Row],[Manufacturer2]:[SN2]])</f>
        <v>0</v>
      </c>
      <c r="M134" t="b">
        <f>AND(Table6[[#This Row],[companyid2]:[categoryname2]],Table6[[#This Row],[Model2]:[SN2]])</f>
        <v>0</v>
      </c>
      <c r="N134" t="b">
        <f>AND(Table6[[#This Row],[companyid2]:[Manufacturer2]],Table6[[#This Row],[SN2]])</f>
        <v>0</v>
      </c>
      <c r="O134" t="b">
        <f>AND(Table6[[#This Row],[companyid2]:[Model2]])</f>
        <v>1</v>
      </c>
    </row>
    <row r="135" spans="1:47" x14ac:dyDescent="0.25">
      <c r="A135">
        <v>57525</v>
      </c>
      <c r="B135" t="s">
        <v>884</v>
      </c>
      <c r="C135" t="s">
        <v>953</v>
      </c>
      <c r="D135" s="38" t="s">
        <v>955</v>
      </c>
      <c r="E135" s="95" t="s">
        <v>956</v>
      </c>
      <c r="F135" t="b">
        <f>IFERROR(Table6[[#This Row],[companyid]]=DropDowns!$N$20,TRUE)</f>
        <v>1</v>
      </c>
      <c r="G135" t="b">
        <f>OR(Worksheet!$D$5="",Worksheet!$D$5=Table6[[#This Row],[categoryname]])</f>
        <v>1</v>
      </c>
      <c r="H135" t="b">
        <f>OR(Worksheet!$D$7="",Worksheet!$D$7=Table6[[#This Row],[Manufacturer]])</f>
        <v>1</v>
      </c>
      <c r="I135" t="b">
        <f>OR(Worksheet!$G$7="",Worksheet!$G$7=Table6[[#This Row],[Model No.]])</f>
        <v>1</v>
      </c>
      <c r="J135" t="b">
        <f>OR(Worksheet!$D$8="",Worksheet!$D$8=Table6[[#This Row],[Serial No.]])</f>
        <v>0</v>
      </c>
      <c r="K135" t="b">
        <f>AND(Table6[[#This Row],[categoryname2]:[SN2]])</f>
        <v>0</v>
      </c>
      <c r="L135" t="b">
        <f>AND(Table6[[#This Row],[companyid2]],Table6[[#This Row],[Manufacturer2]:[SN2]])</f>
        <v>0</v>
      </c>
      <c r="M135" t="b">
        <f>AND(Table6[[#This Row],[companyid2]:[categoryname2]],Table6[[#This Row],[Model2]:[SN2]])</f>
        <v>0</v>
      </c>
      <c r="N135" t="b">
        <f>AND(Table6[[#This Row],[companyid2]:[Manufacturer2]],Table6[[#This Row],[SN2]])</f>
        <v>0</v>
      </c>
      <c r="O135" t="b">
        <f>AND(Table6[[#This Row],[companyid2]:[Model2]])</f>
        <v>1</v>
      </c>
    </row>
    <row r="136" spans="1:47" x14ac:dyDescent="0.25">
      <c r="A136">
        <v>57534</v>
      </c>
      <c r="B136" t="s">
        <v>845</v>
      </c>
      <c r="C136" t="s">
        <v>853</v>
      </c>
      <c r="D136" s="38" t="s">
        <v>854</v>
      </c>
      <c r="E136" s="95">
        <v>181595</v>
      </c>
      <c r="F136" t="b">
        <f>IFERROR(Table6[[#This Row],[companyid]]=DropDowns!$N$20,TRUE)</f>
        <v>1</v>
      </c>
      <c r="G136" t="b">
        <f>OR(Worksheet!$D$5="",Worksheet!$D$5=Table6[[#This Row],[categoryname]])</f>
        <v>1</v>
      </c>
      <c r="H136" t="b">
        <f>OR(Worksheet!$D$7="",Worksheet!$D$7=Table6[[#This Row],[Manufacturer]])</f>
        <v>1</v>
      </c>
      <c r="I136" t="b">
        <f>OR(Worksheet!$G$7="",Worksheet!$G$7=Table6[[#This Row],[Model No.]])</f>
        <v>1</v>
      </c>
      <c r="J136" t="b">
        <f>OR(Worksheet!$D$8="",Worksheet!$D$8=Table6[[#This Row],[Serial No.]])</f>
        <v>0</v>
      </c>
      <c r="K136" t="b">
        <f>AND(Table6[[#This Row],[categoryname2]:[SN2]])</f>
        <v>0</v>
      </c>
      <c r="L136" t="b">
        <f>AND(Table6[[#This Row],[companyid2]],Table6[[#This Row],[Manufacturer2]:[SN2]])</f>
        <v>0</v>
      </c>
      <c r="M136" t="b">
        <f>AND(Table6[[#This Row],[companyid2]:[categoryname2]],Table6[[#This Row],[Model2]:[SN2]])</f>
        <v>0</v>
      </c>
      <c r="N136" t="b">
        <f>AND(Table6[[#This Row],[companyid2]:[Manufacturer2]],Table6[[#This Row],[SN2]])</f>
        <v>0</v>
      </c>
      <c r="O136" t="b">
        <f>AND(Table6[[#This Row],[companyid2]:[Model2]])</f>
        <v>1</v>
      </c>
      <c r="AS136" s="30"/>
      <c r="AU136" s="30"/>
    </row>
    <row r="137" spans="1:47" x14ac:dyDescent="0.25">
      <c r="A137">
        <v>57534</v>
      </c>
      <c r="B137" t="s">
        <v>884</v>
      </c>
      <c r="C137" t="s">
        <v>853</v>
      </c>
      <c r="D137" s="38" t="s">
        <v>869</v>
      </c>
      <c r="E137" s="94">
        <v>17557</v>
      </c>
      <c r="F137" t="b">
        <f>IFERROR(Table6[[#This Row],[companyid]]=DropDowns!$N$20,TRUE)</f>
        <v>1</v>
      </c>
      <c r="G137" t="b">
        <f>OR(Worksheet!$D$5="",Worksheet!$D$5=Table6[[#This Row],[categoryname]])</f>
        <v>1</v>
      </c>
      <c r="H137" t="b">
        <f>OR(Worksheet!$D$7="",Worksheet!$D$7=Table6[[#This Row],[Manufacturer]])</f>
        <v>1</v>
      </c>
      <c r="I137" t="b">
        <f>OR(Worksheet!$G$7="",Worksheet!$G$7=Table6[[#This Row],[Model No.]])</f>
        <v>1</v>
      </c>
      <c r="J137" t="b">
        <f>OR(Worksheet!$D$8="",Worksheet!$D$8=Table6[[#This Row],[Serial No.]])</f>
        <v>0</v>
      </c>
      <c r="K137" t="b">
        <f>AND(Table6[[#This Row],[categoryname2]:[SN2]])</f>
        <v>0</v>
      </c>
      <c r="L137" t="b">
        <f>AND(Table6[[#This Row],[companyid2]],Table6[[#This Row],[Manufacturer2]:[SN2]])</f>
        <v>0</v>
      </c>
      <c r="M137" t="b">
        <f>AND(Table6[[#This Row],[companyid2]:[categoryname2]],Table6[[#This Row],[Model2]:[SN2]])</f>
        <v>0</v>
      </c>
      <c r="N137" t="b">
        <f>AND(Table6[[#This Row],[companyid2]:[Manufacturer2]],Table6[[#This Row],[SN2]])</f>
        <v>0</v>
      </c>
      <c r="O137" t="b">
        <f>AND(Table6[[#This Row],[companyid2]:[Model2]])</f>
        <v>1</v>
      </c>
      <c r="AS137" s="30"/>
    </row>
    <row r="138" spans="1:47" x14ac:dyDescent="0.25">
      <c r="A138">
        <v>57534</v>
      </c>
      <c r="B138" t="s">
        <v>884</v>
      </c>
      <c r="C138" t="s">
        <v>940</v>
      </c>
      <c r="D138" s="38" t="s">
        <v>941</v>
      </c>
      <c r="E138" s="95">
        <v>30061037</v>
      </c>
      <c r="F138" t="b">
        <f>IFERROR(Table6[[#This Row],[companyid]]=DropDowns!$N$20,TRUE)</f>
        <v>1</v>
      </c>
      <c r="G138" t="b">
        <f>OR(Worksheet!$D$5="",Worksheet!$D$5=Table6[[#This Row],[categoryname]])</f>
        <v>1</v>
      </c>
      <c r="H138" t="b">
        <f>OR(Worksheet!$D$7="",Worksheet!$D$7=Table6[[#This Row],[Manufacturer]])</f>
        <v>1</v>
      </c>
      <c r="I138" t="b">
        <f>OR(Worksheet!$G$7="",Worksheet!$G$7=Table6[[#This Row],[Model No.]])</f>
        <v>1</v>
      </c>
      <c r="J138" t="b">
        <f>OR(Worksheet!$D$8="",Worksheet!$D$8=Table6[[#This Row],[Serial No.]])</f>
        <v>0</v>
      </c>
      <c r="K138" t="b">
        <f>AND(Table6[[#This Row],[categoryname2]:[SN2]])</f>
        <v>0</v>
      </c>
      <c r="L138" t="b">
        <f>AND(Table6[[#This Row],[companyid2]],Table6[[#This Row],[Manufacturer2]:[SN2]])</f>
        <v>0</v>
      </c>
      <c r="M138" t="b">
        <f>AND(Table6[[#This Row],[companyid2]:[categoryname2]],Table6[[#This Row],[Model2]:[SN2]])</f>
        <v>0</v>
      </c>
      <c r="N138" t="b">
        <f>AND(Table6[[#This Row],[companyid2]:[Manufacturer2]],Table6[[#This Row],[SN2]])</f>
        <v>0</v>
      </c>
      <c r="O138" t="b">
        <f>AND(Table6[[#This Row],[companyid2]:[Model2]])</f>
        <v>1</v>
      </c>
      <c r="AS138" s="30"/>
    </row>
    <row r="139" spans="1:47" x14ac:dyDescent="0.25">
      <c r="A139">
        <v>57534</v>
      </c>
      <c r="B139" t="s">
        <v>884</v>
      </c>
      <c r="C139" t="s">
        <v>991</v>
      </c>
      <c r="D139" s="38" t="s">
        <v>996</v>
      </c>
      <c r="E139" s="95" t="s">
        <v>997</v>
      </c>
      <c r="F139" t="b">
        <f>IFERROR(Table6[[#This Row],[companyid]]=DropDowns!$N$20,TRUE)</f>
        <v>1</v>
      </c>
      <c r="G139" t="b">
        <f>OR(Worksheet!$D$5="",Worksheet!$D$5=Table6[[#This Row],[categoryname]])</f>
        <v>1</v>
      </c>
      <c r="H139" t="b">
        <f>OR(Worksheet!$D$7="",Worksheet!$D$7=Table6[[#This Row],[Manufacturer]])</f>
        <v>1</v>
      </c>
      <c r="I139" t="b">
        <f>OR(Worksheet!$G$7="",Worksheet!$G$7=Table6[[#This Row],[Model No.]])</f>
        <v>1</v>
      </c>
      <c r="J139" t="b">
        <f>OR(Worksheet!$D$8="",Worksheet!$D$8=Table6[[#This Row],[Serial No.]])</f>
        <v>0</v>
      </c>
      <c r="K139" t="b">
        <f>AND(Table6[[#This Row],[categoryname2]:[SN2]])</f>
        <v>0</v>
      </c>
      <c r="L139" t="b">
        <f>AND(Table6[[#This Row],[companyid2]],Table6[[#This Row],[Manufacturer2]:[SN2]])</f>
        <v>0</v>
      </c>
      <c r="M139" t="b">
        <f>AND(Table6[[#This Row],[companyid2]:[categoryname2]],Table6[[#This Row],[Model2]:[SN2]])</f>
        <v>0</v>
      </c>
      <c r="N139" t="b">
        <f>AND(Table6[[#This Row],[companyid2]:[Manufacturer2]],Table6[[#This Row],[SN2]])</f>
        <v>0</v>
      </c>
      <c r="O139" t="b">
        <f>AND(Table6[[#This Row],[companyid2]:[Model2]])</f>
        <v>1</v>
      </c>
      <c r="AS139" s="30"/>
    </row>
    <row r="140" spans="1:47" x14ac:dyDescent="0.25">
      <c r="A140">
        <v>57534</v>
      </c>
      <c r="B140" t="s">
        <v>884</v>
      </c>
      <c r="C140" t="s">
        <v>991</v>
      </c>
      <c r="D140" s="38" t="s">
        <v>996</v>
      </c>
      <c r="E140" s="95" t="s">
        <v>998</v>
      </c>
      <c r="F140" t="b">
        <f>IFERROR(Table6[[#This Row],[companyid]]=DropDowns!$N$20,TRUE)</f>
        <v>1</v>
      </c>
      <c r="G140" t="b">
        <f>OR(Worksheet!$D$5="",Worksheet!$D$5=Table6[[#This Row],[categoryname]])</f>
        <v>1</v>
      </c>
      <c r="H140" t="b">
        <f>OR(Worksheet!$D$7="",Worksheet!$D$7=Table6[[#This Row],[Manufacturer]])</f>
        <v>1</v>
      </c>
      <c r="I140" t="b">
        <f>OR(Worksheet!$G$7="",Worksheet!$G$7=Table6[[#This Row],[Model No.]])</f>
        <v>1</v>
      </c>
      <c r="J140" t="b">
        <f>OR(Worksheet!$D$8="",Worksheet!$D$8=Table6[[#This Row],[Serial No.]])</f>
        <v>0</v>
      </c>
      <c r="K140" t="b">
        <f>AND(Table6[[#This Row],[categoryname2]:[SN2]])</f>
        <v>0</v>
      </c>
      <c r="L140" t="b">
        <f>AND(Table6[[#This Row],[companyid2]],Table6[[#This Row],[Manufacturer2]:[SN2]])</f>
        <v>0</v>
      </c>
      <c r="M140" t="b">
        <f>AND(Table6[[#This Row],[companyid2]:[categoryname2]],Table6[[#This Row],[Model2]:[SN2]])</f>
        <v>0</v>
      </c>
      <c r="N140" t="b">
        <f>AND(Table6[[#This Row],[companyid2]:[Manufacturer2]],Table6[[#This Row],[SN2]])</f>
        <v>0</v>
      </c>
      <c r="O140" t="b">
        <f>AND(Table6[[#This Row],[companyid2]:[Model2]])</f>
        <v>1</v>
      </c>
      <c r="AS140" s="30"/>
    </row>
    <row r="141" spans="1:47" x14ac:dyDescent="0.25">
      <c r="A141">
        <v>57543</v>
      </c>
      <c r="B141" t="s">
        <v>884</v>
      </c>
      <c r="C141" t="s">
        <v>878</v>
      </c>
      <c r="D141" s="38" t="s">
        <v>1068</v>
      </c>
      <c r="E141" s="95">
        <v>1414</v>
      </c>
      <c r="F141" t="b">
        <f>IFERROR(Table6[[#This Row],[companyid]]=DropDowns!$N$20,TRUE)</f>
        <v>1</v>
      </c>
      <c r="G141" t="b">
        <f>OR(Worksheet!$D$5="",Worksheet!$D$5=Table6[[#This Row],[categoryname]])</f>
        <v>1</v>
      </c>
      <c r="H141" t="b">
        <f>OR(Worksheet!$D$7="",Worksheet!$D$7=Table6[[#This Row],[Manufacturer]])</f>
        <v>1</v>
      </c>
      <c r="I141" t="b">
        <f>OR(Worksheet!$G$7="",Worksheet!$G$7=Table6[[#This Row],[Model No.]])</f>
        <v>1</v>
      </c>
      <c r="J141" t="b">
        <f>OR(Worksheet!$D$8="",Worksheet!$D$8=Table6[[#This Row],[Serial No.]])</f>
        <v>0</v>
      </c>
      <c r="K141" t="b">
        <f>AND(Table6[[#This Row],[categoryname2]:[SN2]])</f>
        <v>0</v>
      </c>
      <c r="L141" t="b">
        <f>AND(Table6[[#This Row],[companyid2]],Table6[[#This Row],[Manufacturer2]:[SN2]])</f>
        <v>0</v>
      </c>
      <c r="M141" t="b">
        <f>AND(Table6[[#This Row],[companyid2]:[categoryname2]],Table6[[#This Row],[Model2]:[SN2]])</f>
        <v>0</v>
      </c>
      <c r="N141" t="b">
        <f>AND(Table6[[#This Row],[companyid2]:[Manufacturer2]],Table6[[#This Row],[SN2]])</f>
        <v>0</v>
      </c>
      <c r="O141" t="b">
        <f>AND(Table6[[#This Row],[companyid2]:[Model2]])</f>
        <v>1</v>
      </c>
      <c r="AS141" s="30"/>
    </row>
    <row r="142" spans="1:47" x14ac:dyDescent="0.25">
      <c r="A142">
        <v>57562</v>
      </c>
      <c r="B142" t="s">
        <v>884</v>
      </c>
      <c r="C142" t="s">
        <v>853</v>
      </c>
      <c r="D142" s="38" t="s">
        <v>929</v>
      </c>
      <c r="E142" s="95" t="s">
        <v>930</v>
      </c>
      <c r="F142" t="b">
        <f>IFERROR(Table6[[#This Row],[companyid]]=DropDowns!$N$20,TRUE)</f>
        <v>1</v>
      </c>
      <c r="G142" t="b">
        <f>OR(Worksheet!$D$5="",Worksheet!$D$5=Table6[[#This Row],[categoryname]])</f>
        <v>1</v>
      </c>
      <c r="H142" t="b">
        <f>OR(Worksheet!$D$7="",Worksheet!$D$7=Table6[[#This Row],[Manufacturer]])</f>
        <v>1</v>
      </c>
      <c r="I142" t="b">
        <f>OR(Worksheet!$G$7="",Worksheet!$G$7=Table6[[#This Row],[Model No.]])</f>
        <v>1</v>
      </c>
      <c r="J142" t="b">
        <f>OR(Worksheet!$D$8="",Worksheet!$D$8=Table6[[#This Row],[Serial No.]])</f>
        <v>0</v>
      </c>
      <c r="K142" t="b">
        <f>AND(Table6[[#This Row],[categoryname2]:[SN2]])</f>
        <v>0</v>
      </c>
      <c r="L142" t="b">
        <f>AND(Table6[[#This Row],[companyid2]],Table6[[#This Row],[Manufacturer2]:[SN2]])</f>
        <v>0</v>
      </c>
      <c r="M142" t="b">
        <f>AND(Table6[[#This Row],[companyid2]:[categoryname2]],Table6[[#This Row],[Model2]:[SN2]])</f>
        <v>0</v>
      </c>
      <c r="N142" t="b">
        <f>AND(Table6[[#This Row],[companyid2]:[Manufacturer2]],Table6[[#This Row],[SN2]])</f>
        <v>0</v>
      </c>
      <c r="O142" t="b">
        <f>AND(Table6[[#This Row],[companyid2]:[Model2]])</f>
        <v>1</v>
      </c>
    </row>
    <row r="143" spans="1:47" x14ac:dyDescent="0.25">
      <c r="A143">
        <v>57598</v>
      </c>
      <c r="B143" t="s">
        <v>884</v>
      </c>
      <c r="C143" t="s">
        <v>1103</v>
      </c>
      <c r="D143" s="38" t="s">
        <v>1106</v>
      </c>
      <c r="E143" s="95">
        <v>7960</v>
      </c>
      <c r="F143" t="b">
        <f>IFERROR(Table6[[#This Row],[companyid]]=DropDowns!$N$20,TRUE)</f>
        <v>1</v>
      </c>
      <c r="G143" t="b">
        <f>OR(Worksheet!$D$5="",Worksheet!$D$5=Table6[[#This Row],[categoryname]])</f>
        <v>1</v>
      </c>
      <c r="H143" t="b">
        <f>OR(Worksheet!$D$7="",Worksheet!$D$7=Table6[[#This Row],[Manufacturer]])</f>
        <v>1</v>
      </c>
      <c r="I143" t="b">
        <f>OR(Worksheet!$G$7="",Worksheet!$G$7=Table6[[#This Row],[Model No.]])</f>
        <v>1</v>
      </c>
      <c r="J143" t="b">
        <f>OR(Worksheet!$D$8="",Worksheet!$D$8=Table6[[#This Row],[Serial No.]])</f>
        <v>0</v>
      </c>
      <c r="K143" t="b">
        <f>AND(Table6[[#This Row],[categoryname2]:[SN2]])</f>
        <v>0</v>
      </c>
      <c r="L143" t="b">
        <f>AND(Table6[[#This Row],[companyid2]],Table6[[#This Row],[Manufacturer2]:[SN2]])</f>
        <v>0</v>
      </c>
      <c r="M143" t="b">
        <f>AND(Table6[[#This Row],[companyid2]:[categoryname2]],Table6[[#This Row],[Model2]:[SN2]])</f>
        <v>0</v>
      </c>
      <c r="N143" t="b">
        <f>AND(Table6[[#This Row],[companyid2]:[Manufacturer2]],Table6[[#This Row],[SN2]])</f>
        <v>0</v>
      </c>
      <c r="O143" t="b">
        <f>AND(Table6[[#This Row],[companyid2]:[Model2]])</f>
        <v>1</v>
      </c>
    </row>
    <row r="144" spans="1:47" x14ac:dyDescent="0.25">
      <c r="A144">
        <v>57615</v>
      </c>
      <c r="B144" t="s">
        <v>884</v>
      </c>
      <c r="C144" t="s">
        <v>942</v>
      </c>
      <c r="D144" s="38" t="s">
        <v>944</v>
      </c>
      <c r="E144" s="95">
        <v>8535</v>
      </c>
      <c r="F144" t="b">
        <f>IFERROR(Table6[[#This Row],[companyid]]=DropDowns!$N$20,TRUE)</f>
        <v>1</v>
      </c>
      <c r="G144" t="b">
        <f>OR(Worksheet!$D$5="",Worksheet!$D$5=Table6[[#This Row],[categoryname]])</f>
        <v>1</v>
      </c>
      <c r="H144" t="b">
        <f>OR(Worksheet!$D$7="",Worksheet!$D$7=Table6[[#This Row],[Manufacturer]])</f>
        <v>1</v>
      </c>
      <c r="I144" t="b">
        <f>OR(Worksheet!$G$7="",Worksheet!$G$7=Table6[[#This Row],[Model No.]])</f>
        <v>1</v>
      </c>
      <c r="J144" t="b">
        <f>OR(Worksheet!$D$8="",Worksheet!$D$8=Table6[[#This Row],[Serial No.]])</f>
        <v>0</v>
      </c>
      <c r="K144" t="b">
        <f>AND(Table6[[#This Row],[categoryname2]:[SN2]])</f>
        <v>0</v>
      </c>
      <c r="L144" t="b">
        <f>AND(Table6[[#This Row],[companyid2]],Table6[[#This Row],[Manufacturer2]:[SN2]])</f>
        <v>0</v>
      </c>
      <c r="M144" t="b">
        <f>AND(Table6[[#This Row],[companyid2]:[categoryname2]],Table6[[#This Row],[Model2]:[SN2]])</f>
        <v>0</v>
      </c>
      <c r="N144" t="b">
        <f>AND(Table6[[#This Row],[companyid2]:[Manufacturer2]],Table6[[#This Row],[SN2]])</f>
        <v>0</v>
      </c>
      <c r="O144" t="b">
        <f>AND(Table6[[#This Row],[companyid2]:[Model2]])</f>
        <v>1</v>
      </c>
    </row>
    <row r="145" spans="1:15" x14ac:dyDescent="0.25">
      <c r="A145">
        <v>57615</v>
      </c>
      <c r="B145" t="s">
        <v>884</v>
      </c>
      <c r="C145" t="s">
        <v>953</v>
      </c>
      <c r="D145" s="38" t="s">
        <v>961</v>
      </c>
      <c r="E145" s="95">
        <v>160648</v>
      </c>
      <c r="F145" t="b">
        <f>IFERROR(Table6[[#This Row],[companyid]]=DropDowns!$N$20,TRUE)</f>
        <v>1</v>
      </c>
      <c r="G145" t="b">
        <f>OR(Worksheet!$D$5="",Worksheet!$D$5=Table6[[#This Row],[categoryname]])</f>
        <v>1</v>
      </c>
      <c r="H145" t="b">
        <f>OR(Worksheet!$D$7="",Worksheet!$D$7=Table6[[#This Row],[Manufacturer]])</f>
        <v>1</v>
      </c>
      <c r="I145" t="b">
        <f>OR(Worksheet!$G$7="",Worksheet!$G$7=Table6[[#This Row],[Model No.]])</f>
        <v>1</v>
      </c>
      <c r="J145" t="b">
        <f>OR(Worksheet!$D$8="",Worksheet!$D$8=Table6[[#This Row],[Serial No.]])</f>
        <v>0</v>
      </c>
      <c r="K145" t="b">
        <f>AND(Table6[[#This Row],[categoryname2]:[SN2]])</f>
        <v>0</v>
      </c>
      <c r="L145" t="b">
        <f>AND(Table6[[#This Row],[companyid2]],Table6[[#This Row],[Manufacturer2]:[SN2]])</f>
        <v>0</v>
      </c>
      <c r="M145" t="b">
        <f>AND(Table6[[#This Row],[companyid2]:[categoryname2]],Table6[[#This Row],[Model2]:[SN2]])</f>
        <v>0</v>
      </c>
      <c r="N145" t="b">
        <f>AND(Table6[[#This Row],[companyid2]:[Manufacturer2]],Table6[[#This Row],[SN2]])</f>
        <v>0</v>
      </c>
      <c r="O145" t="b">
        <f>AND(Table6[[#This Row],[companyid2]:[Model2]])</f>
        <v>1</v>
      </c>
    </row>
    <row r="146" spans="1:15" x14ac:dyDescent="0.25">
      <c r="A146">
        <v>57649</v>
      </c>
      <c r="B146" t="s">
        <v>884</v>
      </c>
      <c r="C146" t="s">
        <v>878</v>
      </c>
      <c r="D146" s="38" t="s">
        <v>1052</v>
      </c>
      <c r="E146" s="95" t="s">
        <v>1053</v>
      </c>
      <c r="F146" t="b">
        <f>IFERROR(Table6[[#This Row],[companyid]]=DropDowns!$N$20,TRUE)</f>
        <v>1</v>
      </c>
      <c r="G146" t="b">
        <f>OR(Worksheet!$D$5="",Worksheet!$D$5=Table6[[#This Row],[categoryname]])</f>
        <v>1</v>
      </c>
      <c r="H146" t="b">
        <f>OR(Worksheet!$D$7="",Worksheet!$D$7=Table6[[#This Row],[Manufacturer]])</f>
        <v>1</v>
      </c>
      <c r="I146" t="b">
        <f>OR(Worksheet!$G$7="",Worksheet!$G$7=Table6[[#This Row],[Model No.]])</f>
        <v>1</v>
      </c>
      <c r="J146" t="b">
        <f>OR(Worksheet!$D$8="",Worksheet!$D$8=Table6[[#This Row],[Serial No.]])</f>
        <v>0</v>
      </c>
      <c r="K146" t="b">
        <f>AND(Table6[[#This Row],[categoryname2]:[SN2]])</f>
        <v>0</v>
      </c>
      <c r="L146" t="b">
        <f>AND(Table6[[#This Row],[companyid2]],Table6[[#This Row],[Manufacturer2]:[SN2]])</f>
        <v>0</v>
      </c>
      <c r="M146" t="b">
        <f>AND(Table6[[#This Row],[companyid2]:[categoryname2]],Table6[[#This Row],[Model2]:[SN2]])</f>
        <v>0</v>
      </c>
      <c r="N146" t="b">
        <f>AND(Table6[[#This Row],[companyid2]:[Manufacturer2]],Table6[[#This Row],[SN2]])</f>
        <v>0</v>
      </c>
      <c r="O146" t="b">
        <f>AND(Table6[[#This Row],[companyid2]:[Model2]])</f>
        <v>1</v>
      </c>
    </row>
    <row r="147" spans="1:15" x14ac:dyDescent="0.25">
      <c r="A147">
        <v>57667</v>
      </c>
      <c r="B147" t="s">
        <v>884</v>
      </c>
      <c r="C147" t="s">
        <v>878</v>
      </c>
      <c r="D147" s="38">
        <v>2000</v>
      </c>
      <c r="E147" s="95" t="s">
        <v>1032</v>
      </c>
      <c r="F147" t="b">
        <f>IFERROR(Table6[[#This Row],[companyid]]=DropDowns!$N$20,TRUE)</f>
        <v>1</v>
      </c>
      <c r="G147" t="b">
        <f>OR(Worksheet!$D$5="",Worksheet!$D$5=Table6[[#This Row],[categoryname]])</f>
        <v>1</v>
      </c>
      <c r="H147" t="b">
        <f>OR(Worksheet!$D$7="",Worksheet!$D$7=Table6[[#This Row],[Manufacturer]])</f>
        <v>1</v>
      </c>
      <c r="I147" t="b">
        <f>OR(Worksheet!$G$7="",Worksheet!$G$7=Table6[[#This Row],[Model No.]])</f>
        <v>1</v>
      </c>
      <c r="J147" t="b">
        <f>OR(Worksheet!$D$8="",Worksheet!$D$8=Table6[[#This Row],[Serial No.]])</f>
        <v>0</v>
      </c>
      <c r="K147" t="b">
        <f>AND(Table6[[#This Row],[categoryname2]:[SN2]])</f>
        <v>0</v>
      </c>
      <c r="L147" t="b">
        <f>AND(Table6[[#This Row],[companyid2]],Table6[[#This Row],[Manufacturer2]:[SN2]])</f>
        <v>0</v>
      </c>
      <c r="M147" t="b">
        <f>AND(Table6[[#This Row],[companyid2]:[categoryname2]],Table6[[#This Row],[Model2]:[SN2]])</f>
        <v>0</v>
      </c>
      <c r="N147" t="b">
        <f>AND(Table6[[#This Row],[companyid2]:[Manufacturer2]],Table6[[#This Row],[SN2]])</f>
        <v>0</v>
      </c>
      <c r="O147" t="b">
        <f>AND(Table6[[#This Row],[companyid2]:[Model2]])</f>
        <v>1</v>
      </c>
    </row>
    <row r="148" spans="1:15" x14ac:dyDescent="0.25">
      <c r="A148">
        <v>57682</v>
      </c>
      <c r="B148" t="s">
        <v>884</v>
      </c>
      <c r="C148" t="s">
        <v>932</v>
      </c>
      <c r="D148" s="38" t="s">
        <v>933</v>
      </c>
      <c r="E148" s="95">
        <v>13696</v>
      </c>
      <c r="F148" t="b">
        <f>IFERROR(Table6[[#This Row],[companyid]]=DropDowns!$N$20,TRUE)</f>
        <v>1</v>
      </c>
      <c r="G148" t="b">
        <f>OR(Worksheet!$D$5="",Worksheet!$D$5=Table6[[#This Row],[categoryname]])</f>
        <v>1</v>
      </c>
      <c r="H148" t="b">
        <f>OR(Worksheet!$D$7="",Worksheet!$D$7=Table6[[#This Row],[Manufacturer]])</f>
        <v>1</v>
      </c>
      <c r="I148" t="b">
        <f>OR(Worksheet!$G$7="",Worksheet!$G$7=Table6[[#This Row],[Model No.]])</f>
        <v>1</v>
      </c>
      <c r="J148" t="b">
        <f>OR(Worksheet!$D$8="",Worksheet!$D$8=Table6[[#This Row],[Serial No.]])</f>
        <v>0</v>
      </c>
      <c r="K148" t="b">
        <f>AND(Table6[[#This Row],[categoryname2]:[SN2]])</f>
        <v>0</v>
      </c>
      <c r="L148" t="b">
        <f>AND(Table6[[#This Row],[companyid2]],Table6[[#This Row],[Manufacturer2]:[SN2]])</f>
        <v>0</v>
      </c>
      <c r="M148" t="b">
        <f>AND(Table6[[#This Row],[companyid2]:[categoryname2]],Table6[[#This Row],[Model2]:[SN2]])</f>
        <v>0</v>
      </c>
      <c r="N148" t="b">
        <f>AND(Table6[[#This Row],[companyid2]:[Manufacturer2]],Table6[[#This Row],[SN2]])</f>
        <v>0</v>
      </c>
      <c r="O148" t="b">
        <f>AND(Table6[[#This Row],[companyid2]:[Model2]])</f>
        <v>1</v>
      </c>
    </row>
    <row r="149" spans="1:15" x14ac:dyDescent="0.25">
      <c r="A149">
        <v>57693</v>
      </c>
      <c r="B149" t="s">
        <v>884</v>
      </c>
      <c r="C149" t="s">
        <v>853</v>
      </c>
      <c r="D149" s="38" t="s">
        <v>900</v>
      </c>
      <c r="E149" s="95">
        <v>9927</v>
      </c>
      <c r="F149" t="b">
        <f>IFERROR(Table6[[#This Row],[companyid]]=DropDowns!$N$20,TRUE)</f>
        <v>1</v>
      </c>
      <c r="G149" t="b">
        <f>OR(Worksheet!$D$5="",Worksheet!$D$5=Table6[[#This Row],[categoryname]])</f>
        <v>1</v>
      </c>
      <c r="H149" t="b">
        <f>OR(Worksheet!$D$7="",Worksheet!$D$7=Table6[[#This Row],[Manufacturer]])</f>
        <v>1</v>
      </c>
      <c r="I149" t="b">
        <f>OR(Worksheet!$G$7="",Worksheet!$G$7=Table6[[#This Row],[Model No.]])</f>
        <v>1</v>
      </c>
      <c r="J149" t="b">
        <f>OR(Worksheet!$D$8="",Worksheet!$D$8=Table6[[#This Row],[Serial No.]])</f>
        <v>0</v>
      </c>
      <c r="K149" t="b">
        <f>AND(Table6[[#This Row],[categoryname2]:[SN2]])</f>
        <v>0</v>
      </c>
      <c r="L149" t="b">
        <f>AND(Table6[[#This Row],[companyid2]],Table6[[#This Row],[Manufacturer2]:[SN2]])</f>
        <v>0</v>
      </c>
      <c r="M149" t="b">
        <f>AND(Table6[[#This Row],[companyid2]:[categoryname2]],Table6[[#This Row],[Model2]:[SN2]])</f>
        <v>0</v>
      </c>
      <c r="N149" t="b">
        <f>AND(Table6[[#This Row],[companyid2]:[Manufacturer2]],Table6[[#This Row],[SN2]])</f>
        <v>0</v>
      </c>
      <c r="O149" t="b">
        <f>AND(Table6[[#This Row],[companyid2]:[Model2]])</f>
        <v>1</v>
      </c>
    </row>
    <row r="150" spans="1:15" x14ac:dyDescent="0.25">
      <c r="A150">
        <v>57693</v>
      </c>
      <c r="B150" t="s">
        <v>884</v>
      </c>
      <c r="C150" t="s">
        <v>962</v>
      </c>
      <c r="D150" s="38" t="s">
        <v>978</v>
      </c>
      <c r="E150" s="95">
        <v>992</v>
      </c>
      <c r="F150" t="b">
        <f>IFERROR(Table6[[#This Row],[companyid]]=DropDowns!$N$20,TRUE)</f>
        <v>1</v>
      </c>
      <c r="G150" t="b">
        <f>OR(Worksheet!$D$5="",Worksheet!$D$5=Table6[[#This Row],[categoryname]])</f>
        <v>1</v>
      </c>
      <c r="H150" t="b">
        <f>OR(Worksheet!$D$7="",Worksheet!$D$7=Table6[[#This Row],[Manufacturer]])</f>
        <v>1</v>
      </c>
      <c r="I150" t="b">
        <f>OR(Worksheet!$G$7="",Worksheet!$G$7=Table6[[#This Row],[Model No.]])</f>
        <v>1</v>
      </c>
      <c r="J150" t="b">
        <f>OR(Worksheet!$D$8="",Worksheet!$D$8=Table6[[#This Row],[Serial No.]])</f>
        <v>0</v>
      </c>
      <c r="K150" t="b">
        <f>AND(Table6[[#This Row],[categoryname2]:[SN2]])</f>
        <v>0</v>
      </c>
      <c r="L150" t="b">
        <f>AND(Table6[[#This Row],[companyid2]],Table6[[#This Row],[Manufacturer2]:[SN2]])</f>
        <v>0</v>
      </c>
      <c r="M150" t="b">
        <f>AND(Table6[[#This Row],[companyid2]:[categoryname2]],Table6[[#This Row],[Model2]:[SN2]])</f>
        <v>0</v>
      </c>
      <c r="N150" t="b">
        <f>AND(Table6[[#This Row],[companyid2]:[Manufacturer2]],Table6[[#This Row],[SN2]])</f>
        <v>0</v>
      </c>
      <c r="O150" t="b">
        <f>AND(Table6[[#This Row],[companyid2]:[Model2]])</f>
        <v>1</v>
      </c>
    </row>
    <row r="151" spans="1:15" x14ac:dyDescent="0.25">
      <c r="A151">
        <v>57704</v>
      </c>
      <c r="B151" t="s">
        <v>884</v>
      </c>
      <c r="C151" t="s">
        <v>878</v>
      </c>
      <c r="D151" s="38" t="s">
        <v>1058</v>
      </c>
      <c r="E151" s="95">
        <v>5216</v>
      </c>
      <c r="F151" t="b">
        <f>IFERROR(Table6[[#This Row],[companyid]]=DropDowns!$N$20,TRUE)</f>
        <v>1</v>
      </c>
      <c r="G151" t="b">
        <f>OR(Worksheet!$D$5="",Worksheet!$D$5=Table6[[#This Row],[categoryname]])</f>
        <v>1</v>
      </c>
      <c r="H151" t="b">
        <f>OR(Worksheet!$D$7="",Worksheet!$D$7=Table6[[#This Row],[Manufacturer]])</f>
        <v>1</v>
      </c>
      <c r="I151" t="b">
        <f>OR(Worksheet!$G$7="",Worksheet!$G$7=Table6[[#This Row],[Model No.]])</f>
        <v>1</v>
      </c>
      <c r="J151" t="b">
        <f>OR(Worksheet!$D$8="",Worksheet!$D$8=Table6[[#This Row],[Serial No.]])</f>
        <v>0</v>
      </c>
      <c r="K151" t="b">
        <f>AND(Table6[[#This Row],[categoryname2]:[SN2]])</f>
        <v>0</v>
      </c>
      <c r="L151" t="b">
        <f>AND(Table6[[#This Row],[companyid2]],Table6[[#This Row],[Manufacturer2]:[SN2]])</f>
        <v>0</v>
      </c>
      <c r="M151" t="b">
        <f>AND(Table6[[#This Row],[companyid2]:[categoryname2]],Table6[[#This Row],[Model2]:[SN2]])</f>
        <v>0</v>
      </c>
      <c r="N151" t="b">
        <f>AND(Table6[[#This Row],[companyid2]:[Manufacturer2]],Table6[[#This Row],[SN2]])</f>
        <v>0</v>
      </c>
      <c r="O151" t="b">
        <f>AND(Table6[[#This Row],[companyid2]:[Model2]])</f>
        <v>1</v>
      </c>
    </row>
    <row r="152" spans="1:15" x14ac:dyDescent="0.25">
      <c r="A152">
        <v>57718</v>
      </c>
      <c r="B152" t="s">
        <v>884</v>
      </c>
      <c r="C152" t="s">
        <v>853</v>
      </c>
      <c r="D152" s="38" t="s">
        <v>900</v>
      </c>
      <c r="E152" s="95">
        <v>9927</v>
      </c>
      <c r="F152" t="b">
        <f>IFERROR(Table6[[#This Row],[companyid]]=DropDowns!$N$20,TRUE)</f>
        <v>1</v>
      </c>
      <c r="G152" t="b">
        <f>OR(Worksheet!$D$5="",Worksheet!$D$5=Table6[[#This Row],[categoryname]])</f>
        <v>1</v>
      </c>
      <c r="H152" t="b">
        <f>OR(Worksheet!$D$7="",Worksheet!$D$7=Table6[[#This Row],[Manufacturer]])</f>
        <v>1</v>
      </c>
      <c r="I152" t="b">
        <f>OR(Worksheet!$G$7="",Worksheet!$G$7=Table6[[#This Row],[Model No.]])</f>
        <v>1</v>
      </c>
      <c r="J152" t="b">
        <f>OR(Worksheet!$D$8="",Worksheet!$D$8=Table6[[#This Row],[Serial No.]])</f>
        <v>0</v>
      </c>
      <c r="K152" t="b">
        <f>AND(Table6[[#This Row],[categoryname2]:[SN2]])</f>
        <v>0</v>
      </c>
      <c r="L152" t="b">
        <f>AND(Table6[[#This Row],[companyid2]],Table6[[#This Row],[Manufacturer2]:[SN2]])</f>
        <v>0</v>
      </c>
      <c r="M152" t="b">
        <f>AND(Table6[[#This Row],[companyid2]:[categoryname2]],Table6[[#This Row],[Model2]:[SN2]])</f>
        <v>0</v>
      </c>
      <c r="N152" t="b">
        <f>AND(Table6[[#This Row],[companyid2]:[Manufacturer2]],Table6[[#This Row],[SN2]])</f>
        <v>0</v>
      </c>
      <c r="O152" t="b">
        <f>AND(Table6[[#This Row],[companyid2]:[Model2]])</f>
        <v>1</v>
      </c>
    </row>
    <row r="153" spans="1:15" x14ac:dyDescent="0.25">
      <c r="A153">
        <v>57718</v>
      </c>
      <c r="B153" t="s">
        <v>884</v>
      </c>
      <c r="C153" t="s">
        <v>953</v>
      </c>
      <c r="D153" s="38" t="s">
        <v>957</v>
      </c>
      <c r="E153" s="95" t="s">
        <v>958</v>
      </c>
      <c r="F153" t="b">
        <f>IFERROR(Table6[[#This Row],[companyid]]=DropDowns!$N$20,TRUE)</f>
        <v>1</v>
      </c>
      <c r="G153" t="b">
        <f>OR(Worksheet!$D$5="",Worksheet!$D$5=Table6[[#This Row],[categoryname]])</f>
        <v>1</v>
      </c>
      <c r="H153" t="b">
        <f>OR(Worksheet!$D$7="",Worksheet!$D$7=Table6[[#This Row],[Manufacturer]])</f>
        <v>1</v>
      </c>
      <c r="I153" t="b">
        <f>OR(Worksheet!$G$7="",Worksheet!$G$7=Table6[[#This Row],[Model No.]])</f>
        <v>1</v>
      </c>
      <c r="J153" t="b">
        <f>OR(Worksheet!$D$8="",Worksheet!$D$8=Table6[[#This Row],[Serial No.]])</f>
        <v>0</v>
      </c>
      <c r="K153" t="b">
        <f>AND(Table6[[#This Row],[categoryname2]:[SN2]])</f>
        <v>0</v>
      </c>
      <c r="L153" t="b">
        <f>AND(Table6[[#This Row],[companyid2]],Table6[[#This Row],[Manufacturer2]:[SN2]])</f>
        <v>0</v>
      </c>
      <c r="M153" t="b">
        <f>AND(Table6[[#This Row],[companyid2]:[categoryname2]],Table6[[#This Row],[Model2]:[SN2]])</f>
        <v>0</v>
      </c>
      <c r="N153" t="b">
        <f>AND(Table6[[#This Row],[companyid2]:[Manufacturer2]],Table6[[#This Row],[SN2]])</f>
        <v>0</v>
      </c>
      <c r="O153" t="b">
        <f>AND(Table6[[#This Row],[companyid2]:[Model2]])</f>
        <v>1</v>
      </c>
    </row>
    <row r="154" spans="1:15" x14ac:dyDescent="0.25">
      <c r="A154">
        <v>57718</v>
      </c>
      <c r="B154" t="s">
        <v>884</v>
      </c>
      <c r="C154" t="s">
        <v>962</v>
      </c>
      <c r="D154" s="38" t="s">
        <v>978</v>
      </c>
      <c r="E154" s="95">
        <v>992</v>
      </c>
      <c r="F154" t="b">
        <f>IFERROR(Table6[[#This Row],[companyid]]=DropDowns!$N$20,TRUE)</f>
        <v>1</v>
      </c>
      <c r="G154" t="b">
        <f>OR(Worksheet!$D$5="",Worksheet!$D$5=Table6[[#This Row],[categoryname]])</f>
        <v>1</v>
      </c>
      <c r="H154" t="b">
        <f>OR(Worksheet!$D$7="",Worksheet!$D$7=Table6[[#This Row],[Manufacturer]])</f>
        <v>1</v>
      </c>
      <c r="I154" t="b">
        <f>OR(Worksheet!$G$7="",Worksheet!$G$7=Table6[[#This Row],[Model No.]])</f>
        <v>1</v>
      </c>
      <c r="J154" t="b">
        <f>OR(Worksheet!$D$8="",Worksheet!$D$8=Table6[[#This Row],[Serial No.]])</f>
        <v>0</v>
      </c>
      <c r="K154" t="b">
        <f>AND(Table6[[#This Row],[categoryname2]:[SN2]])</f>
        <v>0</v>
      </c>
      <c r="L154" t="b">
        <f>AND(Table6[[#This Row],[companyid2]],Table6[[#This Row],[Manufacturer2]:[SN2]])</f>
        <v>0</v>
      </c>
      <c r="M154" t="b">
        <f>AND(Table6[[#This Row],[companyid2]:[categoryname2]],Table6[[#This Row],[Model2]:[SN2]])</f>
        <v>0</v>
      </c>
      <c r="N154" t="b">
        <f>AND(Table6[[#This Row],[companyid2]:[Manufacturer2]],Table6[[#This Row],[SN2]])</f>
        <v>0</v>
      </c>
      <c r="O154" t="b">
        <f>AND(Table6[[#This Row],[companyid2]:[Model2]])</f>
        <v>1</v>
      </c>
    </row>
    <row r="155" spans="1:15" x14ac:dyDescent="0.25">
      <c r="A155">
        <v>57749</v>
      </c>
      <c r="B155" t="s">
        <v>884</v>
      </c>
      <c r="C155" t="s">
        <v>853</v>
      </c>
      <c r="D155" s="38" t="s">
        <v>903</v>
      </c>
      <c r="E155" s="95">
        <v>20638</v>
      </c>
      <c r="F155" t="b">
        <f>IFERROR(Table6[[#This Row],[companyid]]=DropDowns!$N$20,TRUE)</f>
        <v>1</v>
      </c>
      <c r="G155" t="b">
        <f>OR(Worksheet!$D$5="",Worksheet!$D$5=Table6[[#This Row],[categoryname]])</f>
        <v>1</v>
      </c>
      <c r="H155" t="b">
        <f>OR(Worksheet!$D$7="",Worksheet!$D$7=Table6[[#This Row],[Manufacturer]])</f>
        <v>1</v>
      </c>
      <c r="I155" t="b">
        <f>OR(Worksheet!$G$7="",Worksheet!$G$7=Table6[[#This Row],[Model No.]])</f>
        <v>1</v>
      </c>
      <c r="J155" t="b">
        <f>OR(Worksheet!$D$8="",Worksheet!$D$8=Table6[[#This Row],[Serial No.]])</f>
        <v>0</v>
      </c>
      <c r="K155" t="b">
        <f>AND(Table6[[#This Row],[categoryname2]:[SN2]])</f>
        <v>0</v>
      </c>
      <c r="L155" t="b">
        <f>AND(Table6[[#This Row],[companyid2]],Table6[[#This Row],[Manufacturer2]:[SN2]])</f>
        <v>0</v>
      </c>
      <c r="M155" t="b">
        <f>AND(Table6[[#This Row],[companyid2]:[categoryname2]],Table6[[#This Row],[Model2]:[SN2]])</f>
        <v>0</v>
      </c>
      <c r="N155" t="b">
        <f>AND(Table6[[#This Row],[companyid2]:[Manufacturer2]],Table6[[#This Row],[SN2]])</f>
        <v>0</v>
      </c>
      <c r="O155" t="b">
        <f>AND(Table6[[#This Row],[companyid2]:[Model2]])</f>
        <v>1</v>
      </c>
    </row>
    <row r="156" spans="1:15" x14ac:dyDescent="0.25">
      <c r="A156">
        <v>57760</v>
      </c>
      <c r="B156" t="s">
        <v>884</v>
      </c>
      <c r="C156" t="s">
        <v>878</v>
      </c>
      <c r="D156" s="38" t="s">
        <v>1067</v>
      </c>
      <c r="E156" s="95">
        <v>7710</v>
      </c>
      <c r="F156" t="b">
        <f>IFERROR(Table6[[#This Row],[companyid]]=DropDowns!$N$20,TRUE)</f>
        <v>1</v>
      </c>
      <c r="G156" t="b">
        <f>OR(Worksheet!$D$5="",Worksheet!$D$5=Table6[[#This Row],[categoryname]])</f>
        <v>1</v>
      </c>
      <c r="H156" t="b">
        <f>OR(Worksheet!$D$7="",Worksheet!$D$7=Table6[[#This Row],[Manufacturer]])</f>
        <v>1</v>
      </c>
      <c r="I156" t="b">
        <f>OR(Worksheet!$G$7="",Worksheet!$G$7=Table6[[#This Row],[Model No.]])</f>
        <v>1</v>
      </c>
      <c r="J156" t="b">
        <f>OR(Worksheet!$D$8="",Worksheet!$D$8=Table6[[#This Row],[Serial No.]])</f>
        <v>0</v>
      </c>
      <c r="K156" t="b">
        <f>AND(Table6[[#This Row],[categoryname2]:[SN2]])</f>
        <v>0</v>
      </c>
      <c r="L156" t="b">
        <f>AND(Table6[[#This Row],[companyid2]],Table6[[#This Row],[Manufacturer2]:[SN2]])</f>
        <v>0</v>
      </c>
      <c r="M156" t="b">
        <f>AND(Table6[[#This Row],[companyid2]:[categoryname2]],Table6[[#This Row],[Model2]:[SN2]])</f>
        <v>0</v>
      </c>
      <c r="N156" t="b">
        <f>AND(Table6[[#This Row],[companyid2]:[Manufacturer2]],Table6[[#This Row],[SN2]])</f>
        <v>0</v>
      </c>
      <c r="O156" t="b">
        <f>AND(Table6[[#This Row],[companyid2]:[Model2]])</f>
        <v>1</v>
      </c>
    </row>
    <row r="157" spans="1:15" x14ac:dyDescent="0.25">
      <c r="A157">
        <v>57762</v>
      </c>
      <c r="B157" t="s">
        <v>884</v>
      </c>
      <c r="D157" s="38" t="s">
        <v>951</v>
      </c>
      <c r="E157" s="95" t="s">
        <v>1110</v>
      </c>
      <c r="F157" t="b">
        <f>IFERROR(Table6[[#This Row],[companyid]]=DropDowns!$N$20,TRUE)</f>
        <v>1</v>
      </c>
      <c r="G157" t="b">
        <f>OR(Worksheet!$D$5="",Worksheet!$D$5=Table6[[#This Row],[categoryname]])</f>
        <v>1</v>
      </c>
      <c r="H157" t="b">
        <f>OR(Worksheet!$D$7="",Worksheet!$D$7=Table6[[#This Row],[Manufacturer]])</f>
        <v>1</v>
      </c>
      <c r="I157" t="b">
        <f>OR(Worksheet!$G$7="",Worksheet!$G$7=Table6[[#This Row],[Model No.]])</f>
        <v>1</v>
      </c>
      <c r="J157" t="b">
        <f>OR(Worksheet!$D$8="",Worksheet!$D$8=Table6[[#This Row],[Serial No.]])</f>
        <v>0</v>
      </c>
      <c r="K157" t="b">
        <f>AND(Table6[[#This Row],[categoryname2]:[SN2]])</f>
        <v>0</v>
      </c>
      <c r="L157" t="b">
        <f>AND(Table6[[#This Row],[companyid2]],Table6[[#This Row],[Manufacturer2]:[SN2]])</f>
        <v>0</v>
      </c>
      <c r="M157" t="b">
        <f>AND(Table6[[#This Row],[companyid2]:[categoryname2]],Table6[[#This Row],[Model2]:[SN2]])</f>
        <v>0</v>
      </c>
      <c r="N157" t="b">
        <f>AND(Table6[[#This Row],[companyid2]:[Manufacturer2]],Table6[[#This Row],[SN2]])</f>
        <v>0</v>
      </c>
      <c r="O157" t="b">
        <f>AND(Table6[[#This Row],[companyid2]:[Model2]])</f>
        <v>1</v>
      </c>
    </row>
    <row r="158" spans="1:15" x14ac:dyDescent="0.25">
      <c r="A158">
        <v>57777</v>
      </c>
      <c r="B158" t="s">
        <v>884</v>
      </c>
      <c r="C158" t="s">
        <v>878</v>
      </c>
      <c r="D158" s="38" t="s">
        <v>1072</v>
      </c>
      <c r="E158" s="95">
        <v>919</v>
      </c>
      <c r="F158" t="b">
        <f>IFERROR(Table6[[#This Row],[companyid]]=DropDowns!$N$20,TRUE)</f>
        <v>1</v>
      </c>
      <c r="G158" t="b">
        <f>OR(Worksheet!$D$5="",Worksheet!$D$5=Table6[[#This Row],[categoryname]])</f>
        <v>1</v>
      </c>
      <c r="H158" t="b">
        <f>OR(Worksheet!$D$7="",Worksheet!$D$7=Table6[[#This Row],[Manufacturer]])</f>
        <v>1</v>
      </c>
      <c r="I158" t="b">
        <f>OR(Worksheet!$G$7="",Worksheet!$G$7=Table6[[#This Row],[Model No.]])</f>
        <v>1</v>
      </c>
      <c r="J158" t="b">
        <f>OR(Worksheet!$D$8="",Worksheet!$D$8=Table6[[#This Row],[Serial No.]])</f>
        <v>0</v>
      </c>
      <c r="K158" t="b">
        <f>AND(Table6[[#This Row],[categoryname2]:[SN2]])</f>
        <v>0</v>
      </c>
      <c r="L158" t="b">
        <f>AND(Table6[[#This Row],[companyid2]],Table6[[#This Row],[Manufacturer2]:[SN2]])</f>
        <v>0</v>
      </c>
      <c r="M158" t="b">
        <f>AND(Table6[[#This Row],[companyid2]:[categoryname2]],Table6[[#This Row],[Model2]:[SN2]])</f>
        <v>0</v>
      </c>
      <c r="N158" t="b">
        <f>AND(Table6[[#This Row],[companyid2]:[Manufacturer2]],Table6[[#This Row],[SN2]])</f>
        <v>0</v>
      </c>
      <c r="O158" t="b">
        <f>AND(Table6[[#This Row],[companyid2]:[Model2]])</f>
        <v>1</v>
      </c>
    </row>
    <row r="159" spans="1:15" x14ac:dyDescent="0.25">
      <c r="A159">
        <v>57778</v>
      </c>
      <c r="B159" t="s">
        <v>884</v>
      </c>
      <c r="C159" t="s">
        <v>878</v>
      </c>
      <c r="D159" s="38" t="s">
        <v>1058</v>
      </c>
      <c r="E159" s="95" t="s">
        <v>1065</v>
      </c>
      <c r="F159" t="b">
        <f>IFERROR(Table6[[#This Row],[companyid]]=DropDowns!$N$20,TRUE)</f>
        <v>1</v>
      </c>
      <c r="G159" t="b">
        <f>OR(Worksheet!$D$5="",Worksheet!$D$5=Table6[[#This Row],[categoryname]])</f>
        <v>1</v>
      </c>
      <c r="H159" t="b">
        <f>OR(Worksheet!$D$7="",Worksheet!$D$7=Table6[[#This Row],[Manufacturer]])</f>
        <v>1</v>
      </c>
      <c r="I159" t="b">
        <f>OR(Worksheet!$G$7="",Worksheet!$G$7=Table6[[#This Row],[Model No.]])</f>
        <v>1</v>
      </c>
      <c r="J159" t="b">
        <f>OR(Worksheet!$D$8="",Worksheet!$D$8=Table6[[#This Row],[Serial No.]])</f>
        <v>0</v>
      </c>
      <c r="K159" t="b">
        <f>AND(Table6[[#This Row],[categoryname2]:[SN2]])</f>
        <v>0</v>
      </c>
      <c r="L159" t="b">
        <f>AND(Table6[[#This Row],[companyid2]],Table6[[#This Row],[Manufacturer2]:[SN2]])</f>
        <v>0</v>
      </c>
      <c r="M159" t="b">
        <f>AND(Table6[[#This Row],[companyid2]:[categoryname2]],Table6[[#This Row],[Model2]:[SN2]])</f>
        <v>0</v>
      </c>
      <c r="N159" t="b">
        <f>AND(Table6[[#This Row],[companyid2]:[Manufacturer2]],Table6[[#This Row],[SN2]])</f>
        <v>0</v>
      </c>
      <c r="O159" t="b">
        <f>AND(Table6[[#This Row],[companyid2]:[Model2]])</f>
        <v>1</v>
      </c>
    </row>
    <row r="160" spans="1:15" x14ac:dyDescent="0.25">
      <c r="A160">
        <v>57790</v>
      </c>
      <c r="B160" t="s">
        <v>884</v>
      </c>
      <c r="C160" t="s">
        <v>991</v>
      </c>
      <c r="D160" s="38" t="s">
        <v>879</v>
      </c>
      <c r="E160" s="95" t="s">
        <v>993</v>
      </c>
      <c r="F160" t="b">
        <f>IFERROR(Table6[[#This Row],[companyid]]=DropDowns!$N$20,TRUE)</f>
        <v>1</v>
      </c>
      <c r="G160" t="b">
        <f>OR(Worksheet!$D$5="",Worksheet!$D$5=Table6[[#This Row],[categoryname]])</f>
        <v>1</v>
      </c>
      <c r="H160" t="b">
        <f>OR(Worksheet!$D$7="",Worksheet!$D$7=Table6[[#This Row],[Manufacturer]])</f>
        <v>1</v>
      </c>
      <c r="I160" t="b">
        <f>OR(Worksheet!$G$7="",Worksheet!$G$7=Table6[[#This Row],[Model No.]])</f>
        <v>1</v>
      </c>
      <c r="J160" t="b">
        <f>OR(Worksheet!$D$8="",Worksheet!$D$8=Table6[[#This Row],[Serial No.]])</f>
        <v>0</v>
      </c>
      <c r="K160" t="b">
        <f>AND(Table6[[#This Row],[categoryname2]:[SN2]])</f>
        <v>0</v>
      </c>
      <c r="L160" t="b">
        <f>AND(Table6[[#This Row],[companyid2]],Table6[[#This Row],[Manufacturer2]:[SN2]])</f>
        <v>0</v>
      </c>
      <c r="M160" t="b">
        <f>AND(Table6[[#This Row],[companyid2]:[categoryname2]],Table6[[#This Row],[Model2]:[SN2]])</f>
        <v>0</v>
      </c>
      <c r="N160" t="b">
        <f>AND(Table6[[#This Row],[companyid2]:[Manufacturer2]],Table6[[#This Row],[SN2]])</f>
        <v>0</v>
      </c>
      <c r="O160" t="b">
        <f>AND(Table6[[#This Row],[companyid2]:[Model2]])</f>
        <v>1</v>
      </c>
    </row>
    <row r="161" spans="1:15" x14ac:dyDescent="0.25">
      <c r="A161">
        <v>57790</v>
      </c>
      <c r="B161" t="s">
        <v>884</v>
      </c>
      <c r="C161" t="s">
        <v>991</v>
      </c>
      <c r="D161" s="38" t="s">
        <v>879</v>
      </c>
      <c r="E161" s="95" t="s">
        <v>994</v>
      </c>
      <c r="F161" t="b">
        <f>IFERROR(Table6[[#This Row],[companyid]]=DropDowns!$N$20,TRUE)</f>
        <v>1</v>
      </c>
      <c r="G161" t="b">
        <f>OR(Worksheet!$D$5="",Worksheet!$D$5=Table6[[#This Row],[categoryname]])</f>
        <v>1</v>
      </c>
      <c r="H161" t="b">
        <f>OR(Worksheet!$D$7="",Worksheet!$D$7=Table6[[#This Row],[Manufacturer]])</f>
        <v>1</v>
      </c>
      <c r="I161" t="b">
        <f>OR(Worksheet!$G$7="",Worksheet!$G$7=Table6[[#This Row],[Model No.]])</f>
        <v>1</v>
      </c>
      <c r="J161" t="b">
        <f>OR(Worksheet!$D$8="",Worksheet!$D$8=Table6[[#This Row],[Serial No.]])</f>
        <v>0</v>
      </c>
      <c r="K161" t="b">
        <f>AND(Table6[[#This Row],[categoryname2]:[SN2]])</f>
        <v>0</v>
      </c>
      <c r="L161" t="b">
        <f>AND(Table6[[#This Row],[companyid2]],Table6[[#This Row],[Manufacturer2]:[SN2]])</f>
        <v>0</v>
      </c>
      <c r="M161" t="b">
        <f>AND(Table6[[#This Row],[companyid2]:[categoryname2]],Table6[[#This Row],[Model2]:[SN2]])</f>
        <v>0</v>
      </c>
      <c r="N161" t="b">
        <f>AND(Table6[[#This Row],[companyid2]:[Manufacturer2]],Table6[[#This Row],[SN2]])</f>
        <v>0</v>
      </c>
      <c r="O161" t="b">
        <f>AND(Table6[[#This Row],[companyid2]:[Model2]])</f>
        <v>1</v>
      </c>
    </row>
    <row r="162" spans="1:15" x14ac:dyDescent="0.25">
      <c r="A162">
        <v>57799</v>
      </c>
      <c r="B162" t="s">
        <v>884</v>
      </c>
      <c r="C162" t="s">
        <v>1020</v>
      </c>
      <c r="D162" s="38" t="s">
        <v>1021</v>
      </c>
      <c r="E162" s="95">
        <v>2131838</v>
      </c>
      <c r="F162" t="b">
        <f>IFERROR(Table6[[#This Row],[companyid]]=DropDowns!$N$20,TRUE)</f>
        <v>1</v>
      </c>
      <c r="G162" t="b">
        <f>OR(Worksheet!$D$5="",Worksheet!$D$5=Table6[[#This Row],[categoryname]])</f>
        <v>1</v>
      </c>
      <c r="H162" t="b">
        <f>OR(Worksheet!$D$7="",Worksheet!$D$7=Table6[[#This Row],[Manufacturer]])</f>
        <v>1</v>
      </c>
      <c r="I162" t="b">
        <f>OR(Worksheet!$G$7="",Worksheet!$G$7=Table6[[#This Row],[Model No.]])</f>
        <v>1</v>
      </c>
      <c r="J162" t="b">
        <f>OR(Worksheet!$D$8="",Worksheet!$D$8=Table6[[#This Row],[Serial No.]])</f>
        <v>0</v>
      </c>
      <c r="K162" t="b">
        <f>AND(Table6[[#This Row],[categoryname2]:[SN2]])</f>
        <v>0</v>
      </c>
      <c r="L162" t="b">
        <f>AND(Table6[[#This Row],[companyid2]],Table6[[#This Row],[Manufacturer2]:[SN2]])</f>
        <v>0</v>
      </c>
      <c r="M162" t="b">
        <f>AND(Table6[[#This Row],[companyid2]:[categoryname2]],Table6[[#This Row],[Model2]:[SN2]])</f>
        <v>0</v>
      </c>
      <c r="N162" t="b">
        <f>AND(Table6[[#This Row],[companyid2]:[Manufacturer2]],Table6[[#This Row],[SN2]])</f>
        <v>0</v>
      </c>
      <c r="O162" t="b">
        <f>AND(Table6[[#This Row],[companyid2]:[Model2]])</f>
        <v>1</v>
      </c>
    </row>
    <row r="163" spans="1:15" x14ac:dyDescent="0.25">
      <c r="A163">
        <v>57812</v>
      </c>
      <c r="B163" t="s">
        <v>884</v>
      </c>
      <c r="C163" t="s">
        <v>1001</v>
      </c>
      <c r="D163" s="38" t="s">
        <v>1003</v>
      </c>
      <c r="E163" s="95">
        <v>1726</v>
      </c>
      <c r="F163" t="b">
        <f>IFERROR(Table6[[#This Row],[companyid]]=DropDowns!$N$20,TRUE)</f>
        <v>1</v>
      </c>
      <c r="G163" t="b">
        <f>OR(Worksheet!$D$5="",Worksheet!$D$5=Table6[[#This Row],[categoryname]])</f>
        <v>1</v>
      </c>
      <c r="H163" t="b">
        <f>OR(Worksheet!$D$7="",Worksheet!$D$7=Table6[[#This Row],[Manufacturer]])</f>
        <v>1</v>
      </c>
      <c r="I163" t="b">
        <f>OR(Worksheet!$G$7="",Worksheet!$G$7=Table6[[#This Row],[Model No.]])</f>
        <v>1</v>
      </c>
      <c r="J163" t="b">
        <f>OR(Worksheet!$D$8="",Worksheet!$D$8=Table6[[#This Row],[Serial No.]])</f>
        <v>0</v>
      </c>
      <c r="K163" t="b">
        <f>AND(Table6[[#This Row],[categoryname2]:[SN2]])</f>
        <v>0</v>
      </c>
      <c r="L163" t="b">
        <f>AND(Table6[[#This Row],[companyid2]],Table6[[#This Row],[Manufacturer2]:[SN2]])</f>
        <v>0</v>
      </c>
      <c r="M163" t="b">
        <f>AND(Table6[[#This Row],[companyid2]:[categoryname2]],Table6[[#This Row],[Model2]:[SN2]])</f>
        <v>0</v>
      </c>
      <c r="N163" t="b">
        <f>AND(Table6[[#This Row],[companyid2]:[Manufacturer2]],Table6[[#This Row],[SN2]])</f>
        <v>0</v>
      </c>
      <c r="O163" t="b">
        <f>AND(Table6[[#This Row],[companyid2]:[Model2]])</f>
        <v>1</v>
      </c>
    </row>
    <row r="164" spans="1:15" x14ac:dyDescent="0.25">
      <c r="A164">
        <v>57819</v>
      </c>
      <c r="B164" t="s">
        <v>845</v>
      </c>
      <c r="C164" t="s">
        <v>846</v>
      </c>
      <c r="D164" s="38" t="s">
        <v>847</v>
      </c>
      <c r="E164" s="95">
        <v>76309</v>
      </c>
      <c r="F164" t="b">
        <f>IFERROR(Table6[[#This Row],[companyid]]=DropDowns!$N$20,TRUE)</f>
        <v>1</v>
      </c>
      <c r="G164" t="b">
        <f>OR(Worksheet!$D$5="",Worksheet!$D$5=Table6[[#This Row],[categoryname]])</f>
        <v>1</v>
      </c>
      <c r="H164" t="b">
        <f>OR(Worksheet!$D$7="",Worksheet!$D$7=Table6[[#This Row],[Manufacturer]])</f>
        <v>1</v>
      </c>
      <c r="I164" t="b">
        <f>OR(Worksheet!$G$7="",Worksheet!$G$7=Table6[[#This Row],[Model No.]])</f>
        <v>1</v>
      </c>
      <c r="J164" t="b">
        <f>OR(Worksheet!$D$8="",Worksheet!$D$8=Table6[[#This Row],[Serial No.]])</f>
        <v>0</v>
      </c>
      <c r="K164" t="b">
        <f>AND(Table6[[#This Row],[categoryname2]:[SN2]])</f>
        <v>0</v>
      </c>
      <c r="L164" t="b">
        <f>AND(Table6[[#This Row],[companyid2]],Table6[[#This Row],[Manufacturer2]:[SN2]])</f>
        <v>0</v>
      </c>
      <c r="M164" t="b">
        <f>AND(Table6[[#This Row],[companyid2]:[categoryname2]],Table6[[#This Row],[Model2]:[SN2]])</f>
        <v>0</v>
      </c>
      <c r="N164" t="b">
        <f>AND(Table6[[#This Row],[companyid2]:[Manufacturer2]],Table6[[#This Row],[SN2]])</f>
        <v>0</v>
      </c>
      <c r="O164" t="b">
        <f>AND(Table6[[#This Row],[companyid2]:[Model2]])</f>
        <v>1</v>
      </c>
    </row>
    <row r="165" spans="1:15" x14ac:dyDescent="0.25">
      <c r="A165">
        <v>57819</v>
      </c>
      <c r="B165" t="s">
        <v>884</v>
      </c>
      <c r="C165" t="s">
        <v>846</v>
      </c>
      <c r="D165" s="38" t="s">
        <v>892</v>
      </c>
      <c r="E165" s="94">
        <v>75712</v>
      </c>
      <c r="F165" t="b">
        <f>IFERROR(Table6[[#This Row],[companyid]]=DropDowns!$N$20,TRUE)</f>
        <v>1</v>
      </c>
      <c r="G165" t="b">
        <f>OR(Worksheet!$D$5="",Worksheet!$D$5=Table6[[#This Row],[categoryname]])</f>
        <v>1</v>
      </c>
      <c r="H165" t="b">
        <f>OR(Worksheet!$D$7="",Worksheet!$D$7=Table6[[#This Row],[Manufacturer]])</f>
        <v>1</v>
      </c>
      <c r="I165" t="b">
        <f>OR(Worksheet!$G$7="",Worksheet!$G$7=Table6[[#This Row],[Model No.]])</f>
        <v>1</v>
      </c>
      <c r="J165" t="b">
        <f>OR(Worksheet!$D$8="",Worksheet!$D$8=Table6[[#This Row],[Serial No.]])</f>
        <v>0</v>
      </c>
      <c r="K165" t="b">
        <f>AND(Table6[[#This Row],[categoryname2]:[SN2]])</f>
        <v>0</v>
      </c>
      <c r="L165" t="b">
        <f>AND(Table6[[#This Row],[companyid2]],Table6[[#This Row],[Manufacturer2]:[SN2]])</f>
        <v>0</v>
      </c>
      <c r="M165" t="b">
        <f>AND(Table6[[#This Row],[companyid2]:[categoryname2]],Table6[[#This Row],[Model2]:[SN2]])</f>
        <v>0</v>
      </c>
      <c r="N165" t="b">
        <f>AND(Table6[[#This Row],[companyid2]:[Manufacturer2]],Table6[[#This Row],[SN2]])</f>
        <v>0</v>
      </c>
      <c r="O165" t="b">
        <f>AND(Table6[[#This Row],[companyid2]:[Model2]])</f>
        <v>1</v>
      </c>
    </row>
    <row r="166" spans="1:15" x14ac:dyDescent="0.25">
      <c r="A166">
        <v>57819</v>
      </c>
      <c r="B166" t="s">
        <v>884</v>
      </c>
      <c r="C166" t="s">
        <v>853</v>
      </c>
      <c r="D166" s="38" t="s">
        <v>919</v>
      </c>
      <c r="E166" s="95" t="s">
        <v>920</v>
      </c>
      <c r="F166" t="b">
        <f>IFERROR(Table6[[#This Row],[companyid]]=DropDowns!$N$20,TRUE)</f>
        <v>1</v>
      </c>
      <c r="G166" t="b">
        <f>OR(Worksheet!$D$5="",Worksheet!$D$5=Table6[[#This Row],[categoryname]])</f>
        <v>1</v>
      </c>
      <c r="H166" t="b">
        <f>OR(Worksheet!$D$7="",Worksheet!$D$7=Table6[[#This Row],[Manufacturer]])</f>
        <v>1</v>
      </c>
      <c r="I166" t="b">
        <f>OR(Worksheet!$G$7="",Worksheet!$G$7=Table6[[#This Row],[Model No.]])</f>
        <v>1</v>
      </c>
      <c r="J166" t="b">
        <f>OR(Worksheet!$D$8="",Worksheet!$D$8=Table6[[#This Row],[Serial No.]])</f>
        <v>0</v>
      </c>
      <c r="K166" t="b">
        <f>AND(Table6[[#This Row],[categoryname2]:[SN2]])</f>
        <v>0</v>
      </c>
      <c r="L166" t="b">
        <f>AND(Table6[[#This Row],[companyid2]],Table6[[#This Row],[Manufacturer2]:[SN2]])</f>
        <v>0</v>
      </c>
      <c r="M166" t="b">
        <f>AND(Table6[[#This Row],[companyid2]:[categoryname2]],Table6[[#This Row],[Model2]:[SN2]])</f>
        <v>0</v>
      </c>
      <c r="N166" t="b">
        <f>AND(Table6[[#This Row],[companyid2]:[Manufacturer2]],Table6[[#This Row],[SN2]])</f>
        <v>0</v>
      </c>
      <c r="O166" t="b">
        <f>AND(Table6[[#This Row],[companyid2]:[Model2]])</f>
        <v>1</v>
      </c>
    </row>
    <row r="167" spans="1:15" x14ac:dyDescent="0.25">
      <c r="A167">
        <v>57819</v>
      </c>
      <c r="B167" t="s">
        <v>884</v>
      </c>
      <c r="C167" t="s">
        <v>962</v>
      </c>
      <c r="D167" s="38" t="s">
        <v>966</v>
      </c>
      <c r="E167" s="95">
        <v>2348</v>
      </c>
      <c r="F167" t="b">
        <f>IFERROR(Table6[[#This Row],[companyid]]=DropDowns!$N$20,TRUE)</f>
        <v>1</v>
      </c>
      <c r="G167" t="b">
        <f>OR(Worksheet!$D$5="",Worksheet!$D$5=Table6[[#This Row],[categoryname]])</f>
        <v>1</v>
      </c>
      <c r="H167" t="b">
        <f>OR(Worksheet!$D$7="",Worksheet!$D$7=Table6[[#This Row],[Manufacturer]])</f>
        <v>1</v>
      </c>
      <c r="I167" t="b">
        <f>OR(Worksheet!$G$7="",Worksheet!$G$7=Table6[[#This Row],[Model No.]])</f>
        <v>1</v>
      </c>
      <c r="J167" t="b">
        <f>OR(Worksheet!$D$8="",Worksheet!$D$8=Table6[[#This Row],[Serial No.]])</f>
        <v>0</v>
      </c>
      <c r="K167" t="b">
        <f>AND(Table6[[#This Row],[categoryname2]:[SN2]])</f>
        <v>0</v>
      </c>
      <c r="L167" t="b">
        <f>AND(Table6[[#This Row],[companyid2]],Table6[[#This Row],[Manufacturer2]:[SN2]])</f>
        <v>0</v>
      </c>
      <c r="M167" t="b">
        <f>AND(Table6[[#This Row],[companyid2]:[categoryname2]],Table6[[#This Row],[Model2]:[SN2]])</f>
        <v>0</v>
      </c>
      <c r="N167" t="b">
        <f>AND(Table6[[#This Row],[companyid2]:[Manufacturer2]],Table6[[#This Row],[SN2]])</f>
        <v>0</v>
      </c>
      <c r="O167" t="b">
        <f>AND(Table6[[#This Row],[companyid2]:[Model2]])</f>
        <v>1</v>
      </c>
    </row>
    <row r="168" spans="1:15" x14ac:dyDescent="0.25">
      <c r="A168">
        <v>57819</v>
      </c>
      <c r="B168" t="s">
        <v>884</v>
      </c>
      <c r="C168" t="s">
        <v>962</v>
      </c>
      <c r="D168" s="38" t="s">
        <v>966</v>
      </c>
      <c r="E168" s="95">
        <v>4783</v>
      </c>
      <c r="F168" t="b">
        <f>IFERROR(Table6[[#This Row],[companyid]]=DropDowns!$N$20,TRUE)</f>
        <v>1</v>
      </c>
      <c r="G168" t="b">
        <f>OR(Worksheet!$D$5="",Worksheet!$D$5=Table6[[#This Row],[categoryname]])</f>
        <v>1</v>
      </c>
      <c r="H168" t="b">
        <f>OR(Worksheet!$D$7="",Worksheet!$D$7=Table6[[#This Row],[Manufacturer]])</f>
        <v>1</v>
      </c>
      <c r="I168" t="b">
        <f>OR(Worksheet!$G$7="",Worksheet!$G$7=Table6[[#This Row],[Model No.]])</f>
        <v>1</v>
      </c>
      <c r="J168" t="b">
        <f>OR(Worksheet!$D$8="",Worksheet!$D$8=Table6[[#This Row],[Serial No.]])</f>
        <v>0</v>
      </c>
      <c r="K168" t="b">
        <f>AND(Table6[[#This Row],[categoryname2]:[SN2]])</f>
        <v>0</v>
      </c>
      <c r="L168" t="b">
        <f>AND(Table6[[#This Row],[companyid2]],Table6[[#This Row],[Manufacturer2]:[SN2]])</f>
        <v>0</v>
      </c>
      <c r="M168" t="b">
        <f>AND(Table6[[#This Row],[companyid2]:[categoryname2]],Table6[[#This Row],[Model2]:[SN2]])</f>
        <v>0</v>
      </c>
      <c r="N168" t="b">
        <f>AND(Table6[[#This Row],[companyid2]:[Manufacturer2]],Table6[[#This Row],[SN2]])</f>
        <v>0</v>
      </c>
      <c r="O168" t="b">
        <f>AND(Table6[[#This Row],[companyid2]:[Model2]])</f>
        <v>1</v>
      </c>
    </row>
    <row r="169" spans="1:15" x14ac:dyDescent="0.25">
      <c r="A169">
        <v>57819</v>
      </c>
      <c r="B169" t="s">
        <v>884</v>
      </c>
      <c r="C169" t="s">
        <v>962</v>
      </c>
      <c r="D169" s="38" t="s">
        <v>972</v>
      </c>
      <c r="E169" s="95">
        <v>6624</v>
      </c>
      <c r="F169" t="b">
        <f>IFERROR(Table6[[#This Row],[companyid]]=DropDowns!$N$20,TRUE)</f>
        <v>1</v>
      </c>
      <c r="G169" t="b">
        <f>OR(Worksheet!$D$5="",Worksheet!$D$5=Table6[[#This Row],[categoryname]])</f>
        <v>1</v>
      </c>
      <c r="H169" t="b">
        <f>OR(Worksheet!$D$7="",Worksheet!$D$7=Table6[[#This Row],[Manufacturer]])</f>
        <v>1</v>
      </c>
      <c r="I169" t="b">
        <f>OR(Worksheet!$G$7="",Worksheet!$G$7=Table6[[#This Row],[Model No.]])</f>
        <v>1</v>
      </c>
      <c r="J169" t="b">
        <f>OR(Worksheet!$D$8="",Worksheet!$D$8=Table6[[#This Row],[Serial No.]])</f>
        <v>0</v>
      </c>
      <c r="K169" t="b">
        <f>AND(Table6[[#This Row],[categoryname2]:[SN2]])</f>
        <v>0</v>
      </c>
      <c r="L169" t="b">
        <f>AND(Table6[[#This Row],[companyid2]],Table6[[#This Row],[Manufacturer2]:[SN2]])</f>
        <v>0</v>
      </c>
      <c r="M169" t="b">
        <f>AND(Table6[[#This Row],[companyid2]:[categoryname2]],Table6[[#This Row],[Model2]:[SN2]])</f>
        <v>0</v>
      </c>
      <c r="N169" t="b">
        <f>AND(Table6[[#This Row],[companyid2]:[Manufacturer2]],Table6[[#This Row],[SN2]])</f>
        <v>0</v>
      </c>
      <c r="O169" t="b">
        <f>AND(Table6[[#This Row],[companyid2]:[Model2]])</f>
        <v>1</v>
      </c>
    </row>
    <row r="170" spans="1:15" x14ac:dyDescent="0.25">
      <c r="A170">
        <v>57819</v>
      </c>
      <c r="B170" t="s">
        <v>884</v>
      </c>
      <c r="C170" t="s">
        <v>962</v>
      </c>
      <c r="D170" s="38" t="s">
        <v>987</v>
      </c>
      <c r="E170" s="95">
        <v>4427</v>
      </c>
      <c r="F170" t="b">
        <f>IFERROR(Table6[[#This Row],[companyid]]=DropDowns!$N$20,TRUE)</f>
        <v>1</v>
      </c>
      <c r="G170" t="b">
        <f>OR(Worksheet!$D$5="",Worksheet!$D$5=Table6[[#This Row],[categoryname]])</f>
        <v>1</v>
      </c>
      <c r="H170" t="b">
        <f>OR(Worksheet!$D$7="",Worksheet!$D$7=Table6[[#This Row],[Manufacturer]])</f>
        <v>1</v>
      </c>
      <c r="I170" t="b">
        <f>OR(Worksheet!$G$7="",Worksheet!$G$7=Table6[[#This Row],[Model No.]])</f>
        <v>1</v>
      </c>
      <c r="J170" t="b">
        <f>OR(Worksheet!$D$8="",Worksheet!$D$8=Table6[[#This Row],[Serial No.]])</f>
        <v>0</v>
      </c>
      <c r="K170" t="b">
        <f>AND(Table6[[#This Row],[categoryname2]:[SN2]])</f>
        <v>0</v>
      </c>
      <c r="L170" t="b">
        <f>AND(Table6[[#This Row],[companyid2]],Table6[[#This Row],[Manufacturer2]:[SN2]])</f>
        <v>0</v>
      </c>
      <c r="M170" t="b">
        <f>AND(Table6[[#This Row],[companyid2]:[categoryname2]],Table6[[#This Row],[Model2]:[SN2]])</f>
        <v>0</v>
      </c>
      <c r="N170" t="b">
        <f>AND(Table6[[#This Row],[companyid2]:[Manufacturer2]],Table6[[#This Row],[SN2]])</f>
        <v>0</v>
      </c>
      <c r="O170" t="b">
        <f>AND(Table6[[#This Row],[companyid2]:[Model2]])</f>
        <v>1</v>
      </c>
    </row>
    <row r="171" spans="1:15" x14ac:dyDescent="0.25">
      <c r="A171">
        <v>57819</v>
      </c>
      <c r="B171" t="s">
        <v>884</v>
      </c>
      <c r="C171" t="s">
        <v>962</v>
      </c>
      <c r="D171" s="38" t="s">
        <v>987</v>
      </c>
      <c r="E171" s="95">
        <v>5942</v>
      </c>
      <c r="F171" t="b">
        <f>IFERROR(Table6[[#This Row],[companyid]]=DropDowns!$N$20,TRUE)</f>
        <v>1</v>
      </c>
      <c r="G171" t="b">
        <f>OR(Worksheet!$D$5="",Worksheet!$D$5=Table6[[#This Row],[categoryname]])</f>
        <v>1</v>
      </c>
      <c r="H171" t="b">
        <f>OR(Worksheet!$D$7="",Worksheet!$D$7=Table6[[#This Row],[Manufacturer]])</f>
        <v>1</v>
      </c>
      <c r="I171" t="b">
        <f>OR(Worksheet!$G$7="",Worksheet!$G$7=Table6[[#This Row],[Model No.]])</f>
        <v>1</v>
      </c>
      <c r="J171" t="b">
        <f>OR(Worksheet!$D$8="",Worksheet!$D$8=Table6[[#This Row],[Serial No.]])</f>
        <v>0</v>
      </c>
      <c r="K171" t="b">
        <f>AND(Table6[[#This Row],[categoryname2]:[SN2]])</f>
        <v>0</v>
      </c>
      <c r="L171" t="b">
        <f>AND(Table6[[#This Row],[companyid2]],Table6[[#This Row],[Manufacturer2]:[SN2]])</f>
        <v>0</v>
      </c>
      <c r="M171" t="b">
        <f>AND(Table6[[#This Row],[companyid2]:[categoryname2]],Table6[[#This Row],[Model2]:[SN2]])</f>
        <v>0</v>
      </c>
      <c r="N171" t="b">
        <f>AND(Table6[[#This Row],[companyid2]:[Manufacturer2]],Table6[[#This Row],[SN2]])</f>
        <v>0</v>
      </c>
      <c r="O171" t="b">
        <f>AND(Table6[[#This Row],[companyid2]:[Model2]])</f>
        <v>1</v>
      </c>
    </row>
    <row r="172" spans="1:15" x14ac:dyDescent="0.25">
      <c r="A172">
        <v>57819</v>
      </c>
      <c r="B172" t="s">
        <v>884</v>
      </c>
      <c r="C172" t="s">
        <v>962</v>
      </c>
      <c r="D172" s="38" t="s">
        <v>987</v>
      </c>
      <c r="E172" s="95">
        <v>6579</v>
      </c>
      <c r="F172" t="b">
        <f>IFERROR(Table6[[#This Row],[companyid]]=DropDowns!$N$20,TRUE)</f>
        <v>1</v>
      </c>
      <c r="G172" t="b">
        <f>OR(Worksheet!$D$5="",Worksheet!$D$5=Table6[[#This Row],[categoryname]])</f>
        <v>1</v>
      </c>
      <c r="H172" t="b">
        <f>OR(Worksheet!$D$7="",Worksheet!$D$7=Table6[[#This Row],[Manufacturer]])</f>
        <v>1</v>
      </c>
      <c r="I172" t="b">
        <f>OR(Worksheet!$G$7="",Worksheet!$G$7=Table6[[#This Row],[Model No.]])</f>
        <v>1</v>
      </c>
      <c r="J172" t="b">
        <f>OR(Worksheet!$D$8="",Worksheet!$D$8=Table6[[#This Row],[Serial No.]])</f>
        <v>0</v>
      </c>
      <c r="K172" t="b">
        <f>AND(Table6[[#This Row],[categoryname2]:[SN2]])</f>
        <v>0</v>
      </c>
      <c r="L172" t="b">
        <f>AND(Table6[[#This Row],[companyid2]],Table6[[#This Row],[Manufacturer2]:[SN2]])</f>
        <v>0</v>
      </c>
      <c r="M172" t="b">
        <f>AND(Table6[[#This Row],[companyid2]:[categoryname2]],Table6[[#This Row],[Model2]:[SN2]])</f>
        <v>0</v>
      </c>
      <c r="N172" t="b">
        <f>AND(Table6[[#This Row],[companyid2]:[Manufacturer2]],Table6[[#This Row],[SN2]])</f>
        <v>0</v>
      </c>
      <c r="O172" t="b">
        <f>AND(Table6[[#This Row],[companyid2]:[Model2]])</f>
        <v>1</v>
      </c>
    </row>
    <row r="173" spans="1:15" x14ac:dyDescent="0.25">
      <c r="A173">
        <v>57820</v>
      </c>
      <c r="B173" t="s">
        <v>845</v>
      </c>
      <c r="C173" t="s">
        <v>853</v>
      </c>
      <c r="D173" s="38" t="s">
        <v>854</v>
      </c>
      <c r="E173" s="95">
        <v>13187</v>
      </c>
      <c r="F173" t="b">
        <f>IFERROR(Table6[[#This Row],[companyid]]=DropDowns!$N$20,TRUE)</f>
        <v>1</v>
      </c>
      <c r="G173" t="b">
        <f>OR(Worksheet!$D$5="",Worksheet!$D$5=Table6[[#This Row],[categoryname]])</f>
        <v>1</v>
      </c>
      <c r="H173" t="b">
        <f>OR(Worksheet!$D$7="",Worksheet!$D$7=Table6[[#This Row],[Manufacturer]])</f>
        <v>1</v>
      </c>
      <c r="I173" t="b">
        <f>OR(Worksheet!$G$7="",Worksheet!$G$7=Table6[[#This Row],[Model No.]])</f>
        <v>1</v>
      </c>
      <c r="J173" t="b">
        <f>OR(Worksheet!$D$8="",Worksheet!$D$8=Table6[[#This Row],[Serial No.]])</f>
        <v>0</v>
      </c>
      <c r="K173" t="b">
        <f>AND(Table6[[#This Row],[categoryname2]:[SN2]])</f>
        <v>0</v>
      </c>
      <c r="L173" t="b">
        <f>AND(Table6[[#This Row],[companyid2]],Table6[[#This Row],[Manufacturer2]:[SN2]])</f>
        <v>0</v>
      </c>
      <c r="M173" t="b">
        <f>AND(Table6[[#This Row],[companyid2]:[categoryname2]],Table6[[#This Row],[Model2]:[SN2]])</f>
        <v>0</v>
      </c>
      <c r="N173" t="b">
        <f>AND(Table6[[#This Row],[companyid2]:[Manufacturer2]],Table6[[#This Row],[SN2]])</f>
        <v>0</v>
      </c>
      <c r="O173" t="b">
        <f>AND(Table6[[#This Row],[companyid2]:[Model2]])</f>
        <v>1</v>
      </c>
    </row>
    <row r="174" spans="1:15" x14ac:dyDescent="0.25">
      <c r="A174">
        <v>57820</v>
      </c>
      <c r="B174" t="s">
        <v>884</v>
      </c>
      <c r="C174" t="s">
        <v>853</v>
      </c>
      <c r="D174" s="38" t="s">
        <v>854</v>
      </c>
      <c r="E174" s="95">
        <v>221854</v>
      </c>
      <c r="F174" t="b">
        <f>IFERROR(Table6[[#This Row],[companyid]]=DropDowns!$N$20,TRUE)</f>
        <v>1</v>
      </c>
      <c r="G174" t="b">
        <f>OR(Worksheet!$D$5="",Worksheet!$D$5=Table6[[#This Row],[categoryname]])</f>
        <v>1</v>
      </c>
      <c r="H174" t="b">
        <f>OR(Worksheet!$D$7="",Worksheet!$D$7=Table6[[#This Row],[Manufacturer]])</f>
        <v>1</v>
      </c>
      <c r="I174" t="b">
        <f>OR(Worksheet!$G$7="",Worksheet!$G$7=Table6[[#This Row],[Model No.]])</f>
        <v>1</v>
      </c>
      <c r="J174" t="b">
        <f>OR(Worksheet!$D$8="",Worksheet!$D$8=Table6[[#This Row],[Serial No.]])</f>
        <v>0</v>
      </c>
      <c r="K174" t="b">
        <f>AND(Table6[[#This Row],[categoryname2]:[SN2]])</f>
        <v>0</v>
      </c>
      <c r="L174" t="b">
        <f>AND(Table6[[#This Row],[companyid2]],Table6[[#This Row],[Manufacturer2]:[SN2]])</f>
        <v>0</v>
      </c>
      <c r="M174" t="b">
        <f>AND(Table6[[#This Row],[companyid2]:[categoryname2]],Table6[[#This Row],[Model2]:[SN2]])</f>
        <v>0</v>
      </c>
      <c r="N174" t="b">
        <f>AND(Table6[[#This Row],[companyid2]:[Manufacturer2]],Table6[[#This Row],[SN2]])</f>
        <v>0</v>
      </c>
      <c r="O174" t="b">
        <f>AND(Table6[[#This Row],[companyid2]:[Model2]])</f>
        <v>1</v>
      </c>
    </row>
    <row r="175" spans="1:15" x14ac:dyDescent="0.25">
      <c r="A175">
        <v>57820</v>
      </c>
      <c r="B175" t="s">
        <v>884</v>
      </c>
      <c r="C175" t="s">
        <v>962</v>
      </c>
      <c r="D175" s="38" t="s">
        <v>987</v>
      </c>
      <c r="E175" s="95">
        <v>2048</v>
      </c>
      <c r="F175" t="b">
        <f>IFERROR(Table6[[#This Row],[companyid]]=DropDowns!$N$20,TRUE)</f>
        <v>1</v>
      </c>
      <c r="G175" t="b">
        <f>OR(Worksheet!$D$5="",Worksheet!$D$5=Table6[[#This Row],[categoryname]])</f>
        <v>1</v>
      </c>
      <c r="H175" t="b">
        <f>OR(Worksheet!$D$7="",Worksheet!$D$7=Table6[[#This Row],[Manufacturer]])</f>
        <v>1</v>
      </c>
      <c r="I175" t="b">
        <f>OR(Worksheet!$G$7="",Worksheet!$G$7=Table6[[#This Row],[Model No.]])</f>
        <v>1</v>
      </c>
      <c r="J175" t="b">
        <f>OR(Worksheet!$D$8="",Worksheet!$D$8=Table6[[#This Row],[Serial No.]])</f>
        <v>0</v>
      </c>
      <c r="K175" t="b">
        <f>AND(Table6[[#This Row],[categoryname2]:[SN2]])</f>
        <v>0</v>
      </c>
      <c r="L175" t="b">
        <f>AND(Table6[[#This Row],[companyid2]],Table6[[#This Row],[Manufacturer2]:[SN2]])</f>
        <v>0</v>
      </c>
      <c r="M175" t="b">
        <f>AND(Table6[[#This Row],[companyid2]:[categoryname2]],Table6[[#This Row],[Model2]:[SN2]])</f>
        <v>0</v>
      </c>
      <c r="N175" t="b">
        <f>AND(Table6[[#This Row],[companyid2]:[Manufacturer2]],Table6[[#This Row],[SN2]])</f>
        <v>0</v>
      </c>
      <c r="O175" t="b">
        <f>AND(Table6[[#This Row],[companyid2]:[Model2]])</f>
        <v>1</v>
      </c>
    </row>
    <row r="176" spans="1:15" x14ac:dyDescent="0.25">
      <c r="A176">
        <v>57820</v>
      </c>
      <c r="B176" t="s">
        <v>884</v>
      </c>
      <c r="C176" t="s">
        <v>962</v>
      </c>
      <c r="D176" s="38" t="s">
        <v>987</v>
      </c>
      <c r="E176" s="95">
        <v>3704</v>
      </c>
      <c r="F176" t="b">
        <f>IFERROR(Table6[[#This Row],[companyid]]=DropDowns!$N$20,TRUE)</f>
        <v>1</v>
      </c>
      <c r="G176" t="b">
        <f>OR(Worksheet!$D$5="",Worksheet!$D$5=Table6[[#This Row],[categoryname]])</f>
        <v>1</v>
      </c>
      <c r="H176" t="b">
        <f>OR(Worksheet!$D$7="",Worksheet!$D$7=Table6[[#This Row],[Manufacturer]])</f>
        <v>1</v>
      </c>
      <c r="I176" t="b">
        <f>OR(Worksheet!$G$7="",Worksheet!$G$7=Table6[[#This Row],[Model No.]])</f>
        <v>1</v>
      </c>
      <c r="J176" t="b">
        <f>OR(Worksheet!$D$8="",Worksheet!$D$8=Table6[[#This Row],[Serial No.]])</f>
        <v>0</v>
      </c>
      <c r="K176" t="b">
        <f>AND(Table6[[#This Row],[categoryname2]:[SN2]])</f>
        <v>0</v>
      </c>
      <c r="L176" t="b">
        <f>AND(Table6[[#This Row],[companyid2]],Table6[[#This Row],[Manufacturer2]:[SN2]])</f>
        <v>0</v>
      </c>
      <c r="M176" t="b">
        <f>AND(Table6[[#This Row],[companyid2]:[categoryname2]],Table6[[#This Row],[Model2]:[SN2]])</f>
        <v>0</v>
      </c>
      <c r="N176" t="b">
        <f>AND(Table6[[#This Row],[companyid2]:[Manufacturer2]],Table6[[#This Row],[SN2]])</f>
        <v>0</v>
      </c>
      <c r="O176" t="b">
        <f>AND(Table6[[#This Row],[companyid2]:[Model2]])</f>
        <v>1</v>
      </c>
    </row>
    <row r="177" spans="1:15" x14ac:dyDescent="0.25">
      <c r="A177">
        <v>57820</v>
      </c>
      <c r="B177" t="s">
        <v>884</v>
      </c>
      <c r="C177" t="s">
        <v>962</v>
      </c>
      <c r="D177" s="38" t="s">
        <v>987</v>
      </c>
      <c r="E177" s="95">
        <v>4382</v>
      </c>
      <c r="F177" t="b">
        <f>IFERROR(Table6[[#This Row],[companyid]]=DropDowns!$N$20,TRUE)</f>
        <v>1</v>
      </c>
      <c r="G177" t="b">
        <f>OR(Worksheet!$D$5="",Worksheet!$D$5=Table6[[#This Row],[categoryname]])</f>
        <v>1</v>
      </c>
      <c r="H177" t="b">
        <f>OR(Worksheet!$D$7="",Worksheet!$D$7=Table6[[#This Row],[Manufacturer]])</f>
        <v>1</v>
      </c>
      <c r="I177" t="b">
        <f>OR(Worksheet!$G$7="",Worksheet!$G$7=Table6[[#This Row],[Model No.]])</f>
        <v>1</v>
      </c>
      <c r="J177" t="b">
        <f>OR(Worksheet!$D$8="",Worksheet!$D$8=Table6[[#This Row],[Serial No.]])</f>
        <v>0</v>
      </c>
      <c r="K177" t="b">
        <f>AND(Table6[[#This Row],[categoryname2]:[SN2]])</f>
        <v>0</v>
      </c>
      <c r="L177" t="b">
        <f>AND(Table6[[#This Row],[companyid2]],Table6[[#This Row],[Manufacturer2]:[SN2]])</f>
        <v>0</v>
      </c>
      <c r="M177" t="b">
        <f>AND(Table6[[#This Row],[companyid2]:[categoryname2]],Table6[[#This Row],[Model2]:[SN2]])</f>
        <v>0</v>
      </c>
      <c r="N177" t="b">
        <f>AND(Table6[[#This Row],[companyid2]:[Manufacturer2]],Table6[[#This Row],[SN2]])</f>
        <v>0</v>
      </c>
      <c r="O177" t="b">
        <f>AND(Table6[[#This Row],[companyid2]:[Model2]])</f>
        <v>1</v>
      </c>
    </row>
    <row r="178" spans="1:15" x14ac:dyDescent="0.25">
      <c r="A178">
        <v>57820</v>
      </c>
      <c r="B178" t="s">
        <v>884</v>
      </c>
      <c r="C178" t="s">
        <v>962</v>
      </c>
      <c r="D178" s="38" t="s">
        <v>987</v>
      </c>
      <c r="E178" s="95">
        <v>4385</v>
      </c>
      <c r="F178" t="b">
        <f>IFERROR(Table6[[#This Row],[companyid]]=DropDowns!$N$20,TRUE)</f>
        <v>1</v>
      </c>
      <c r="G178" t="b">
        <f>OR(Worksheet!$D$5="",Worksheet!$D$5=Table6[[#This Row],[categoryname]])</f>
        <v>1</v>
      </c>
      <c r="H178" t="b">
        <f>OR(Worksheet!$D$7="",Worksheet!$D$7=Table6[[#This Row],[Manufacturer]])</f>
        <v>1</v>
      </c>
      <c r="I178" t="b">
        <f>OR(Worksheet!$G$7="",Worksheet!$G$7=Table6[[#This Row],[Model No.]])</f>
        <v>1</v>
      </c>
      <c r="J178" t="b">
        <f>OR(Worksheet!$D$8="",Worksheet!$D$8=Table6[[#This Row],[Serial No.]])</f>
        <v>0</v>
      </c>
      <c r="K178" t="b">
        <f>AND(Table6[[#This Row],[categoryname2]:[SN2]])</f>
        <v>0</v>
      </c>
      <c r="L178" t="b">
        <f>AND(Table6[[#This Row],[companyid2]],Table6[[#This Row],[Manufacturer2]:[SN2]])</f>
        <v>0</v>
      </c>
      <c r="M178" t="b">
        <f>AND(Table6[[#This Row],[companyid2]:[categoryname2]],Table6[[#This Row],[Model2]:[SN2]])</f>
        <v>0</v>
      </c>
      <c r="N178" t="b">
        <f>AND(Table6[[#This Row],[companyid2]:[Manufacturer2]],Table6[[#This Row],[SN2]])</f>
        <v>0</v>
      </c>
      <c r="O178" t="b">
        <f>AND(Table6[[#This Row],[companyid2]:[Model2]])</f>
        <v>1</v>
      </c>
    </row>
    <row r="179" spans="1:15" x14ac:dyDescent="0.25">
      <c r="A179">
        <v>57825</v>
      </c>
      <c r="B179" t="s">
        <v>884</v>
      </c>
      <c r="C179" t="s">
        <v>950</v>
      </c>
      <c r="D179" s="38" t="s">
        <v>951</v>
      </c>
      <c r="E179" s="95">
        <v>2029</v>
      </c>
      <c r="F179" t="b">
        <f>IFERROR(Table6[[#This Row],[companyid]]=DropDowns!$N$20,TRUE)</f>
        <v>1</v>
      </c>
      <c r="G179" t="b">
        <f>OR(Worksheet!$D$5="",Worksheet!$D$5=Table6[[#This Row],[categoryname]])</f>
        <v>1</v>
      </c>
      <c r="H179" t="b">
        <f>OR(Worksheet!$D$7="",Worksheet!$D$7=Table6[[#This Row],[Manufacturer]])</f>
        <v>1</v>
      </c>
      <c r="I179" t="b">
        <f>OR(Worksheet!$G$7="",Worksheet!$G$7=Table6[[#This Row],[Model No.]])</f>
        <v>1</v>
      </c>
      <c r="J179" t="b">
        <f>OR(Worksheet!$D$8="",Worksheet!$D$8=Table6[[#This Row],[Serial No.]])</f>
        <v>0</v>
      </c>
      <c r="K179" t="b">
        <f>AND(Table6[[#This Row],[categoryname2]:[SN2]])</f>
        <v>0</v>
      </c>
      <c r="L179" t="b">
        <f>AND(Table6[[#This Row],[companyid2]],Table6[[#This Row],[Manufacturer2]:[SN2]])</f>
        <v>0</v>
      </c>
      <c r="M179" t="b">
        <f>AND(Table6[[#This Row],[companyid2]:[categoryname2]],Table6[[#This Row],[Model2]:[SN2]])</f>
        <v>0</v>
      </c>
      <c r="N179" t="b">
        <f>AND(Table6[[#This Row],[companyid2]:[Manufacturer2]],Table6[[#This Row],[SN2]])</f>
        <v>0</v>
      </c>
      <c r="O179" t="b">
        <f>AND(Table6[[#This Row],[companyid2]:[Model2]])</f>
        <v>1</v>
      </c>
    </row>
    <row r="180" spans="1:15" x14ac:dyDescent="0.25">
      <c r="A180">
        <v>57825</v>
      </c>
      <c r="B180" t="s">
        <v>884</v>
      </c>
      <c r="C180" t="s">
        <v>1013</v>
      </c>
      <c r="D180" s="38">
        <v>3817</v>
      </c>
      <c r="E180" s="95" t="s">
        <v>1015</v>
      </c>
      <c r="F180" t="b">
        <f>IFERROR(Table6[[#This Row],[companyid]]=DropDowns!$N$20,TRUE)</f>
        <v>1</v>
      </c>
      <c r="G180" t="b">
        <f>OR(Worksheet!$D$5="",Worksheet!$D$5=Table6[[#This Row],[categoryname]])</f>
        <v>1</v>
      </c>
      <c r="H180" t="b">
        <f>OR(Worksheet!$D$7="",Worksheet!$D$7=Table6[[#This Row],[Manufacturer]])</f>
        <v>1</v>
      </c>
      <c r="I180" t="b">
        <f>OR(Worksheet!$G$7="",Worksheet!$G$7=Table6[[#This Row],[Model No.]])</f>
        <v>1</v>
      </c>
      <c r="J180" t="b">
        <f>OR(Worksheet!$D$8="",Worksheet!$D$8=Table6[[#This Row],[Serial No.]])</f>
        <v>0</v>
      </c>
      <c r="K180" t="b">
        <f>AND(Table6[[#This Row],[categoryname2]:[SN2]])</f>
        <v>0</v>
      </c>
      <c r="L180" t="b">
        <f>AND(Table6[[#This Row],[companyid2]],Table6[[#This Row],[Manufacturer2]:[SN2]])</f>
        <v>0</v>
      </c>
      <c r="M180" t="b">
        <f>AND(Table6[[#This Row],[companyid2]:[categoryname2]],Table6[[#This Row],[Model2]:[SN2]])</f>
        <v>0</v>
      </c>
      <c r="N180" t="b">
        <f>AND(Table6[[#This Row],[companyid2]:[Manufacturer2]],Table6[[#This Row],[SN2]])</f>
        <v>0</v>
      </c>
      <c r="O180" t="b">
        <f>AND(Table6[[#This Row],[companyid2]:[Model2]])</f>
        <v>1</v>
      </c>
    </row>
    <row r="181" spans="1:15" x14ac:dyDescent="0.25">
      <c r="A181">
        <v>57835</v>
      </c>
      <c r="B181" t="s">
        <v>884</v>
      </c>
      <c r="C181" t="s">
        <v>1001</v>
      </c>
      <c r="D181" s="38" t="s">
        <v>1002</v>
      </c>
      <c r="E181" s="95">
        <v>2219</v>
      </c>
      <c r="F181" t="b">
        <f>IFERROR(Table6[[#This Row],[companyid]]=DropDowns!$N$20,TRUE)</f>
        <v>1</v>
      </c>
      <c r="G181" t="b">
        <f>OR(Worksheet!$D$5="",Worksheet!$D$5=Table6[[#This Row],[categoryname]])</f>
        <v>1</v>
      </c>
      <c r="H181" t="b">
        <f>OR(Worksheet!$D$7="",Worksheet!$D$7=Table6[[#This Row],[Manufacturer]])</f>
        <v>1</v>
      </c>
      <c r="I181" t="b">
        <f>OR(Worksheet!$G$7="",Worksheet!$G$7=Table6[[#This Row],[Model No.]])</f>
        <v>1</v>
      </c>
      <c r="J181" t="b">
        <f>OR(Worksheet!$D$8="",Worksheet!$D$8=Table6[[#This Row],[Serial No.]])</f>
        <v>0</v>
      </c>
      <c r="K181" t="b">
        <f>AND(Table6[[#This Row],[categoryname2]:[SN2]])</f>
        <v>0</v>
      </c>
      <c r="L181" t="b">
        <f>AND(Table6[[#This Row],[companyid2]],Table6[[#This Row],[Manufacturer2]:[SN2]])</f>
        <v>0</v>
      </c>
      <c r="M181" t="b">
        <f>AND(Table6[[#This Row],[companyid2]:[categoryname2]],Table6[[#This Row],[Model2]:[SN2]])</f>
        <v>0</v>
      </c>
      <c r="N181" t="b">
        <f>AND(Table6[[#This Row],[companyid2]:[Manufacturer2]],Table6[[#This Row],[SN2]])</f>
        <v>0</v>
      </c>
      <c r="O181" t="b">
        <f>AND(Table6[[#This Row],[companyid2]:[Model2]])</f>
        <v>1</v>
      </c>
    </row>
    <row r="182" spans="1:15" x14ac:dyDescent="0.25">
      <c r="A182">
        <v>57836</v>
      </c>
      <c r="B182" t="s">
        <v>884</v>
      </c>
      <c r="C182" t="s">
        <v>878</v>
      </c>
      <c r="D182" s="38" t="s">
        <v>901</v>
      </c>
      <c r="E182" s="95">
        <v>8092</v>
      </c>
      <c r="F182" t="b">
        <f>IFERROR(Table6[[#This Row],[companyid]]=DropDowns!$N$20,TRUE)</f>
        <v>1</v>
      </c>
      <c r="G182" t="b">
        <f>OR(Worksheet!$D$5="",Worksheet!$D$5=Table6[[#This Row],[categoryname]])</f>
        <v>1</v>
      </c>
      <c r="H182" t="b">
        <f>OR(Worksheet!$D$7="",Worksheet!$D$7=Table6[[#This Row],[Manufacturer]])</f>
        <v>1</v>
      </c>
      <c r="I182" t="b">
        <f>OR(Worksheet!$G$7="",Worksheet!$G$7=Table6[[#This Row],[Model No.]])</f>
        <v>1</v>
      </c>
      <c r="J182" t="b">
        <f>OR(Worksheet!$D$8="",Worksheet!$D$8=Table6[[#This Row],[Serial No.]])</f>
        <v>0</v>
      </c>
      <c r="K182" t="b">
        <f>AND(Table6[[#This Row],[categoryname2]:[SN2]])</f>
        <v>0</v>
      </c>
      <c r="L182" t="b">
        <f>AND(Table6[[#This Row],[companyid2]],Table6[[#This Row],[Manufacturer2]:[SN2]])</f>
        <v>0</v>
      </c>
      <c r="M182" t="b">
        <f>AND(Table6[[#This Row],[companyid2]:[categoryname2]],Table6[[#This Row],[Model2]:[SN2]])</f>
        <v>0</v>
      </c>
      <c r="N182" t="b">
        <f>AND(Table6[[#This Row],[companyid2]:[Manufacturer2]],Table6[[#This Row],[SN2]])</f>
        <v>0</v>
      </c>
      <c r="O182" t="b">
        <f>AND(Table6[[#This Row],[companyid2]:[Model2]])</f>
        <v>1</v>
      </c>
    </row>
    <row r="183" spans="1:15" x14ac:dyDescent="0.25">
      <c r="A183">
        <v>57843</v>
      </c>
      <c r="B183" t="s">
        <v>884</v>
      </c>
      <c r="C183" t="s">
        <v>1103</v>
      </c>
      <c r="D183" s="38" t="s">
        <v>1054</v>
      </c>
      <c r="E183" s="95">
        <v>1247</v>
      </c>
      <c r="F183" t="b">
        <f>IFERROR(Table6[[#This Row],[companyid]]=DropDowns!$N$20,TRUE)</f>
        <v>1</v>
      </c>
      <c r="G183" t="b">
        <f>OR(Worksheet!$D$5="",Worksheet!$D$5=Table6[[#This Row],[categoryname]])</f>
        <v>1</v>
      </c>
      <c r="H183" t="b">
        <f>OR(Worksheet!$D$7="",Worksheet!$D$7=Table6[[#This Row],[Manufacturer]])</f>
        <v>1</v>
      </c>
      <c r="I183" t="b">
        <f>OR(Worksheet!$G$7="",Worksheet!$G$7=Table6[[#This Row],[Model No.]])</f>
        <v>1</v>
      </c>
      <c r="J183" t="b">
        <f>OR(Worksheet!$D$8="",Worksheet!$D$8=Table6[[#This Row],[Serial No.]])</f>
        <v>0</v>
      </c>
      <c r="K183" t="b">
        <f>AND(Table6[[#This Row],[categoryname2]:[SN2]])</f>
        <v>0</v>
      </c>
      <c r="L183" t="b">
        <f>AND(Table6[[#This Row],[companyid2]],Table6[[#This Row],[Manufacturer2]:[SN2]])</f>
        <v>0</v>
      </c>
      <c r="M183" t="b">
        <f>AND(Table6[[#This Row],[companyid2]:[categoryname2]],Table6[[#This Row],[Model2]:[SN2]])</f>
        <v>0</v>
      </c>
      <c r="N183" t="b">
        <f>AND(Table6[[#This Row],[companyid2]:[Manufacturer2]],Table6[[#This Row],[SN2]])</f>
        <v>0</v>
      </c>
      <c r="O183" t="b">
        <f>AND(Table6[[#This Row],[companyid2]:[Model2]])</f>
        <v>1</v>
      </c>
    </row>
    <row r="184" spans="1:15" x14ac:dyDescent="0.25">
      <c r="A184">
        <v>57844</v>
      </c>
      <c r="B184" t="s">
        <v>884</v>
      </c>
      <c r="C184" t="s">
        <v>878</v>
      </c>
      <c r="D184" s="38" t="s">
        <v>1073</v>
      </c>
      <c r="E184" s="95" t="s">
        <v>1074</v>
      </c>
      <c r="F184" t="b">
        <f>IFERROR(Table6[[#This Row],[companyid]]=DropDowns!$N$20,TRUE)</f>
        <v>1</v>
      </c>
      <c r="G184" t="b">
        <f>OR(Worksheet!$D$5="",Worksheet!$D$5=Table6[[#This Row],[categoryname]])</f>
        <v>1</v>
      </c>
      <c r="H184" t="b">
        <f>OR(Worksheet!$D$7="",Worksheet!$D$7=Table6[[#This Row],[Manufacturer]])</f>
        <v>1</v>
      </c>
      <c r="I184" t="b">
        <f>OR(Worksheet!$G$7="",Worksheet!$G$7=Table6[[#This Row],[Model No.]])</f>
        <v>1</v>
      </c>
      <c r="J184" t="b">
        <f>OR(Worksheet!$D$8="",Worksheet!$D$8=Table6[[#This Row],[Serial No.]])</f>
        <v>0</v>
      </c>
      <c r="K184" t="b">
        <f>AND(Table6[[#This Row],[categoryname2]:[SN2]])</f>
        <v>0</v>
      </c>
      <c r="L184" t="b">
        <f>AND(Table6[[#This Row],[companyid2]],Table6[[#This Row],[Manufacturer2]:[SN2]])</f>
        <v>0</v>
      </c>
      <c r="M184" t="b">
        <f>AND(Table6[[#This Row],[companyid2]:[categoryname2]],Table6[[#This Row],[Model2]:[SN2]])</f>
        <v>0</v>
      </c>
      <c r="N184" t="b">
        <f>AND(Table6[[#This Row],[companyid2]:[Manufacturer2]],Table6[[#This Row],[SN2]])</f>
        <v>0</v>
      </c>
      <c r="O184" t="b">
        <f>AND(Table6[[#This Row],[companyid2]:[Model2]])</f>
        <v>1</v>
      </c>
    </row>
    <row r="185" spans="1:15" x14ac:dyDescent="0.25">
      <c r="A185">
        <v>57848</v>
      </c>
      <c r="B185" t="s">
        <v>884</v>
      </c>
      <c r="C185" t="s">
        <v>853</v>
      </c>
      <c r="D185" s="38" t="s">
        <v>902</v>
      </c>
      <c r="E185" s="95">
        <v>22603</v>
      </c>
      <c r="F185" t="b">
        <f>IFERROR(Table6[[#This Row],[companyid]]=DropDowns!$N$20,TRUE)</f>
        <v>1</v>
      </c>
      <c r="G185" t="b">
        <f>OR(Worksheet!$D$5="",Worksheet!$D$5=Table6[[#This Row],[categoryname]])</f>
        <v>1</v>
      </c>
      <c r="H185" t="b">
        <f>OR(Worksheet!$D$7="",Worksheet!$D$7=Table6[[#This Row],[Manufacturer]])</f>
        <v>1</v>
      </c>
      <c r="I185" t="b">
        <f>OR(Worksheet!$G$7="",Worksheet!$G$7=Table6[[#This Row],[Model No.]])</f>
        <v>1</v>
      </c>
      <c r="J185" t="b">
        <f>OR(Worksheet!$D$8="",Worksheet!$D$8=Table6[[#This Row],[Serial No.]])</f>
        <v>0</v>
      </c>
      <c r="K185" t="b">
        <f>AND(Table6[[#This Row],[categoryname2]:[SN2]])</f>
        <v>0</v>
      </c>
      <c r="L185" t="b">
        <f>AND(Table6[[#This Row],[companyid2]],Table6[[#This Row],[Manufacturer2]:[SN2]])</f>
        <v>0</v>
      </c>
      <c r="M185" t="b">
        <f>AND(Table6[[#This Row],[companyid2]:[categoryname2]],Table6[[#This Row],[Model2]:[SN2]])</f>
        <v>0</v>
      </c>
      <c r="N185" t="b">
        <f>AND(Table6[[#This Row],[companyid2]:[Manufacturer2]],Table6[[#This Row],[SN2]])</f>
        <v>0</v>
      </c>
      <c r="O185" t="b">
        <f>AND(Table6[[#This Row],[companyid2]:[Model2]])</f>
        <v>1</v>
      </c>
    </row>
    <row r="186" spans="1:15" x14ac:dyDescent="0.25">
      <c r="A186">
        <v>57852</v>
      </c>
      <c r="B186" t="s">
        <v>884</v>
      </c>
      <c r="C186" t="s">
        <v>878</v>
      </c>
      <c r="D186" s="38" t="s">
        <v>1058</v>
      </c>
      <c r="E186" s="95">
        <v>2692</v>
      </c>
      <c r="F186" t="b">
        <f>IFERROR(Table6[[#This Row],[companyid]]=DropDowns!$N$20,TRUE)</f>
        <v>1</v>
      </c>
      <c r="G186" t="b">
        <f>OR(Worksheet!$D$5="",Worksheet!$D$5=Table6[[#This Row],[categoryname]])</f>
        <v>1</v>
      </c>
      <c r="H186" t="b">
        <f>OR(Worksheet!$D$7="",Worksheet!$D$7=Table6[[#This Row],[Manufacturer]])</f>
        <v>1</v>
      </c>
      <c r="I186" t="b">
        <f>OR(Worksheet!$G$7="",Worksheet!$G$7=Table6[[#This Row],[Model No.]])</f>
        <v>1</v>
      </c>
      <c r="J186" t="b">
        <f>OR(Worksheet!$D$8="",Worksheet!$D$8=Table6[[#This Row],[Serial No.]])</f>
        <v>0</v>
      </c>
      <c r="K186" t="b">
        <f>AND(Table6[[#This Row],[categoryname2]:[SN2]])</f>
        <v>0</v>
      </c>
      <c r="L186" t="b">
        <f>AND(Table6[[#This Row],[companyid2]],Table6[[#This Row],[Manufacturer2]:[SN2]])</f>
        <v>0</v>
      </c>
      <c r="M186" t="b">
        <f>AND(Table6[[#This Row],[companyid2]:[categoryname2]],Table6[[#This Row],[Model2]:[SN2]])</f>
        <v>0</v>
      </c>
      <c r="N186" t="b">
        <f>AND(Table6[[#This Row],[companyid2]:[Manufacturer2]],Table6[[#This Row],[SN2]])</f>
        <v>0</v>
      </c>
      <c r="O186" t="b">
        <f>AND(Table6[[#This Row],[companyid2]:[Model2]])</f>
        <v>1</v>
      </c>
    </row>
    <row r="187" spans="1:15" x14ac:dyDescent="0.25">
      <c r="A187">
        <v>57855</v>
      </c>
      <c r="B187" t="s">
        <v>884</v>
      </c>
      <c r="C187" t="s">
        <v>962</v>
      </c>
      <c r="D187" s="38" t="s">
        <v>987</v>
      </c>
      <c r="E187" s="95">
        <v>4230</v>
      </c>
      <c r="F187" t="b">
        <f>IFERROR(Table6[[#This Row],[companyid]]=DropDowns!$N$20,TRUE)</f>
        <v>1</v>
      </c>
      <c r="G187" t="b">
        <f>OR(Worksheet!$D$5="",Worksheet!$D$5=Table6[[#This Row],[categoryname]])</f>
        <v>1</v>
      </c>
      <c r="H187" t="b">
        <f>OR(Worksheet!$D$7="",Worksheet!$D$7=Table6[[#This Row],[Manufacturer]])</f>
        <v>1</v>
      </c>
      <c r="I187" t="b">
        <f>OR(Worksheet!$G$7="",Worksheet!$G$7=Table6[[#This Row],[Model No.]])</f>
        <v>1</v>
      </c>
      <c r="J187" t="b">
        <f>OR(Worksheet!$D$8="",Worksheet!$D$8=Table6[[#This Row],[Serial No.]])</f>
        <v>0</v>
      </c>
      <c r="K187" t="b">
        <f>AND(Table6[[#This Row],[categoryname2]:[SN2]])</f>
        <v>0</v>
      </c>
      <c r="L187" t="b">
        <f>AND(Table6[[#This Row],[companyid2]],Table6[[#This Row],[Manufacturer2]:[SN2]])</f>
        <v>0</v>
      </c>
      <c r="M187" t="b">
        <f>AND(Table6[[#This Row],[companyid2]:[categoryname2]],Table6[[#This Row],[Model2]:[SN2]])</f>
        <v>0</v>
      </c>
      <c r="N187" t="b">
        <f>AND(Table6[[#This Row],[companyid2]:[Manufacturer2]],Table6[[#This Row],[SN2]])</f>
        <v>0</v>
      </c>
      <c r="O187" t="b">
        <f>AND(Table6[[#This Row],[companyid2]:[Model2]])</f>
        <v>1</v>
      </c>
    </row>
    <row r="188" spans="1:15" x14ac:dyDescent="0.25">
      <c r="A188">
        <v>57856</v>
      </c>
      <c r="B188" t="s">
        <v>884</v>
      </c>
      <c r="C188" t="s">
        <v>962</v>
      </c>
      <c r="D188" s="38" t="s">
        <v>966</v>
      </c>
      <c r="E188" s="95">
        <v>3512</v>
      </c>
      <c r="F188" t="b">
        <f>IFERROR(Table6[[#This Row],[companyid]]=DropDowns!$N$20,TRUE)</f>
        <v>1</v>
      </c>
      <c r="G188" t="b">
        <f>OR(Worksheet!$D$5="",Worksheet!$D$5=Table6[[#This Row],[categoryname]])</f>
        <v>1</v>
      </c>
      <c r="H188" t="b">
        <f>OR(Worksheet!$D$7="",Worksheet!$D$7=Table6[[#This Row],[Manufacturer]])</f>
        <v>1</v>
      </c>
      <c r="I188" t="b">
        <f>OR(Worksheet!$G$7="",Worksheet!$G$7=Table6[[#This Row],[Model No.]])</f>
        <v>1</v>
      </c>
      <c r="J188" t="b">
        <f>OR(Worksheet!$D$8="",Worksheet!$D$8=Table6[[#This Row],[Serial No.]])</f>
        <v>0</v>
      </c>
      <c r="K188" t="b">
        <f>AND(Table6[[#This Row],[categoryname2]:[SN2]])</f>
        <v>0</v>
      </c>
      <c r="L188" t="b">
        <f>AND(Table6[[#This Row],[companyid2]],Table6[[#This Row],[Manufacturer2]:[SN2]])</f>
        <v>0</v>
      </c>
      <c r="M188" t="b">
        <f>AND(Table6[[#This Row],[companyid2]:[categoryname2]],Table6[[#This Row],[Model2]:[SN2]])</f>
        <v>0</v>
      </c>
      <c r="N188" t="b">
        <f>AND(Table6[[#This Row],[companyid2]:[Manufacturer2]],Table6[[#This Row],[SN2]])</f>
        <v>0</v>
      </c>
      <c r="O188" t="b">
        <f>AND(Table6[[#This Row],[companyid2]:[Model2]])</f>
        <v>1</v>
      </c>
    </row>
    <row r="189" spans="1:15" x14ac:dyDescent="0.25">
      <c r="A189">
        <v>57856</v>
      </c>
      <c r="B189" t="s">
        <v>884</v>
      </c>
      <c r="C189" t="s">
        <v>878</v>
      </c>
      <c r="D189" s="38" t="s">
        <v>1045</v>
      </c>
      <c r="E189" s="95" t="s">
        <v>1046</v>
      </c>
      <c r="F189" t="b">
        <f>IFERROR(Table6[[#This Row],[companyid]]=DropDowns!$N$20,TRUE)</f>
        <v>1</v>
      </c>
      <c r="G189" t="b">
        <f>OR(Worksheet!$D$5="",Worksheet!$D$5=Table6[[#This Row],[categoryname]])</f>
        <v>1</v>
      </c>
      <c r="H189" t="b">
        <f>OR(Worksheet!$D$7="",Worksheet!$D$7=Table6[[#This Row],[Manufacturer]])</f>
        <v>1</v>
      </c>
      <c r="I189" t="b">
        <f>OR(Worksheet!$G$7="",Worksheet!$G$7=Table6[[#This Row],[Model No.]])</f>
        <v>1</v>
      </c>
      <c r="J189" t="b">
        <f>OR(Worksheet!$D$8="",Worksheet!$D$8=Table6[[#This Row],[Serial No.]])</f>
        <v>0</v>
      </c>
      <c r="K189" t="b">
        <f>AND(Table6[[#This Row],[categoryname2]:[SN2]])</f>
        <v>0</v>
      </c>
      <c r="L189" t="b">
        <f>AND(Table6[[#This Row],[companyid2]],Table6[[#This Row],[Manufacturer2]:[SN2]])</f>
        <v>0</v>
      </c>
      <c r="M189" t="b">
        <f>AND(Table6[[#This Row],[companyid2]:[categoryname2]],Table6[[#This Row],[Model2]:[SN2]])</f>
        <v>0</v>
      </c>
      <c r="N189" t="b">
        <f>AND(Table6[[#This Row],[companyid2]:[Manufacturer2]],Table6[[#This Row],[SN2]])</f>
        <v>0</v>
      </c>
      <c r="O189" t="b">
        <f>AND(Table6[[#This Row],[companyid2]:[Model2]])</f>
        <v>1</v>
      </c>
    </row>
    <row r="190" spans="1:15" x14ac:dyDescent="0.25">
      <c r="A190">
        <v>57858</v>
      </c>
      <c r="B190" t="s">
        <v>884</v>
      </c>
      <c r="C190" t="s">
        <v>853</v>
      </c>
      <c r="D190" s="38" t="s">
        <v>917</v>
      </c>
      <c r="E190" s="95">
        <v>80728</v>
      </c>
      <c r="F190" t="b">
        <f>IFERROR(Table6[[#This Row],[companyid]]=DropDowns!$N$20,TRUE)</f>
        <v>1</v>
      </c>
      <c r="G190" t="b">
        <f>OR(Worksheet!$D$5="",Worksheet!$D$5=Table6[[#This Row],[categoryname]])</f>
        <v>1</v>
      </c>
      <c r="H190" t="b">
        <f>OR(Worksheet!$D$7="",Worksheet!$D$7=Table6[[#This Row],[Manufacturer]])</f>
        <v>1</v>
      </c>
      <c r="I190" t="b">
        <f>OR(Worksheet!$G$7="",Worksheet!$G$7=Table6[[#This Row],[Model No.]])</f>
        <v>1</v>
      </c>
      <c r="J190" t="b">
        <f>OR(Worksheet!$D$8="",Worksheet!$D$8=Table6[[#This Row],[Serial No.]])</f>
        <v>0</v>
      </c>
      <c r="K190" t="b">
        <f>AND(Table6[[#This Row],[categoryname2]:[SN2]])</f>
        <v>0</v>
      </c>
      <c r="L190" t="b">
        <f>AND(Table6[[#This Row],[companyid2]],Table6[[#This Row],[Manufacturer2]:[SN2]])</f>
        <v>0</v>
      </c>
      <c r="M190" t="b">
        <f>AND(Table6[[#This Row],[companyid2]:[categoryname2]],Table6[[#This Row],[Model2]:[SN2]])</f>
        <v>0</v>
      </c>
      <c r="N190" t="b">
        <f>AND(Table6[[#This Row],[companyid2]:[Manufacturer2]],Table6[[#This Row],[SN2]])</f>
        <v>0</v>
      </c>
      <c r="O190" t="b">
        <f>AND(Table6[[#This Row],[companyid2]:[Model2]])</f>
        <v>1</v>
      </c>
    </row>
    <row r="191" spans="1:15" x14ac:dyDescent="0.25">
      <c r="A191">
        <v>57859</v>
      </c>
      <c r="B191" t="s">
        <v>884</v>
      </c>
      <c r="C191" t="s">
        <v>853</v>
      </c>
      <c r="D191" s="38" t="s">
        <v>904</v>
      </c>
      <c r="E191" s="95" t="s">
        <v>905</v>
      </c>
      <c r="F191" t="b">
        <f>IFERROR(Table6[[#This Row],[companyid]]=DropDowns!$N$20,TRUE)</f>
        <v>1</v>
      </c>
      <c r="G191" t="b">
        <f>OR(Worksheet!$D$5="",Worksheet!$D$5=Table6[[#This Row],[categoryname]])</f>
        <v>1</v>
      </c>
      <c r="H191" t="b">
        <f>OR(Worksheet!$D$7="",Worksheet!$D$7=Table6[[#This Row],[Manufacturer]])</f>
        <v>1</v>
      </c>
      <c r="I191" t="b">
        <f>OR(Worksheet!$G$7="",Worksheet!$G$7=Table6[[#This Row],[Model No.]])</f>
        <v>1</v>
      </c>
      <c r="J191" t="b">
        <f>OR(Worksheet!$D$8="",Worksheet!$D$8=Table6[[#This Row],[Serial No.]])</f>
        <v>0</v>
      </c>
      <c r="K191" t="b">
        <f>AND(Table6[[#This Row],[categoryname2]:[SN2]])</f>
        <v>0</v>
      </c>
      <c r="L191" t="b">
        <f>AND(Table6[[#This Row],[companyid2]],Table6[[#This Row],[Manufacturer2]:[SN2]])</f>
        <v>0</v>
      </c>
      <c r="M191" t="b">
        <f>AND(Table6[[#This Row],[companyid2]:[categoryname2]],Table6[[#This Row],[Model2]:[SN2]])</f>
        <v>0</v>
      </c>
      <c r="N191" t="b">
        <f>AND(Table6[[#This Row],[companyid2]:[Manufacturer2]],Table6[[#This Row],[SN2]])</f>
        <v>0</v>
      </c>
      <c r="O191" t="b">
        <f>AND(Table6[[#This Row],[companyid2]:[Model2]])</f>
        <v>1</v>
      </c>
    </row>
    <row r="192" spans="1:15" x14ac:dyDescent="0.25">
      <c r="A192">
        <v>57859</v>
      </c>
      <c r="B192" t="s">
        <v>884</v>
      </c>
      <c r="C192" t="s">
        <v>853</v>
      </c>
      <c r="D192" s="38" t="s">
        <v>904</v>
      </c>
      <c r="E192" s="95" t="s">
        <v>906</v>
      </c>
      <c r="F192" t="b">
        <f>IFERROR(Table6[[#This Row],[companyid]]=DropDowns!$N$20,TRUE)</f>
        <v>1</v>
      </c>
      <c r="G192" t="b">
        <f>OR(Worksheet!$D$5="",Worksheet!$D$5=Table6[[#This Row],[categoryname]])</f>
        <v>1</v>
      </c>
      <c r="H192" t="b">
        <f>OR(Worksheet!$D$7="",Worksheet!$D$7=Table6[[#This Row],[Manufacturer]])</f>
        <v>1</v>
      </c>
      <c r="I192" t="b">
        <f>OR(Worksheet!$G$7="",Worksheet!$G$7=Table6[[#This Row],[Model No.]])</f>
        <v>1</v>
      </c>
      <c r="J192" t="b">
        <f>OR(Worksheet!$D$8="",Worksheet!$D$8=Table6[[#This Row],[Serial No.]])</f>
        <v>0</v>
      </c>
      <c r="K192" t="b">
        <f>AND(Table6[[#This Row],[categoryname2]:[SN2]])</f>
        <v>0</v>
      </c>
      <c r="L192" t="b">
        <f>AND(Table6[[#This Row],[companyid2]],Table6[[#This Row],[Manufacturer2]:[SN2]])</f>
        <v>0</v>
      </c>
      <c r="M192" t="b">
        <f>AND(Table6[[#This Row],[companyid2]:[categoryname2]],Table6[[#This Row],[Model2]:[SN2]])</f>
        <v>0</v>
      </c>
      <c r="N192" t="b">
        <f>AND(Table6[[#This Row],[companyid2]:[Manufacturer2]],Table6[[#This Row],[SN2]])</f>
        <v>0</v>
      </c>
      <c r="O192" t="b">
        <f>AND(Table6[[#This Row],[companyid2]:[Model2]])</f>
        <v>1</v>
      </c>
    </row>
    <row r="193" spans="1:15" x14ac:dyDescent="0.25">
      <c r="A193">
        <v>57867</v>
      </c>
      <c r="B193" t="s">
        <v>884</v>
      </c>
      <c r="C193" t="s">
        <v>878</v>
      </c>
      <c r="D193" s="38" t="s">
        <v>1058</v>
      </c>
      <c r="E193" s="95">
        <v>5042</v>
      </c>
      <c r="F193" t="b">
        <f>IFERROR(Table6[[#This Row],[companyid]]=DropDowns!$N$20,TRUE)</f>
        <v>1</v>
      </c>
      <c r="G193" t="b">
        <f>OR(Worksheet!$D$5="",Worksheet!$D$5=Table6[[#This Row],[categoryname]])</f>
        <v>1</v>
      </c>
      <c r="H193" t="b">
        <f>OR(Worksheet!$D$7="",Worksheet!$D$7=Table6[[#This Row],[Manufacturer]])</f>
        <v>1</v>
      </c>
      <c r="I193" t="b">
        <f>OR(Worksheet!$G$7="",Worksheet!$G$7=Table6[[#This Row],[Model No.]])</f>
        <v>1</v>
      </c>
      <c r="J193" t="b">
        <f>OR(Worksheet!$D$8="",Worksheet!$D$8=Table6[[#This Row],[Serial No.]])</f>
        <v>0</v>
      </c>
      <c r="K193" t="b">
        <f>AND(Table6[[#This Row],[categoryname2]:[SN2]])</f>
        <v>0</v>
      </c>
      <c r="L193" t="b">
        <f>AND(Table6[[#This Row],[companyid2]],Table6[[#This Row],[Manufacturer2]:[SN2]])</f>
        <v>0</v>
      </c>
      <c r="M193" t="b">
        <f>AND(Table6[[#This Row],[companyid2]:[categoryname2]],Table6[[#This Row],[Model2]:[SN2]])</f>
        <v>0</v>
      </c>
      <c r="N193" t="b">
        <f>AND(Table6[[#This Row],[companyid2]:[Manufacturer2]],Table6[[#This Row],[SN2]])</f>
        <v>0</v>
      </c>
      <c r="O193" t="b">
        <f>AND(Table6[[#This Row],[companyid2]:[Model2]])</f>
        <v>1</v>
      </c>
    </row>
    <row r="194" spans="1:15" x14ac:dyDescent="0.25">
      <c r="A194">
        <v>57881</v>
      </c>
      <c r="B194" t="s">
        <v>845</v>
      </c>
      <c r="C194" t="s">
        <v>853</v>
      </c>
      <c r="D194" s="38" t="s">
        <v>854</v>
      </c>
      <c r="E194" s="95">
        <v>181576</v>
      </c>
      <c r="F194" t="b">
        <f>IFERROR(Table6[[#This Row],[companyid]]=DropDowns!$N$20,TRUE)</f>
        <v>1</v>
      </c>
      <c r="G194" t="b">
        <f>OR(Worksheet!$D$5="",Worksheet!$D$5=Table6[[#This Row],[categoryname]])</f>
        <v>1</v>
      </c>
      <c r="H194" t="b">
        <f>OR(Worksheet!$D$7="",Worksheet!$D$7=Table6[[#This Row],[Manufacturer]])</f>
        <v>1</v>
      </c>
      <c r="I194" t="b">
        <f>OR(Worksheet!$G$7="",Worksheet!$G$7=Table6[[#This Row],[Model No.]])</f>
        <v>1</v>
      </c>
      <c r="J194" t="b">
        <f>OR(Worksheet!$D$8="",Worksheet!$D$8=Table6[[#This Row],[Serial No.]])</f>
        <v>0</v>
      </c>
      <c r="K194" t="b">
        <f>AND(Table6[[#This Row],[categoryname2]:[SN2]])</f>
        <v>0</v>
      </c>
      <c r="L194" t="b">
        <f>AND(Table6[[#This Row],[companyid2]],Table6[[#This Row],[Manufacturer2]:[SN2]])</f>
        <v>0</v>
      </c>
      <c r="M194" t="b">
        <f>AND(Table6[[#This Row],[companyid2]:[categoryname2]],Table6[[#This Row],[Model2]:[SN2]])</f>
        <v>0</v>
      </c>
      <c r="N194" t="b">
        <f>AND(Table6[[#This Row],[companyid2]:[Manufacturer2]],Table6[[#This Row],[SN2]])</f>
        <v>0</v>
      </c>
      <c r="O194" t="b">
        <f>AND(Table6[[#This Row],[companyid2]:[Model2]])</f>
        <v>1</v>
      </c>
    </row>
    <row r="195" spans="1:15" x14ac:dyDescent="0.25">
      <c r="A195">
        <v>57881</v>
      </c>
      <c r="B195" t="s">
        <v>845</v>
      </c>
      <c r="C195" t="s">
        <v>853</v>
      </c>
      <c r="D195" s="38" t="s">
        <v>854</v>
      </c>
      <c r="E195" s="95" t="s">
        <v>868</v>
      </c>
      <c r="F195" t="b">
        <f>IFERROR(Table6[[#This Row],[companyid]]=DropDowns!$N$20,TRUE)</f>
        <v>1</v>
      </c>
      <c r="G195" t="b">
        <f>OR(Worksheet!$D$5="",Worksheet!$D$5=Table6[[#This Row],[categoryname]])</f>
        <v>1</v>
      </c>
      <c r="H195" t="b">
        <f>OR(Worksheet!$D$7="",Worksheet!$D$7=Table6[[#This Row],[Manufacturer]])</f>
        <v>1</v>
      </c>
      <c r="I195" t="b">
        <f>OR(Worksheet!$G$7="",Worksheet!$G$7=Table6[[#This Row],[Model No.]])</f>
        <v>1</v>
      </c>
      <c r="J195" t="b">
        <f>OR(Worksheet!$D$8="",Worksheet!$D$8=Table6[[#This Row],[Serial No.]])</f>
        <v>0</v>
      </c>
      <c r="K195" t="b">
        <f>AND(Table6[[#This Row],[categoryname2]:[SN2]])</f>
        <v>0</v>
      </c>
      <c r="L195" t="b">
        <f>AND(Table6[[#This Row],[companyid2]],Table6[[#This Row],[Manufacturer2]:[SN2]])</f>
        <v>0</v>
      </c>
      <c r="M195" t="b">
        <f>AND(Table6[[#This Row],[companyid2]:[categoryname2]],Table6[[#This Row],[Model2]:[SN2]])</f>
        <v>0</v>
      </c>
      <c r="N195" t="b">
        <f>AND(Table6[[#This Row],[companyid2]:[Manufacturer2]],Table6[[#This Row],[SN2]])</f>
        <v>0</v>
      </c>
      <c r="O195" t="b">
        <f>AND(Table6[[#This Row],[companyid2]:[Model2]])</f>
        <v>1</v>
      </c>
    </row>
    <row r="196" spans="1:15" x14ac:dyDescent="0.25">
      <c r="A196">
        <v>57881</v>
      </c>
      <c r="B196" t="s">
        <v>884</v>
      </c>
      <c r="C196" t="s">
        <v>878</v>
      </c>
      <c r="D196" s="38" t="s">
        <v>1077</v>
      </c>
      <c r="E196" s="95">
        <v>97394803</v>
      </c>
      <c r="F196" t="b">
        <f>IFERROR(Table6[[#This Row],[companyid]]=DropDowns!$N$20,TRUE)</f>
        <v>1</v>
      </c>
      <c r="G196" t="b">
        <f>OR(Worksheet!$D$5="",Worksheet!$D$5=Table6[[#This Row],[categoryname]])</f>
        <v>1</v>
      </c>
      <c r="H196" t="b">
        <f>OR(Worksheet!$D$7="",Worksheet!$D$7=Table6[[#This Row],[Manufacturer]])</f>
        <v>1</v>
      </c>
      <c r="I196" t="b">
        <f>OR(Worksheet!$G$7="",Worksheet!$G$7=Table6[[#This Row],[Model No.]])</f>
        <v>1</v>
      </c>
      <c r="J196" t="b">
        <f>OR(Worksheet!$D$8="",Worksheet!$D$8=Table6[[#This Row],[Serial No.]])</f>
        <v>0</v>
      </c>
      <c r="K196" t="b">
        <f>AND(Table6[[#This Row],[categoryname2]:[SN2]])</f>
        <v>0</v>
      </c>
      <c r="L196" t="b">
        <f>AND(Table6[[#This Row],[companyid2]],Table6[[#This Row],[Manufacturer2]:[SN2]])</f>
        <v>0</v>
      </c>
      <c r="M196" t="b">
        <f>AND(Table6[[#This Row],[companyid2]:[categoryname2]],Table6[[#This Row],[Model2]:[SN2]])</f>
        <v>0</v>
      </c>
      <c r="N196" t="b">
        <f>AND(Table6[[#This Row],[companyid2]:[Manufacturer2]],Table6[[#This Row],[SN2]])</f>
        <v>0</v>
      </c>
      <c r="O196" t="b">
        <f>AND(Table6[[#This Row],[companyid2]:[Model2]])</f>
        <v>1</v>
      </c>
    </row>
    <row r="197" spans="1:15" x14ac:dyDescent="0.25">
      <c r="A197">
        <v>57897</v>
      </c>
      <c r="B197" t="s">
        <v>884</v>
      </c>
      <c r="C197" t="s">
        <v>878</v>
      </c>
      <c r="D197" s="38" t="s">
        <v>879</v>
      </c>
      <c r="E197" s="95">
        <v>6761</v>
      </c>
      <c r="F197" t="b">
        <f>IFERROR(Table6[[#This Row],[companyid]]=DropDowns!$N$20,TRUE)</f>
        <v>1</v>
      </c>
      <c r="G197" t="b">
        <f>OR(Worksheet!$D$5="",Worksheet!$D$5=Table6[[#This Row],[categoryname]])</f>
        <v>1</v>
      </c>
      <c r="H197" t="b">
        <f>OR(Worksheet!$D$7="",Worksheet!$D$7=Table6[[#This Row],[Manufacturer]])</f>
        <v>1</v>
      </c>
      <c r="I197" t="b">
        <f>OR(Worksheet!$G$7="",Worksheet!$G$7=Table6[[#This Row],[Model No.]])</f>
        <v>1</v>
      </c>
      <c r="J197" t="b">
        <f>OR(Worksheet!$D$8="",Worksheet!$D$8=Table6[[#This Row],[Serial No.]])</f>
        <v>0</v>
      </c>
      <c r="K197" t="b">
        <f>AND(Table6[[#This Row],[categoryname2]:[SN2]])</f>
        <v>0</v>
      </c>
      <c r="L197" t="b">
        <f>AND(Table6[[#This Row],[companyid2]],Table6[[#This Row],[Manufacturer2]:[SN2]])</f>
        <v>0</v>
      </c>
      <c r="M197" t="b">
        <f>AND(Table6[[#This Row],[companyid2]:[categoryname2]],Table6[[#This Row],[Model2]:[SN2]])</f>
        <v>0</v>
      </c>
      <c r="N197" t="b">
        <f>AND(Table6[[#This Row],[companyid2]:[Manufacturer2]],Table6[[#This Row],[SN2]])</f>
        <v>0</v>
      </c>
      <c r="O197" t="b">
        <f>AND(Table6[[#This Row],[companyid2]:[Model2]])</f>
        <v>1</v>
      </c>
    </row>
    <row r="198" spans="1:15" x14ac:dyDescent="0.25">
      <c r="A198">
        <v>57901</v>
      </c>
      <c r="B198" t="s">
        <v>845</v>
      </c>
      <c r="C198" t="s">
        <v>853</v>
      </c>
      <c r="D198" s="38" t="s">
        <v>854</v>
      </c>
      <c r="E198" s="95">
        <v>16452</v>
      </c>
      <c r="F198" t="b">
        <f>IFERROR(Table6[[#This Row],[companyid]]=DropDowns!$N$20,TRUE)</f>
        <v>1</v>
      </c>
      <c r="G198" t="b">
        <f>OR(Worksheet!$D$5="",Worksheet!$D$5=Table6[[#This Row],[categoryname]])</f>
        <v>1</v>
      </c>
      <c r="H198" t="b">
        <f>OR(Worksheet!$D$7="",Worksheet!$D$7=Table6[[#This Row],[Manufacturer]])</f>
        <v>1</v>
      </c>
      <c r="I198" t="b">
        <f>OR(Worksheet!$G$7="",Worksheet!$G$7=Table6[[#This Row],[Model No.]])</f>
        <v>1</v>
      </c>
      <c r="J198" t="b">
        <f>OR(Worksheet!$D$8="",Worksheet!$D$8=Table6[[#This Row],[Serial No.]])</f>
        <v>0</v>
      </c>
      <c r="K198" t="b">
        <f>AND(Table6[[#This Row],[categoryname2]:[SN2]])</f>
        <v>0</v>
      </c>
      <c r="L198" t="b">
        <f>AND(Table6[[#This Row],[companyid2]],Table6[[#This Row],[Manufacturer2]:[SN2]])</f>
        <v>0</v>
      </c>
      <c r="M198" t="b">
        <f>AND(Table6[[#This Row],[companyid2]:[categoryname2]],Table6[[#This Row],[Model2]:[SN2]])</f>
        <v>0</v>
      </c>
      <c r="N198" t="b">
        <f>AND(Table6[[#This Row],[companyid2]:[Manufacturer2]],Table6[[#This Row],[SN2]])</f>
        <v>0</v>
      </c>
      <c r="O198" t="b">
        <f>AND(Table6[[#This Row],[companyid2]:[Model2]])</f>
        <v>1</v>
      </c>
    </row>
    <row r="199" spans="1:15" x14ac:dyDescent="0.25">
      <c r="A199">
        <v>57901</v>
      </c>
      <c r="B199" t="s">
        <v>845</v>
      </c>
      <c r="C199" t="s">
        <v>853</v>
      </c>
      <c r="D199" s="38" t="s">
        <v>854</v>
      </c>
      <c r="E199" s="95" t="s">
        <v>862</v>
      </c>
      <c r="F199" t="b">
        <f>IFERROR(Table6[[#This Row],[companyid]]=DropDowns!$N$20,TRUE)</f>
        <v>1</v>
      </c>
      <c r="G199" t="b">
        <f>OR(Worksheet!$D$5="",Worksheet!$D$5=Table6[[#This Row],[categoryname]])</f>
        <v>1</v>
      </c>
      <c r="H199" t="b">
        <f>OR(Worksheet!$D$7="",Worksheet!$D$7=Table6[[#This Row],[Manufacturer]])</f>
        <v>1</v>
      </c>
      <c r="I199" t="b">
        <f>OR(Worksheet!$G$7="",Worksheet!$G$7=Table6[[#This Row],[Model No.]])</f>
        <v>1</v>
      </c>
      <c r="J199" t="b">
        <f>OR(Worksheet!$D$8="",Worksheet!$D$8=Table6[[#This Row],[Serial No.]])</f>
        <v>0</v>
      </c>
      <c r="K199" t="b">
        <f>AND(Table6[[#This Row],[categoryname2]:[SN2]])</f>
        <v>0</v>
      </c>
      <c r="L199" t="b">
        <f>AND(Table6[[#This Row],[companyid2]],Table6[[#This Row],[Manufacturer2]:[SN2]])</f>
        <v>0</v>
      </c>
      <c r="M199" t="b">
        <f>AND(Table6[[#This Row],[companyid2]:[categoryname2]],Table6[[#This Row],[Model2]:[SN2]])</f>
        <v>0</v>
      </c>
      <c r="N199" t="b">
        <f>AND(Table6[[#This Row],[companyid2]:[Manufacturer2]],Table6[[#This Row],[SN2]])</f>
        <v>0</v>
      </c>
      <c r="O199" t="b">
        <f>AND(Table6[[#This Row],[companyid2]:[Model2]])</f>
        <v>1</v>
      </c>
    </row>
    <row r="200" spans="1:15" x14ac:dyDescent="0.25">
      <c r="A200">
        <v>57901</v>
      </c>
      <c r="B200" t="s">
        <v>845</v>
      </c>
      <c r="C200" t="s">
        <v>853</v>
      </c>
      <c r="D200" s="38" t="s">
        <v>854</v>
      </c>
      <c r="E200" s="95" t="s">
        <v>863</v>
      </c>
      <c r="F200" t="b">
        <f>IFERROR(Table6[[#This Row],[companyid]]=DropDowns!$N$20,TRUE)</f>
        <v>1</v>
      </c>
      <c r="G200" t="b">
        <f>OR(Worksheet!$D$5="",Worksheet!$D$5=Table6[[#This Row],[categoryname]])</f>
        <v>1</v>
      </c>
      <c r="H200" t="b">
        <f>OR(Worksheet!$D$7="",Worksheet!$D$7=Table6[[#This Row],[Manufacturer]])</f>
        <v>1</v>
      </c>
      <c r="I200" t="b">
        <f>OR(Worksheet!$G$7="",Worksheet!$G$7=Table6[[#This Row],[Model No.]])</f>
        <v>1</v>
      </c>
      <c r="J200" t="b">
        <f>OR(Worksheet!$D$8="",Worksheet!$D$8=Table6[[#This Row],[Serial No.]])</f>
        <v>0</v>
      </c>
      <c r="K200" t="b">
        <f>AND(Table6[[#This Row],[categoryname2]:[SN2]])</f>
        <v>0</v>
      </c>
      <c r="L200" t="b">
        <f>AND(Table6[[#This Row],[companyid2]],Table6[[#This Row],[Manufacturer2]:[SN2]])</f>
        <v>0</v>
      </c>
      <c r="M200" t="b">
        <f>AND(Table6[[#This Row],[companyid2]:[categoryname2]],Table6[[#This Row],[Model2]:[SN2]])</f>
        <v>0</v>
      </c>
      <c r="N200" t="b">
        <f>AND(Table6[[#This Row],[companyid2]:[Manufacturer2]],Table6[[#This Row],[SN2]])</f>
        <v>0</v>
      </c>
      <c r="O200" t="b">
        <f>AND(Table6[[#This Row],[companyid2]:[Model2]])</f>
        <v>1</v>
      </c>
    </row>
    <row r="201" spans="1:15" x14ac:dyDescent="0.25">
      <c r="A201">
        <v>57901</v>
      </c>
      <c r="B201" t="s">
        <v>845</v>
      </c>
      <c r="C201" t="s">
        <v>853</v>
      </c>
      <c r="D201" s="38" t="s">
        <v>854</v>
      </c>
      <c r="E201" s="95" t="s">
        <v>866</v>
      </c>
      <c r="F201" t="b">
        <f>IFERROR(Table6[[#This Row],[companyid]]=DropDowns!$N$20,TRUE)</f>
        <v>1</v>
      </c>
      <c r="G201" t="b">
        <f>OR(Worksheet!$D$5="",Worksheet!$D$5=Table6[[#This Row],[categoryname]])</f>
        <v>1</v>
      </c>
      <c r="H201" t="b">
        <f>OR(Worksheet!$D$7="",Worksheet!$D$7=Table6[[#This Row],[Manufacturer]])</f>
        <v>1</v>
      </c>
      <c r="I201" t="b">
        <f>OR(Worksheet!$G$7="",Worksheet!$G$7=Table6[[#This Row],[Model No.]])</f>
        <v>1</v>
      </c>
      <c r="J201" t="b">
        <f>OR(Worksheet!$D$8="",Worksheet!$D$8=Table6[[#This Row],[Serial No.]])</f>
        <v>0</v>
      </c>
      <c r="K201" t="b">
        <f>AND(Table6[[#This Row],[categoryname2]:[SN2]])</f>
        <v>0</v>
      </c>
      <c r="L201" t="b">
        <f>AND(Table6[[#This Row],[companyid2]],Table6[[#This Row],[Manufacturer2]:[SN2]])</f>
        <v>0</v>
      </c>
      <c r="M201" t="b">
        <f>AND(Table6[[#This Row],[companyid2]:[categoryname2]],Table6[[#This Row],[Model2]:[SN2]])</f>
        <v>0</v>
      </c>
      <c r="N201" t="b">
        <f>AND(Table6[[#This Row],[companyid2]:[Manufacturer2]],Table6[[#This Row],[SN2]])</f>
        <v>0</v>
      </c>
      <c r="O201" t="b">
        <f>AND(Table6[[#This Row],[companyid2]:[Model2]])</f>
        <v>1</v>
      </c>
    </row>
    <row r="202" spans="1:15" x14ac:dyDescent="0.25">
      <c r="A202">
        <v>57901</v>
      </c>
      <c r="B202" t="s">
        <v>884</v>
      </c>
      <c r="C202" t="s">
        <v>853</v>
      </c>
      <c r="D202" s="38" t="s">
        <v>908</v>
      </c>
      <c r="E202" s="95" t="s">
        <v>909</v>
      </c>
      <c r="F202" t="b">
        <f>IFERROR(Table6[[#This Row],[companyid]]=DropDowns!$N$20,TRUE)</f>
        <v>1</v>
      </c>
      <c r="G202" t="b">
        <f>OR(Worksheet!$D$5="",Worksheet!$D$5=Table6[[#This Row],[categoryname]])</f>
        <v>1</v>
      </c>
      <c r="H202" t="b">
        <f>OR(Worksheet!$D$7="",Worksheet!$D$7=Table6[[#This Row],[Manufacturer]])</f>
        <v>1</v>
      </c>
      <c r="I202" t="b">
        <f>OR(Worksheet!$G$7="",Worksheet!$G$7=Table6[[#This Row],[Model No.]])</f>
        <v>1</v>
      </c>
      <c r="J202" t="b">
        <f>OR(Worksheet!$D$8="",Worksheet!$D$8=Table6[[#This Row],[Serial No.]])</f>
        <v>0</v>
      </c>
      <c r="K202" t="b">
        <f>AND(Table6[[#This Row],[categoryname2]:[SN2]])</f>
        <v>0</v>
      </c>
      <c r="L202" t="b">
        <f>AND(Table6[[#This Row],[companyid2]],Table6[[#This Row],[Manufacturer2]:[SN2]])</f>
        <v>0</v>
      </c>
      <c r="M202" t="b">
        <f>AND(Table6[[#This Row],[companyid2]:[categoryname2]],Table6[[#This Row],[Model2]:[SN2]])</f>
        <v>0</v>
      </c>
      <c r="N202" t="b">
        <f>AND(Table6[[#This Row],[companyid2]:[Manufacturer2]],Table6[[#This Row],[SN2]])</f>
        <v>0</v>
      </c>
      <c r="O202" t="b">
        <f>AND(Table6[[#This Row],[companyid2]:[Model2]])</f>
        <v>1</v>
      </c>
    </row>
    <row r="203" spans="1:15" x14ac:dyDescent="0.25">
      <c r="A203">
        <v>57901</v>
      </c>
      <c r="B203" t="s">
        <v>884</v>
      </c>
      <c r="C203" t="s">
        <v>853</v>
      </c>
      <c r="D203" s="38" t="s">
        <v>911</v>
      </c>
      <c r="E203" s="95" t="s">
        <v>913</v>
      </c>
      <c r="F203" t="b">
        <f>IFERROR(Table6[[#This Row],[companyid]]=DropDowns!$N$20,TRUE)</f>
        <v>1</v>
      </c>
      <c r="G203" t="b">
        <f>OR(Worksheet!$D$5="",Worksheet!$D$5=Table6[[#This Row],[categoryname]])</f>
        <v>1</v>
      </c>
      <c r="H203" t="b">
        <f>OR(Worksheet!$D$7="",Worksheet!$D$7=Table6[[#This Row],[Manufacturer]])</f>
        <v>1</v>
      </c>
      <c r="I203" t="b">
        <f>OR(Worksheet!$G$7="",Worksheet!$G$7=Table6[[#This Row],[Model No.]])</f>
        <v>1</v>
      </c>
      <c r="J203" t="b">
        <f>OR(Worksheet!$D$8="",Worksheet!$D$8=Table6[[#This Row],[Serial No.]])</f>
        <v>0</v>
      </c>
      <c r="K203" t="b">
        <f>AND(Table6[[#This Row],[categoryname2]:[SN2]])</f>
        <v>0</v>
      </c>
      <c r="L203" t="b">
        <f>AND(Table6[[#This Row],[companyid2]],Table6[[#This Row],[Manufacturer2]:[SN2]])</f>
        <v>0</v>
      </c>
      <c r="M203" t="b">
        <f>AND(Table6[[#This Row],[companyid2]:[categoryname2]],Table6[[#This Row],[Model2]:[SN2]])</f>
        <v>0</v>
      </c>
      <c r="N203" t="b">
        <f>AND(Table6[[#This Row],[companyid2]:[Manufacturer2]],Table6[[#This Row],[SN2]])</f>
        <v>0</v>
      </c>
      <c r="O203" t="b">
        <f>AND(Table6[[#This Row],[companyid2]:[Model2]])</f>
        <v>1</v>
      </c>
    </row>
    <row r="204" spans="1:15" x14ac:dyDescent="0.25">
      <c r="A204">
        <v>57908</v>
      </c>
      <c r="B204" t="s">
        <v>884</v>
      </c>
      <c r="C204" t="s">
        <v>878</v>
      </c>
      <c r="D204" s="38" t="s">
        <v>1050</v>
      </c>
      <c r="E204" s="95" t="s">
        <v>1051</v>
      </c>
      <c r="F204" t="b">
        <f>IFERROR(Table6[[#This Row],[companyid]]=DropDowns!$N$20,TRUE)</f>
        <v>1</v>
      </c>
      <c r="G204" t="b">
        <f>OR(Worksheet!$D$5="",Worksheet!$D$5=Table6[[#This Row],[categoryname]])</f>
        <v>1</v>
      </c>
      <c r="H204" t="b">
        <f>OR(Worksheet!$D$7="",Worksheet!$D$7=Table6[[#This Row],[Manufacturer]])</f>
        <v>1</v>
      </c>
      <c r="I204" t="b">
        <f>OR(Worksheet!$G$7="",Worksheet!$G$7=Table6[[#This Row],[Model No.]])</f>
        <v>1</v>
      </c>
      <c r="J204" t="b">
        <f>OR(Worksheet!$D$8="",Worksheet!$D$8=Table6[[#This Row],[Serial No.]])</f>
        <v>0</v>
      </c>
      <c r="K204" t="b">
        <f>AND(Table6[[#This Row],[categoryname2]:[SN2]])</f>
        <v>0</v>
      </c>
      <c r="L204" t="b">
        <f>AND(Table6[[#This Row],[companyid2]],Table6[[#This Row],[Manufacturer2]:[SN2]])</f>
        <v>0</v>
      </c>
      <c r="M204" t="b">
        <f>AND(Table6[[#This Row],[companyid2]:[categoryname2]],Table6[[#This Row],[Model2]:[SN2]])</f>
        <v>0</v>
      </c>
      <c r="N204" t="b">
        <f>AND(Table6[[#This Row],[companyid2]:[Manufacturer2]],Table6[[#This Row],[SN2]])</f>
        <v>0</v>
      </c>
      <c r="O204" t="b">
        <f>AND(Table6[[#This Row],[companyid2]:[Model2]])</f>
        <v>1</v>
      </c>
    </row>
    <row r="205" spans="1:15" x14ac:dyDescent="0.25">
      <c r="A205">
        <v>57911</v>
      </c>
      <c r="B205" t="s">
        <v>845</v>
      </c>
      <c r="C205" t="s">
        <v>853</v>
      </c>
      <c r="D205" s="38" t="s">
        <v>854</v>
      </c>
      <c r="E205" s="95" t="s">
        <v>867</v>
      </c>
      <c r="F205" t="b">
        <f>IFERROR(Table6[[#This Row],[companyid]]=DropDowns!$N$20,TRUE)</f>
        <v>1</v>
      </c>
      <c r="G205" t="b">
        <f>OR(Worksheet!$D$5="",Worksheet!$D$5=Table6[[#This Row],[categoryname]])</f>
        <v>1</v>
      </c>
      <c r="H205" t="b">
        <f>OR(Worksheet!$D$7="",Worksheet!$D$7=Table6[[#This Row],[Manufacturer]])</f>
        <v>1</v>
      </c>
      <c r="I205" t="b">
        <f>OR(Worksheet!$G$7="",Worksheet!$G$7=Table6[[#This Row],[Model No.]])</f>
        <v>1</v>
      </c>
      <c r="J205" t="b">
        <f>OR(Worksheet!$D$8="",Worksheet!$D$8=Table6[[#This Row],[Serial No.]])</f>
        <v>0</v>
      </c>
      <c r="K205" t="b">
        <f>AND(Table6[[#This Row],[categoryname2]:[SN2]])</f>
        <v>0</v>
      </c>
      <c r="L205" t="b">
        <f>AND(Table6[[#This Row],[companyid2]],Table6[[#This Row],[Manufacturer2]:[SN2]])</f>
        <v>0</v>
      </c>
      <c r="M205" t="b">
        <f>AND(Table6[[#This Row],[companyid2]:[categoryname2]],Table6[[#This Row],[Model2]:[SN2]])</f>
        <v>0</v>
      </c>
      <c r="N205" t="b">
        <f>AND(Table6[[#This Row],[companyid2]:[Manufacturer2]],Table6[[#This Row],[SN2]])</f>
        <v>0</v>
      </c>
      <c r="O205" t="b">
        <f>AND(Table6[[#This Row],[companyid2]:[Model2]])</f>
        <v>1</v>
      </c>
    </row>
    <row r="206" spans="1:15" x14ac:dyDescent="0.25">
      <c r="A206">
        <v>57911</v>
      </c>
      <c r="B206" t="s">
        <v>845</v>
      </c>
      <c r="C206" t="s">
        <v>878</v>
      </c>
      <c r="D206" s="38" t="s">
        <v>879</v>
      </c>
      <c r="E206" s="95" t="s">
        <v>880</v>
      </c>
      <c r="F206" t="b">
        <f>IFERROR(Table6[[#This Row],[companyid]]=DropDowns!$N$20,TRUE)</f>
        <v>1</v>
      </c>
      <c r="G206" t="b">
        <f>OR(Worksheet!$D$5="",Worksheet!$D$5=Table6[[#This Row],[categoryname]])</f>
        <v>1</v>
      </c>
      <c r="H206" t="b">
        <f>OR(Worksheet!$D$7="",Worksheet!$D$7=Table6[[#This Row],[Manufacturer]])</f>
        <v>1</v>
      </c>
      <c r="I206" t="b">
        <f>OR(Worksheet!$G$7="",Worksheet!$G$7=Table6[[#This Row],[Model No.]])</f>
        <v>1</v>
      </c>
      <c r="J206" t="b">
        <f>OR(Worksheet!$D$8="",Worksheet!$D$8=Table6[[#This Row],[Serial No.]])</f>
        <v>0</v>
      </c>
      <c r="K206" t="b">
        <f>AND(Table6[[#This Row],[categoryname2]:[SN2]])</f>
        <v>0</v>
      </c>
      <c r="L206" t="b">
        <f>AND(Table6[[#This Row],[companyid2]],Table6[[#This Row],[Manufacturer2]:[SN2]])</f>
        <v>0</v>
      </c>
      <c r="M206" t="b">
        <f>AND(Table6[[#This Row],[companyid2]:[categoryname2]],Table6[[#This Row],[Model2]:[SN2]])</f>
        <v>0</v>
      </c>
      <c r="N206" t="b">
        <f>AND(Table6[[#This Row],[companyid2]:[Manufacturer2]],Table6[[#This Row],[SN2]])</f>
        <v>0</v>
      </c>
      <c r="O206" t="b">
        <f>AND(Table6[[#This Row],[companyid2]:[Model2]])</f>
        <v>1</v>
      </c>
    </row>
    <row r="207" spans="1:15" x14ac:dyDescent="0.25">
      <c r="A207">
        <v>57912</v>
      </c>
      <c r="B207" t="s">
        <v>884</v>
      </c>
      <c r="C207" t="s">
        <v>878</v>
      </c>
      <c r="D207" s="38" t="s">
        <v>901</v>
      </c>
      <c r="E207" s="95">
        <v>2279</v>
      </c>
      <c r="F207" t="b">
        <f>IFERROR(Table6[[#This Row],[companyid]]=DropDowns!$N$20,TRUE)</f>
        <v>1</v>
      </c>
      <c r="G207" t="b">
        <f>OR(Worksheet!$D$5="",Worksheet!$D$5=Table6[[#This Row],[categoryname]])</f>
        <v>1</v>
      </c>
      <c r="H207" t="b">
        <f>OR(Worksheet!$D$7="",Worksheet!$D$7=Table6[[#This Row],[Manufacturer]])</f>
        <v>1</v>
      </c>
      <c r="I207" t="b">
        <f>OR(Worksheet!$G$7="",Worksheet!$G$7=Table6[[#This Row],[Model No.]])</f>
        <v>1</v>
      </c>
      <c r="J207" t="b">
        <f>OR(Worksheet!$D$8="",Worksheet!$D$8=Table6[[#This Row],[Serial No.]])</f>
        <v>0</v>
      </c>
      <c r="K207" t="b">
        <f>AND(Table6[[#This Row],[categoryname2]:[SN2]])</f>
        <v>0</v>
      </c>
      <c r="L207" t="b">
        <f>AND(Table6[[#This Row],[companyid2]],Table6[[#This Row],[Manufacturer2]:[SN2]])</f>
        <v>0</v>
      </c>
      <c r="M207" t="b">
        <f>AND(Table6[[#This Row],[companyid2]:[categoryname2]],Table6[[#This Row],[Model2]:[SN2]])</f>
        <v>0</v>
      </c>
      <c r="N207" t="b">
        <f>AND(Table6[[#This Row],[companyid2]:[Manufacturer2]],Table6[[#This Row],[SN2]])</f>
        <v>0</v>
      </c>
      <c r="O207" t="b">
        <f>AND(Table6[[#This Row],[companyid2]:[Model2]])</f>
        <v>1</v>
      </c>
    </row>
    <row r="208" spans="1:15" x14ac:dyDescent="0.25">
      <c r="A208">
        <v>57932</v>
      </c>
      <c r="B208" t="s">
        <v>884</v>
      </c>
      <c r="C208" t="s">
        <v>962</v>
      </c>
      <c r="D208" s="38" t="s">
        <v>879</v>
      </c>
      <c r="E208" s="95">
        <v>971755</v>
      </c>
      <c r="F208" t="b">
        <f>IFERROR(Table6[[#This Row],[companyid]]=DropDowns!$N$20,TRUE)</f>
        <v>1</v>
      </c>
      <c r="G208" t="b">
        <f>OR(Worksheet!$D$5="",Worksheet!$D$5=Table6[[#This Row],[categoryname]])</f>
        <v>1</v>
      </c>
      <c r="H208" t="b">
        <f>OR(Worksheet!$D$7="",Worksheet!$D$7=Table6[[#This Row],[Manufacturer]])</f>
        <v>1</v>
      </c>
      <c r="I208" t="b">
        <f>OR(Worksheet!$G$7="",Worksheet!$G$7=Table6[[#This Row],[Model No.]])</f>
        <v>1</v>
      </c>
      <c r="J208" t="b">
        <f>OR(Worksheet!$D$8="",Worksheet!$D$8=Table6[[#This Row],[Serial No.]])</f>
        <v>0</v>
      </c>
      <c r="K208" t="b">
        <f>AND(Table6[[#This Row],[categoryname2]:[SN2]])</f>
        <v>0</v>
      </c>
      <c r="L208" t="b">
        <f>AND(Table6[[#This Row],[companyid2]],Table6[[#This Row],[Manufacturer2]:[SN2]])</f>
        <v>0</v>
      </c>
      <c r="M208" t="b">
        <f>AND(Table6[[#This Row],[companyid2]:[categoryname2]],Table6[[#This Row],[Model2]:[SN2]])</f>
        <v>0</v>
      </c>
      <c r="N208" t="b">
        <f>AND(Table6[[#This Row],[companyid2]:[Manufacturer2]],Table6[[#This Row],[SN2]])</f>
        <v>0</v>
      </c>
      <c r="O208" t="b">
        <f>AND(Table6[[#This Row],[companyid2]:[Model2]])</f>
        <v>1</v>
      </c>
    </row>
    <row r="209" spans="1:15" x14ac:dyDescent="0.25">
      <c r="A209">
        <v>57948</v>
      </c>
      <c r="B209" t="s">
        <v>884</v>
      </c>
      <c r="C209" t="s">
        <v>991</v>
      </c>
      <c r="D209" s="38" t="s">
        <v>995</v>
      </c>
      <c r="E209" s="95">
        <v>537</v>
      </c>
      <c r="F209" t="b">
        <f>IFERROR(Table6[[#This Row],[companyid]]=DropDowns!$N$20,TRUE)</f>
        <v>1</v>
      </c>
      <c r="G209" t="b">
        <f>OR(Worksheet!$D$5="",Worksheet!$D$5=Table6[[#This Row],[categoryname]])</f>
        <v>1</v>
      </c>
      <c r="H209" t="b">
        <f>OR(Worksheet!$D$7="",Worksheet!$D$7=Table6[[#This Row],[Manufacturer]])</f>
        <v>1</v>
      </c>
      <c r="I209" t="b">
        <f>OR(Worksheet!$G$7="",Worksheet!$G$7=Table6[[#This Row],[Model No.]])</f>
        <v>1</v>
      </c>
      <c r="J209" t="b">
        <f>OR(Worksheet!$D$8="",Worksheet!$D$8=Table6[[#This Row],[Serial No.]])</f>
        <v>0</v>
      </c>
      <c r="K209" t="b">
        <f>AND(Table6[[#This Row],[categoryname2]:[SN2]])</f>
        <v>0</v>
      </c>
      <c r="L209" t="b">
        <f>AND(Table6[[#This Row],[companyid2]],Table6[[#This Row],[Manufacturer2]:[SN2]])</f>
        <v>0</v>
      </c>
      <c r="M209" t="b">
        <f>AND(Table6[[#This Row],[companyid2]:[categoryname2]],Table6[[#This Row],[Model2]:[SN2]])</f>
        <v>0</v>
      </c>
      <c r="N209" t="b">
        <f>AND(Table6[[#This Row],[companyid2]:[Manufacturer2]],Table6[[#This Row],[SN2]])</f>
        <v>0</v>
      </c>
      <c r="O209" t="b">
        <f>AND(Table6[[#This Row],[companyid2]:[Model2]])</f>
        <v>1</v>
      </c>
    </row>
    <row r="210" spans="1:15" x14ac:dyDescent="0.25">
      <c r="A210">
        <v>57948</v>
      </c>
      <c r="B210" t="s">
        <v>884</v>
      </c>
      <c r="C210" t="s">
        <v>878</v>
      </c>
      <c r="D210" s="38" t="s">
        <v>1058</v>
      </c>
      <c r="E210" s="95" t="s">
        <v>1060</v>
      </c>
      <c r="F210" t="b">
        <f>IFERROR(Table6[[#This Row],[companyid]]=DropDowns!$N$20,TRUE)</f>
        <v>1</v>
      </c>
      <c r="G210" t="b">
        <f>OR(Worksheet!$D$5="",Worksheet!$D$5=Table6[[#This Row],[categoryname]])</f>
        <v>1</v>
      </c>
      <c r="H210" t="b">
        <f>OR(Worksheet!$D$7="",Worksheet!$D$7=Table6[[#This Row],[Manufacturer]])</f>
        <v>1</v>
      </c>
      <c r="I210" t="b">
        <f>OR(Worksheet!$G$7="",Worksheet!$G$7=Table6[[#This Row],[Model No.]])</f>
        <v>1</v>
      </c>
      <c r="J210" t="b">
        <f>OR(Worksheet!$D$8="",Worksheet!$D$8=Table6[[#This Row],[Serial No.]])</f>
        <v>0</v>
      </c>
      <c r="K210" t="b">
        <f>AND(Table6[[#This Row],[categoryname2]:[SN2]])</f>
        <v>0</v>
      </c>
      <c r="L210" t="b">
        <f>AND(Table6[[#This Row],[companyid2]],Table6[[#This Row],[Manufacturer2]:[SN2]])</f>
        <v>0</v>
      </c>
      <c r="M210" t="b">
        <f>AND(Table6[[#This Row],[companyid2]:[categoryname2]],Table6[[#This Row],[Model2]:[SN2]])</f>
        <v>0</v>
      </c>
      <c r="N210" t="b">
        <f>AND(Table6[[#This Row],[companyid2]:[Manufacturer2]],Table6[[#This Row],[SN2]])</f>
        <v>0</v>
      </c>
      <c r="O210" t="b">
        <f>AND(Table6[[#This Row],[companyid2]:[Model2]])</f>
        <v>1</v>
      </c>
    </row>
    <row r="211" spans="1:15" x14ac:dyDescent="0.25">
      <c r="A211">
        <v>57952</v>
      </c>
      <c r="B211" t="s">
        <v>884</v>
      </c>
      <c r="C211" t="s">
        <v>1103</v>
      </c>
      <c r="D211" s="38" t="s">
        <v>1104</v>
      </c>
      <c r="E211" s="95" t="s">
        <v>1105</v>
      </c>
      <c r="F211" t="b">
        <f>IFERROR(Table6[[#This Row],[companyid]]=DropDowns!$N$20,TRUE)</f>
        <v>1</v>
      </c>
      <c r="G211" t="b">
        <f>OR(Worksheet!$D$5="",Worksheet!$D$5=Table6[[#This Row],[categoryname]])</f>
        <v>1</v>
      </c>
      <c r="H211" t="b">
        <f>OR(Worksheet!$D$7="",Worksheet!$D$7=Table6[[#This Row],[Manufacturer]])</f>
        <v>1</v>
      </c>
      <c r="I211" t="b">
        <f>OR(Worksheet!$G$7="",Worksheet!$G$7=Table6[[#This Row],[Model No.]])</f>
        <v>1</v>
      </c>
      <c r="J211" t="b">
        <f>OR(Worksheet!$D$8="",Worksheet!$D$8=Table6[[#This Row],[Serial No.]])</f>
        <v>0</v>
      </c>
      <c r="K211" t="b">
        <f>AND(Table6[[#This Row],[categoryname2]:[SN2]])</f>
        <v>0</v>
      </c>
      <c r="L211" t="b">
        <f>AND(Table6[[#This Row],[companyid2]],Table6[[#This Row],[Manufacturer2]:[SN2]])</f>
        <v>0</v>
      </c>
      <c r="M211" t="b">
        <f>AND(Table6[[#This Row],[companyid2]:[categoryname2]],Table6[[#This Row],[Model2]:[SN2]])</f>
        <v>0</v>
      </c>
      <c r="N211" t="b">
        <f>AND(Table6[[#This Row],[companyid2]:[Manufacturer2]],Table6[[#This Row],[SN2]])</f>
        <v>0</v>
      </c>
      <c r="O211" t="b">
        <f>AND(Table6[[#This Row],[companyid2]:[Model2]])</f>
        <v>1</v>
      </c>
    </row>
    <row r="212" spans="1:15" x14ac:dyDescent="0.25">
      <c r="A212">
        <v>57958</v>
      </c>
      <c r="B212" t="s">
        <v>845</v>
      </c>
      <c r="C212" t="s">
        <v>853</v>
      </c>
      <c r="D212" s="38" t="s">
        <v>854</v>
      </c>
      <c r="E212" s="95">
        <v>181613</v>
      </c>
      <c r="F212" t="b">
        <f>IFERROR(Table6[[#This Row],[companyid]]=DropDowns!$N$20,TRUE)</f>
        <v>1</v>
      </c>
      <c r="G212" t="b">
        <f>OR(Worksheet!$D$5="",Worksheet!$D$5=Table6[[#This Row],[categoryname]])</f>
        <v>1</v>
      </c>
      <c r="H212" t="b">
        <f>OR(Worksheet!$D$7="",Worksheet!$D$7=Table6[[#This Row],[Manufacturer]])</f>
        <v>1</v>
      </c>
      <c r="I212" t="b">
        <f>OR(Worksheet!$G$7="",Worksheet!$G$7=Table6[[#This Row],[Model No.]])</f>
        <v>1</v>
      </c>
      <c r="J212" t="b">
        <f>OR(Worksheet!$D$8="",Worksheet!$D$8=Table6[[#This Row],[Serial No.]])</f>
        <v>0</v>
      </c>
      <c r="K212" t="b">
        <f>AND(Table6[[#This Row],[categoryname2]:[SN2]])</f>
        <v>0</v>
      </c>
      <c r="L212" t="b">
        <f>AND(Table6[[#This Row],[companyid2]],Table6[[#This Row],[Manufacturer2]:[SN2]])</f>
        <v>0</v>
      </c>
      <c r="M212" t="b">
        <f>AND(Table6[[#This Row],[companyid2]:[categoryname2]],Table6[[#This Row],[Model2]:[SN2]])</f>
        <v>0</v>
      </c>
      <c r="N212" t="b">
        <f>AND(Table6[[#This Row],[companyid2]:[Manufacturer2]],Table6[[#This Row],[SN2]])</f>
        <v>0</v>
      </c>
      <c r="O212" t="b">
        <f>AND(Table6[[#This Row],[companyid2]:[Model2]])</f>
        <v>1</v>
      </c>
    </row>
    <row r="213" spans="1:15" x14ac:dyDescent="0.25">
      <c r="A213">
        <v>57958</v>
      </c>
      <c r="B213" t="s">
        <v>845</v>
      </c>
      <c r="C213" t="s">
        <v>853</v>
      </c>
      <c r="D213" s="38" t="s">
        <v>854</v>
      </c>
      <c r="E213" s="95" t="s">
        <v>864</v>
      </c>
      <c r="F213" t="b">
        <f>IFERROR(Table6[[#This Row],[companyid]]=DropDowns!$N$20,TRUE)</f>
        <v>1</v>
      </c>
      <c r="G213" t="b">
        <f>OR(Worksheet!$D$5="",Worksheet!$D$5=Table6[[#This Row],[categoryname]])</f>
        <v>1</v>
      </c>
      <c r="H213" t="b">
        <f>OR(Worksheet!$D$7="",Worksheet!$D$7=Table6[[#This Row],[Manufacturer]])</f>
        <v>1</v>
      </c>
      <c r="I213" t="b">
        <f>OR(Worksheet!$G$7="",Worksheet!$G$7=Table6[[#This Row],[Model No.]])</f>
        <v>1</v>
      </c>
      <c r="J213" t="b">
        <f>OR(Worksheet!$D$8="",Worksheet!$D$8=Table6[[#This Row],[Serial No.]])</f>
        <v>0</v>
      </c>
      <c r="K213" t="b">
        <f>AND(Table6[[#This Row],[categoryname2]:[SN2]])</f>
        <v>0</v>
      </c>
      <c r="L213" t="b">
        <f>AND(Table6[[#This Row],[companyid2]],Table6[[#This Row],[Manufacturer2]:[SN2]])</f>
        <v>0</v>
      </c>
      <c r="M213" t="b">
        <f>AND(Table6[[#This Row],[companyid2]:[categoryname2]],Table6[[#This Row],[Model2]:[SN2]])</f>
        <v>0</v>
      </c>
      <c r="N213" t="b">
        <f>AND(Table6[[#This Row],[companyid2]:[Manufacturer2]],Table6[[#This Row],[SN2]])</f>
        <v>0</v>
      </c>
      <c r="O213" t="b">
        <f>AND(Table6[[#This Row],[companyid2]:[Model2]])</f>
        <v>1</v>
      </c>
    </row>
    <row r="214" spans="1:15" x14ac:dyDescent="0.25">
      <c r="A214">
        <v>57958</v>
      </c>
      <c r="B214" t="s">
        <v>884</v>
      </c>
      <c r="C214" t="s">
        <v>878</v>
      </c>
      <c r="D214" s="38" t="s">
        <v>1034</v>
      </c>
      <c r="E214" s="95">
        <v>530</v>
      </c>
      <c r="F214" t="b">
        <f>IFERROR(Table6[[#This Row],[companyid]]=DropDowns!$N$20,TRUE)</f>
        <v>1</v>
      </c>
      <c r="G214" t="b">
        <f>OR(Worksheet!$D$5="",Worksheet!$D$5=Table6[[#This Row],[categoryname]])</f>
        <v>1</v>
      </c>
      <c r="H214" t="b">
        <f>OR(Worksheet!$D$7="",Worksheet!$D$7=Table6[[#This Row],[Manufacturer]])</f>
        <v>1</v>
      </c>
      <c r="I214" t="b">
        <f>OR(Worksheet!$G$7="",Worksheet!$G$7=Table6[[#This Row],[Model No.]])</f>
        <v>1</v>
      </c>
      <c r="J214" t="b">
        <f>OR(Worksheet!$D$8="",Worksheet!$D$8=Table6[[#This Row],[Serial No.]])</f>
        <v>0</v>
      </c>
      <c r="K214" t="b">
        <f>AND(Table6[[#This Row],[categoryname2]:[SN2]])</f>
        <v>0</v>
      </c>
      <c r="L214" t="b">
        <f>AND(Table6[[#This Row],[companyid2]],Table6[[#This Row],[Manufacturer2]:[SN2]])</f>
        <v>0</v>
      </c>
      <c r="M214" t="b">
        <f>AND(Table6[[#This Row],[companyid2]:[categoryname2]],Table6[[#This Row],[Model2]:[SN2]])</f>
        <v>0</v>
      </c>
      <c r="N214" t="b">
        <f>AND(Table6[[#This Row],[companyid2]:[Manufacturer2]],Table6[[#This Row],[SN2]])</f>
        <v>0</v>
      </c>
      <c r="O214" t="b">
        <f>AND(Table6[[#This Row],[companyid2]:[Model2]])</f>
        <v>1</v>
      </c>
    </row>
    <row r="215" spans="1:15" x14ac:dyDescent="0.25">
      <c r="A215">
        <v>57961</v>
      </c>
      <c r="B215" t="s">
        <v>845</v>
      </c>
      <c r="C215" t="s">
        <v>850</v>
      </c>
      <c r="D215" s="38" t="s">
        <v>851</v>
      </c>
      <c r="E215" s="94">
        <v>34497</v>
      </c>
      <c r="F215" t="b">
        <f>IFERROR(Table6[[#This Row],[companyid]]=DropDowns!$N$20,TRUE)</f>
        <v>1</v>
      </c>
      <c r="G215" t="b">
        <f>OR(Worksheet!$D$5="",Worksheet!$D$5=Table6[[#This Row],[categoryname]])</f>
        <v>1</v>
      </c>
      <c r="H215" t="b">
        <f>OR(Worksheet!$D$7="",Worksheet!$D$7=Table6[[#This Row],[Manufacturer]])</f>
        <v>1</v>
      </c>
      <c r="I215" t="b">
        <f>OR(Worksheet!$G$7="",Worksheet!$G$7=Table6[[#This Row],[Model No.]])</f>
        <v>1</v>
      </c>
      <c r="J215" t="b">
        <f>OR(Worksheet!$D$8="",Worksheet!$D$8=Table6[[#This Row],[Serial No.]])</f>
        <v>0</v>
      </c>
      <c r="K215" t="b">
        <f>AND(Table6[[#This Row],[categoryname2]:[SN2]])</f>
        <v>0</v>
      </c>
      <c r="L215" t="b">
        <f>AND(Table6[[#This Row],[companyid2]],Table6[[#This Row],[Manufacturer2]:[SN2]])</f>
        <v>0</v>
      </c>
      <c r="M215" t="b">
        <f>AND(Table6[[#This Row],[companyid2]:[categoryname2]],Table6[[#This Row],[Model2]:[SN2]])</f>
        <v>0</v>
      </c>
      <c r="N215" t="b">
        <f>AND(Table6[[#This Row],[companyid2]:[Manufacturer2]],Table6[[#This Row],[SN2]])</f>
        <v>0</v>
      </c>
      <c r="O215" t="b">
        <f>AND(Table6[[#This Row],[companyid2]:[Model2]])</f>
        <v>1</v>
      </c>
    </row>
    <row r="216" spans="1:15" x14ac:dyDescent="0.25">
      <c r="A216">
        <v>57961</v>
      </c>
      <c r="B216" t="s">
        <v>884</v>
      </c>
      <c r="C216" t="s">
        <v>878</v>
      </c>
      <c r="D216" s="38" t="s">
        <v>1058</v>
      </c>
      <c r="E216" s="95" t="s">
        <v>1062</v>
      </c>
      <c r="F216" t="b">
        <f>IFERROR(Table6[[#This Row],[companyid]]=DropDowns!$N$20,TRUE)</f>
        <v>1</v>
      </c>
      <c r="G216" t="b">
        <f>OR(Worksheet!$D$5="",Worksheet!$D$5=Table6[[#This Row],[categoryname]])</f>
        <v>1</v>
      </c>
      <c r="H216" t="b">
        <f>OR(Worksheet!$D$7="",Worksheet!$D$7=Table6[[#This Row],[Manufacturer]])</f>
        <v>1</v>
      </c>
      <c r="I216" t="b">
        <f>OR(Worksheet!$G$7="",Worksheet!$G$7=Table6[[#This Row],[Model No.]])</f>
        <v>1</v>
      </c>
      <c r="J216" t="b">
        <f>OR(Worksheet!$D$8="",Worksheet!$D$8=Table6[[#This Row],[Serial No.]])</f>
        <v>0</v>
      </c>
      <c r="K216" t="b">
        <f>AND(Table6[[#This Row],[categoryname2]:[SN2]])</f>
        <v>0</v>
      </c>
      <c r="L216" t="b">
        <f>AND(Table6[[#This Row],[companyid2]],Table6[[#This Row],[Manufacturer2]:[SN2]])</f>
        <v>0</v>
      </c>
      <c r="M216" t="b">
        <f>AND(Table6[[#This Row],[companyid2]:[categoryname2]],Table6[[#This Row],[Model2]:[SN2]])</f>
        <v>0</v>
      </c>
      <c r="N216" t="b">
        <f>AND(Table6[[#This Row],[companyid2]:[Manufacturer2]],Table6[[#This Row],[SN2]])</f>
        <v>0</v>
      </c>
      <c r="O216" t="b">
        <f>AND(Table6[[#This Row],[companyid2]:[Model2]])</f>
        <v>1</v>
      </c>
    </row>
    <row r="217" spans="1:15" x14ac:dyDescent="0.25">
      <c r="A217">
        <v>57961</v>
      </c>
      <c r="B217" t="s">
        <v>884</v>
      </c>
      <c r="C217" t="s">
        <v>878</v>
      </c>
      <c r="D217" s="38" t="s">
        <v>1073</v>
      </c>
      <c r="E217" s="95">
        <v>1948</v>
      </c>
      <c r="F217" t="b">
        <f>IFERROR(Table6[[#This Row],[companyid]]=DropDowns!$N$20,TRUE)</f>
        <v>1</v>
      </c>
      <c r="G217" t="b">
        <f>OR(Worksheet!$D$5="",Worksheet!$D$5=Table6[[#This Row],[categoryname]])</f>
        <v>1</v>
      </c>
      <c r="H217" t="b">
        <f>OR(Worksheet!$D$7="",Worksheet!$D$7=Table6[[#This Row],[Manufacturer]])</f>
        <v>1</v>
      </c>
      <c r="I217" t="b">
        <f>OR(Worksheet!$G$7="",Worksheet!$G$7=Table6[[#This Row],[Model No.]])</f>
        <v>1</v>
      </c>
      <c r="J217" t="b">
        <f>OR(Worksheet!$D$8="",Worksheet!$D$8=Table6[[#This Row],[Serial No.]])</f>
        <v>0</v>
      </c>
      <c r="K217" t="b">
        <f>AND(Table6[[#This Row],[categoryname2]:[SN2]])</f>
        <v>0</v>
      </c>
      <c r="L217" t="b">
        <f>AND(Table6[[#This Row],[companyid2]],Table6[[#This Row],[Manufacturer2]:[SN2]])</f>
        <v>0</v>
      </c>
      <c r="M217" t="b">
        <f>AND(Table6[[#This Row],[companyid2]:[categoryname2]],Table6[[#This Row],[Model2]:[SN2]])</f>
        <v>0</v>
      </c>
      <c r="N217" t="b">
        <f>AND(Table6[[#This Row],[companyid2]:[Manufacturer2]],Table6[[#This Row],[SN2]])</f>
        <v>0</v>
      </c>
      <c r="O217" t="b">
        <f>AND(Table6[[#This Row],[companyid2]:[Model2]])</f>
        <v>1</v>
      </c>
    </row>
    <row r="218" spans="1:15" x14ac:dyDescent="0.25">
      <c r="A218">
        <v>57961</v>
      </c>
      <c r="B218" t="s">
        <v>884</v>
      </c>
      <c r="C218" t="s">
        <v>878</v>
      </c>
      <c r="D218" s="38" t="s">
        <v>1093</v>
      </c>
      <c r="E218" s="95">
        <v>9120251</v>
      </c>
      <c r="F218" t="b">
        <f>IFERROR(Table6[[#This Row],[companyid]]=DropDowns!$N$20,TRUE)</f>
        <v>1</v>
      </c>
      <c r="G218" t="b">
        <f>OR(Worksheet!$D$5="",Worksheet!$D$5=Table6[[#This Row],[categoryname]])</f>
        <v>1</v>
      </c>
      <c r="H218" t="b">
        <f>OR(Worksheet!$D$7="",Worksheet!$D$7=Table6[[#This Row],[Manufacturer]])</f>
        <v>1</v>
      </c>
      <c r="I218" t="b">
        <f>OR(Worksheet!$G$7="",Worksheet!$G$7=Table6[[#This Row],[Model No.]])</f>
        <v>1</v>
      </c>
      <c r="J218" t="b">
        <f>OR(Worksheet!$D$8="",Worksheet!$D$8=Table6[[#This Row],[Serial No.]])</f>
        <v>0</v>
      </c>
      <c r="K218" t="b">
        <f>AND(Table6[[#This Row],[categoryname2]:[SN2]])</f>
        <v>0</v>
      </c>
      <c r="L218" t="b">
        <f>AND(Table6[[#This Row],[companyid2]],Table6[[#This Row],[Manufacturer2]:[SN2]])</f>
        <v>0</v>
      </c>
      <c r="M218" t="b">
        <f>AND(Table6[[#This Row],[companyid2]:[categoryname2]],Table6[[#This Row],[Model2]:[SN2]])</f>
        <v>0</v>
      </c>
      <c r="N218" t="b">
        <f>AND(Table6[[#This Row],[companyid2]:[Manufacturer2]],Table6[[#This Row],[SN2]])</f>
        <v>0</v>
      </c>
      <c r="O218" t="b">
        <f>AND(Table6[[#This Row],[companyid2]:[Model2]])</f>
        <v>1</v>
      </c>
    </row>
    <row r="219" spans="1:15" x14ac:dyDescent="0.25">
      <c r="A219">
        <v>57983</v>
      </c>
      <c r="B219" t="s">
        <v>845</v>
      </c>
      <c r="C219" t="s">
        <v>853</v>
      </c>
      <c r="D219" s="38" t="s">
        <v>854</v>
      </c>
      <c r="E219" s="95" t="s">
        <v>859</v>
      </c>
      <c r="F219" t="b">
        <f>IFERROR(Table6[[#This Row],[companyid]]=DropDowns!$N$20,TRUE)</f>
        <v>1</v>
      </c>
      <c r="G219" t="b">
        <f>OR(Worksheet!$D$5="",Worksheet!$D$5=Table6[[#This Row],[categoryname]])</f>
        <v>1</v>
      </c>
      <c r="H219" t="b">
        <f>OR(Worksheet!$D$7="",Worksheet!$D$7=Table6[[#This Row],[Manufacturer]])</f>
        <v>1</v>
      </c>
      <c r="I219" t="b">
        <f>OR(Worksheet!$G$7="",Worksheet!$G$7=Table6[[#This Row],[Model No.]])</f>
        <v>1</v>
      </c>
      <c r="J219" t="b">
        <f>OR(Worksheet!$D$8="",Worksheet!$D$8=Table6[[#This Row],[Serial No.]])</f>
        <v>0</v>
      </c>
      <c r="K219" t="b">
        <f>AND(Table6[[#This Row],[categoryname2]:[SN2]])</f>
        <v>0</v>
      </c>
      <c r="L219" t="b">
        <f>AND(Table6[[#This Row],[companyid2]],Table6[[#This Row],[Manufacturer2]:[SN2]])</f>
        <v>0</v>
      </c>
      <c r="M219" t="b">
        <f>AND(Table6[[#This Row],[companyid2]:[categoryname2]],Table6[[#This Row],[Model2]:[SN2]])</f>
        <v>0</v>
      </c>
      <c r="N219" t="b">
        <f>AND(Table6[[#This Row],[companyid2]:[Manufacturer2]],Table6[[#This Row],[SN2]])</f>
        <v>0</v>
      </c>
      <c r="O219" t="b">
        <f>AND(Table6[[#This Row],[companyid2]:[Model2]])</f>
        <v>1</v>
      </c>
    </row>
    <row r="220" spans="1:15" x14ac:dyDescent="0.25">
      <c r="A220">
        <v>57983</v>
      </c>
      <c r="B220" t="s">
        <v>884</v>
      </c>
      <c r="C220" t="s">
        <v>1013</v>
      </c>
      <c r="D220" s="38">
        <v>3814</v>
      </c>
      <c r="E220" s="95" t="s">
        <v>1014</v>
      </c>
      <c r="F220" t="b">
        <f>IFERROR(Table6[[#This Row],[companyid]]=DropDowns!$N$20,TRUE)</f>
        <v>1</v>
      </c>
      <c r="G220" t="b">
        <f>OR(Worksheet!$D$5="",Worksheet!$D$5=Table6[[#This Row],[categoryname]])</f>
        <v>1</v>
      </c>
      <c r="H220" t="b">
        <f>OR(Worksheet!$D$7="",Worksheet!$D$7=Table6[[#This Row],[Manufacturer]])</f>
        <v>1</v>
      </c>
      <c r="I220" t="b">
        <f>OR(Worksheet!$G$7="",Worksheet!$G$7=Table6[[#This Row],[Model No.]])</f>
        <v>1</v>
      </c>
      <c r="J220" t="b">
        <f>OR(Worksheet!$D$8="",Worksheet!$D$8=Table6[[#This Row],[Serial No.]])</f>
        <v>0</v>
      </c>
      <c r="K220" t="b">
        <f>AND(Table6[[#This Row],[categoryname2]:[SN2]])</f>
        <v>0</v>
      </c>
      <c r="L220" t="b">
        <f>AND(Table6[[#This Row],[companyid2]],Table6[[#This Row],[Manufacturer2]:[SN2]])</f>
        <v>0</v>
      </c>
      <c r="M220" t="b">
        <f>AND(Table6[[#This Row],[companyid2]:[categoryname2]],Table6[[#This Row],[Model2]:[SN2]])</f>
        <v>0</v>
      </c>
      <c r="N220" t="b">
        <f>AND(Table6[[#This Row],[companyid2]:[Manufacturer2]],Table6[[#This Row],[SN2]])</f>
        <v>0</v>
      </c>
      <c r="O220" t="b">
        <f>AND(Table6[[#This Row],[companyid2]:[Model2]])</f>
        <v>1</v>
      </c>
    </row>
    <row r="221" spans="1:15" x14ac:dyDescent="0.25">
      <c r="A221">
        <v>58003</v>
      </c>
      <c r="B221" t="s">
        <v>884</v>
      </c>
      <c r="C221" t="s">
        <v>888</v>
      </c>
      <c r="D221" s="38" t="s">
        <v>889</v>
      </c>
      <c r="E221" s="95" t="s">
        <v>890</v>
      </c>
      <c r="F221" t="b">
        <f>IFERROR(Table6[[#This Row],[companyid]]=DropDowns!$N$20,TRUE)</f>
        <v>1</v>
      </c>
      <c r="G221" t="b">
        <f>OR(Worksheet!$D$5="",Worksheet!$D$5=Table6[[#This Row],[categoryname]])</f>
        <v>1</v>
      </c>
      <c r="H221" t="b">
        <f>OR(Worksheet!$D$7="",Worksheet!$D$7=Table6[[#This Row],[Manufacturer]])</f>
        <v>1</v>
      </c>
      <c r="I221" t="b">
        <f>OR(Worksheet!$G$7="",Worksheet!$G$7=Table6[[#This Row],[Model No.]])</f>
        <v>1</v>
      </c>
      <c r="J221" t="b">
        <f>OR(Worksheet!$D$8="",Worksheet!$D$8=Table6[[#This Row],[Serial No.]])</f>
        <v>0</v>
      </c>
      <c r="K221" t="b">
        <f>AND(Table6[[#This Row],[categoryname2]:[SN2]])</f>
        <v>0</v>
      </c>
      <c r="L221" t="b">
        <f>AND(Table6[[#This Row],[companyid2]],Table6[[#This Row],[Manufacturer2]:[SN2]])</f>
        <v>0</v>
      </c>
      <c r="M221" t="b">
        <f>AND(Table6[[#This Row],[companyid2]:[categoryname2]],Table6[[#This Row],[Model2]:[SN2]])</f>
        <v>0</v>
      </c>
      <c r="N221" t="b">
        <f>AND(Table6[[#This Row],[companyid2]:[Manufacturer2]],Table6[[#This Row],[SN2]])</f>
        <v>0</v>
      </c>
      <c r="O221" t="b">
        <f>AND(Table6[[#This Row],[companyid2]:[Model2]])</f>
        <v>1</v>
      </c>
    </row>
    <row r="222" spans="1:15" x14ac:dyDescent="0.25">
      <c r="A222">
        <v>58005</v>
      </c>
      <c r="B222" t="s">
        <v>884</v>
      </c>
      <c r="C222" t="s">
        <v>1022</v>
      </c>
      <c r="D222" s="38" t="s">
        <v>951</v>
      </c>
      <c r="E222" s="95" t="s">
        <v>1023</v>
      </c>
      <c r="F222" t="b">
        <f>IFERROR(Table6[[#This Row],[companyid]]=DropDowns!$N$20,TRUE)</f>
        <v>1</v>
      </c>
      <c r="G222" t="b">
        <f>OR(Worksheet!$D$5="",Worksheet!$D$5=Table6[[#This Row],[categoryname]])</f>
        <v>1</v>
      </c>
      <c r="H222" t="b">
        <f>OR(Worksheet!$D$7="",Worksheet!$D$7=Table6[[#This Row],[Manufacturer]])</f>
        <v>1</v>
      </c>
      <c r="I222" t="b">
        <f>OR(Worksheet!$G$7="",Worksheet!$G$7=Table6[[#This Row],[Model No.]])</f>
        <v>1</v>
      </c>
      <c r="J222" t="b">
        <f>OR(Worksheet!$D$8="",Worksheet!$D$8=Table6[[#This Row],[Serial No.]])</f>
        <v>0</v>
      </c>
      <c r="K222" t="b">
        <f>AND(Table6[[#This Row],[categoryname2]:[SN2]])</f>
        <v>0</v>
      </c>
      <c r="L222" t="b">
        <f>AND(Table6[[#This Row],[companyid2]],Table6[[#This Row],[Manufacturer2]:[SN2]])</f>
        <v>0</v>
      </c>
      <c r="M222" t="b">
        <f>AND(Table6[[#This Row],[companyid2]:[categoryname2]],Table6[[#This Row],[Model2]:[SN2]])</f>
        <v>0</v>
      </c>
      <c r="N222" t="b">
        <f>AND(Table6[[#This Row],[companyid2]:[Manufacturer2]],Table6[[#This Row],[SN2]])</f>
        <v>0</v>
      </c>
      <c r="O222" t="b">
        <f>AND(Table6[[#This Row],[companyid2]:[Model2]])</f>
        <v>1</v>
      </c>
    </row>
    <row r="223" spans="1:15" x14ac:dyDescent="0.25">
      <c r="A223">
        <v>58011</v>
      </c>
      <c r="B223" t="s">
        <v>884</v>
      </c>
      <c r="C223" t="s">
        <v>850</v>
      </c>
      <c r="D223" s="38" t="s">
        <v>894</v>
      </c>
      <c r="E223" s="95">
        <v>9949</v>
      </c>
      <c r="F223" t="b">
        <f>IFERROR(Table6[[#This Row],[companyid]]=DropDowns!$N$20,TRUE)</f>
        <v>1</v>
      </c>
      <c r="G223" t="b">
        <f>OR(Worksheet!$D$5="",Worksheet!$D$5=Table6[[#This Row],[categoryname]])</f>
        <v>1</v>
      </c>
      <c r="H223" t="b">
        <f>OR(Worksheet!$D$7="",Worksheet!$D$7=Table6[[#This Row],[Manufacturer]])</f>
        <v>1</v>
      </c>
      <c r="I223" t="b">
        <f>OR(Worksheet!$G$7="",Worksheet!$G$7=Table6[[#This Row],[Model No.]])</f>
        <v>1</v>
      </c>
      <c r="J223" t="b">
        <f>OR(Worksheet!$D$8="",Worksheet!$D$8=Table6[[#This Row],[Serial No.]])</f>
        <v>0</v>
      </c>
      <c r="K223" t="b">
        <f>AND(Table6[[#This Row],[categoryname2]:[SN2]])</f>
        <v>0</v>
      </c>
      <c r="L223" t="b">
        <f>AND(Table6[[#This Row],[companyid2]],Table6[[#This Row],[Manufacturer2]:[SN2]])</f>
        <v>0</v>
      </c>
      <c r="M223" t="b">
        <f>AND(Table6[[#This Row],[companyid2]:[categoryname2]],Table6[[#This Row],[Model2]:[SN2]])</f>
        <v>0</v>
      </c>
      <c r="N223" t="b">
        <f>AND(Table6[[#This Row],[companyid2]:[Manufacturer2]],Table6[[#This Row],[SN2]])</f>
        <v>0</v>
      </c>
      <c r="O223" t="b">
        <f>AND(Table6[[#This Row],[companyid2]:[Model2]])</f>
        <v>1</v>
      </c>
    </row>
    <row r="224" spans="1:15" x14ac:dyDescent="0.25">
      <c r="A224">
        <v>58011</v>
      </c>
      <c r="B224" t="s">
        <v>884</v>
      </c>
      <c r="C224" t="s">
        <v>878</v>
      </c>
      <c r="D224" s="38" t="s">
        <v>1050</v>
      </c>
      <c r="E224" s="95">
        <v>1683</v>
      </c>
      <c r="F224" t="b">
        <f>IFERROR(Table6[[#This Row],[companyid]]=DropDowns!$N$20,TRUE)</f>
        <v>1</v>
      </c>
      <c r="G224" t="b">
        <f>OR(Worksheet!$D$5="",Worksheet!$D$5=Table6[[#This Row],[categoryname]])</f>
        <v>1</v>
      </c>
      <c r="H224" t="b">
        <f>OR(Worksheet!$D$7="",Worksheet!$D$7=Table6[[#This Row],[Manufacturer]])</f>
        <v>1</v>
      </c>
      <c r="I224" t="b">
        <f>OR(Worksheet!$G$7="",Worksheet!$G$7=Table6[[#This Row],[Model No.]])</f>
        <v>1</v>
      </c>
      <c r="J224" t="b">
        <f>OR(Worksheet!$D$8="",Worksheet!$D$8=Table6[[#This Row],[Serial No.]])</f>
        <v>0</v>
      </c>
      <c r="K224" t="b">
        <f>AND(Table6[[#This Row],[categoryname2]:[SN2]])</f>
        <v>0</v>
      </c>
      <c r="L224" t="b">
        <f>AND(Table6[[#This Row],[companyid2]],Table6[[#This Row],[Manufacturer2]:[SN2]])</f>
        <v>0</v>
      </c>
      <c r="M224" t="b">
        <f>AND(Table6[[#This Row],[companyid2]:[categoryname2]],Table6[[#This Row],[Model2]:[SN2]])</f>
        <v>0</v>
      </c>
      <c r="N224" t="b">
        <f>AND(Table6[[#This Row],[companyid2]:[Manufacturer2]],Table6[[#This Row],[SN2]])</f>
        <v>0</v>
      </c>
      <c r="O224" t="b">
        <f>AND(Table6[[#This Row],[companyid2]:[Model2]])</f>
        <v>1</v>
      </c>
    </row>
    <row r="225" spans="1:15" x14ac:dyDescent="0.25">
      <c r="A225">
        <v>58028</v>
      </c>
      <c r="B225" t="s">
        <v>884</v>
      </c>
      <c r="C225" t="s">
        <v>878</v>
      </c>
      <c r="D225" s="38" t="s">
        <v>1058</v>
      </c>
      <c r="E225" s="95">
        <v>4927</v>
      </c>
      <c r="F225" t="b">
        <f>IFERROR(Table6[[#This Row],[companyid]]=DropDowns!$N$20,TRUE)</f>
        <v>1</v>
      </c>
      <c r="G225" t="b">
        <f>OR(Worksheet!$D$5="",Worksheet!$D$5=Table6[[#This Row],[categoryname]])</f>
        <v>1</v>
      </c>
      <c r="H225" t="b">
        <f>OR(Worksheet!$D$7="",Worksheet!$D$7=Table6[[#This Row],[Manufacturer]])</f>
        <v>1</v>
      </c>
      <c r="I225" t="b">
        <f>OR(Worksheet!$G$7="",Worksheet!$G$7=Table6[[#This Row],[Model No.]])</f>
        <v>1</v>
      </c>
      <c r="J225" t="b">
        <f>OR(Worksheet!$D$8="",Worksheet!$D$8=Table6[[#This Row],[Serial No.]])</f>
        <v>0</v>
      </c>
      <c r="K225" t="b">
        <f>AND(Table6[[#This Row],[categoryname2]:[SN2]])</f>
        <v>0</v>
      </c>
      <c r="L225" t="b">
        <f>AND(Table6[[#This Row],[companyid2]],Table6[[#This Row],[Manufacturer2]:[SN2]])</f>
        <v>0</v>
      </c>
      <c r="M225" t="b">
        <f>AND(Table6[[#This Row],[companyid2]:[categoryname2]],Table6[[#This Row],[Model2]:[SN2]])</f>
        <v>0</v>
      </c>
      <c r="N225" t="b">
        <f>AND(Table6[[#This Row],[companyid2]:[Manufacturer2]],Table6[[#This Row],[SN2]])</f>
        <v>0</v>
      </c>
      <c r="O225" t="b">
        <f>AND(Table6[[#This Row],[companyid2]:[Model2]])</f>
        <v>1</v>
      </c>
    </row>
    <row r="226" spans="1:15" x14ac:dyDescent="0.25">
      <c r="A226">
        <v>58030</v>
      </c>
      <c r="B226" t="s">
        <v>884</v>
      </c>
      <c r="C226" t="s">
        <v>1026</v>
      </c>
      <c r="D226" s="38" t="s">
        <v>1027</v>
      </c>
      <c r="E226" s="95">
        <v>1895</v>
      </c>
      <c r="F226" t="b">
        <f>IFERROR(Table6[[#This Row],[companyid]]=DropDowns!$N$20,TRUE)</f>
        <v>1</v>
      </c>
      <c r="G226" t="b">
        <f>OR(Worksheet!$D$5="",Worksheet!$D$5=Table6[[#This Row],[categoryname]])</f>
        <v>1</v>
      </c>
      <c r="H226" t="b">
        <f>OR(Worksheet!$D$7="",Worksheet!$D$7=Table6[[#This Row],[Manufacturer]])</f>
        <v>1</v>
      </c>
      <c r="I226" t="b">
        <f>OR(Worksheet!$G$7="",Worksheet!$G$7=Table6[[#This Row],[Model No.]])</f>
        <v>1</v>
      </c>
      <c r="J226" t="b">
        <f>OR(Worksheet!$D$8="",Worksheet!$D$8=Table6[[#This Row],[Serial No.]])</f>
        <v>0</v>
      </c>
      <c r="K226" t="b">
        <f>AND(Table6[[#This Row],[categoryname2]:[SN2]])</f>
        <v>0</v>
      </c>
      <c r="L226" t="b">
        <f>AND(Table6[[#This Row],[companyid2]],Table6[[#This Row],[Manufacturer2]:[SN2]])</f>
        <v>0</v>
      </c>
      <c r="M226" t="b">
        <f>AND(Table6[[#This Row],[companyid2]:[categoryname2]],Table6[[#This Row],[Model2]:[SN2]])</f>
        <v>0</v>
      </c>
      <c r="N226" t="b">
        <f>AND(Table6[[#This Row],[companyid2]:[Manufacturer2]],Table6[[#This Row],[SN2]])</f>
        <v>0</v>
      </c>
      <c r="O226" t="b">
        <f>AND(Table6[[#This Row],[companyid2]:[Model2]])</f>
        <v>1</v>
      </c>
    </row>
    <row r="227" spans="1:15" x14ac:dyDescent="0.25">
      <c r="A227">
        <v>58053</v>
      </c>
      <c r="B227" t="s">
        <v>884</v>
      </c>
      <c r="C227" t="s">
        <v>934</v>
      </c>
      <c r="D227" s="38" t="s">
        <v>935</v>
      </c>
      <c r="E227" s="95">
        <v>78502</v>
      </c>
      <c r="F227" t="b">
        <f>IFERROR(Table6[[#This Row],[companyid]]=DropDowns!$N$20,TRUE)</f>
        <v>1</v>
      </c>
      <c r="G227" t="b">
        <f>OR(Worksheet!$D$5="",Worksheet!$D$5=Table6[[#This Row],[categoryname]])</f>
        <v>1</v>
      </c>
      <c r="H227" t="b">
        <f>OR(Worksheet!$D$7="",Worksheet!$D$7=Table6[[#This Row],[Manufacturer]])</f>
        <v>1</v>
      </c>
      <c r="I227" t="b">
        <f>OR(Worksheet!$G$7="",Worksheet!$G$7=Table6[[#This Row],[Model No.]])</f>
        <v>1</v>
      </c>
      <c r="J227" t="b">
        <f>OR(Worksheet!$D$8="",Worksheet!$D$8=Table6[[#This Row],[Serial No.]])</f>
        <v>0</v>
      </c>
      <c r="K227" t="b">
        <f>AND(Table6[[#This Row],[categoryname2]:[SN2]])</f>
        <v>0</v>
      </c>
      <c r="L227" t="b">
        <f>AND(Table6[[#This Row],[companyid2]],Table6[[#This Row],[Manufacturer2]:[SN2]])</f>
        <v>0</v>
      </c>
      <c r="M227" t="b">
        <f>AND(Table6[[#This Row],[companyid2]:[categoryname2]],Table6[[#This Row],[Model2]:[SN2]])</f>
        <v>0</v>
      </c>
      <c r="N227" t="b">
        <f>AND(Table6[[#This Row],[companyid2]:[Manufacturer2]],Table6[[#This Row],[SN2]])</f>
        <v>0</v>
      </c>
      <c r="O227" t="b">
        <f>AND(Table6[[#This Row],[companyid2]:[Model2]])</f>
        <v>1</v>
      </c>
    </row>
    <row r="228" spans="1:15" x14ac:dyDescent="0.25">
      <c r="A228">
        <v>58053</v>
      </c>
      <c r="B228" t="s">
        <v>884</v>
      </c>
      <c r="C228" t="s">
        <v>878</v>
      </c>
      <c r="D228" s="38" t="s">
        <v>1058</v>
      </c>
      <c r="E228" s="95">
        <v>5282</v>
      </c>
      <c r="F228" t="b">
        <f>IFERROR(Table6[[#This Row],[companyid]]=DropDowns!$N$20,TRUE)</f>
        <v>1</v>
      </c>
      <c r="G228" t="b">
        <f>OR(Worksheet!$D$5="",Worksheet!$D$5=Table6[[#This Row],[categoryname]])</f>
        <v>1</v>
      </c>
      <c r="H228" t="b">
        <f>OR(Worksheet!$D$7="",Worksheet!$D$7=Table6[[#This Row],[Manufacturer]])</f>
        <v>1</v>
      </c>
      <c r="I228" t="b">
        <f>OR(Worksheet!$G$7="",Worksheet!$G$7=Table6[[#This Row],[Model No.]])</f>
        <v>1</v>
      </c>
      <c r="J228" t="b">
        <f>OR(Worksheet!$D$8="",Worksheet!$D$8=Table6[[#This Row],[Serial No.]])</f>
        <v>0</v>
      </c>
      <c r="K228" t="b">
        <f>AND(Table6[[#This Row],[categoryname2]:[SN2]])</f>
        <v>0</v>
      </c>
      <c r="L228" t="b">
        <f>AND(Table6[[#This Row],[companyid2]],Table6[[#This Row],[Manufacturer2]:[SN2]])</f>
        <v>0</v>
      </c>
      <c r="M228" t="b">
        <f>AND(Table6[[#This Row],[companyid2]:[categoryname2]],Table6[[#This Row],[Model2]:[SN2]])</f>
        <v>0</v>
      </c>
      <c r="N228" t="b">
        <f>AND(Table6[[#This Row],[companyid2]:[Manufacturer2]],Table6[[#This Row],[SN2]])</f>
        <v>0</v>
      </c>
      <c r="O228" t="b">
        <f>AND(Table6[[#This Row],[companyid2]:[Model2]])</f>
        <v>1</v>
      </c>
    </row>
    <row r="229" spans="1:15" x14ac:dyDescent="0.25">
      <c r="A229">
        <v>58060</v>
      </c>
      <c r="B229" t="s">
        <v>884</v>
      </c>
      <c r="C229" t="s">
        <v>999</v>
      </c>
      <c r="D229" s="38" t="s">
        <v>1000</v>
      </c>
      <c r="E229" s="95">
        <v>20050401004</v>
      </c>
      <c r="F229" t="b">
        <f>IFERROR(Table6[[#This Row],[companyid]]=DropDowns!$N$20,TRUE)</f>
        <v>1</v>
      </c>
      <c r="G229" t="b">
        <f>OR(Worksheet!$D$5="",Worksheet!$D$5=Table6[[#This Row],[categoryname]])</f>
        <v>1</v>
      </c>
      <c r="H229" t="b">
        <f>OR(Worksheet!$D$7="",Worksheet!$D$7=Table6[[#This Row],[Manufacturer]])</f>
        <v>1</v>
      </c>
      <c r="I229" t="b">
        <f>OR(Worksheet!$G$7="",Worksheet!$G$7=Table6[[#This Row],[Model No.]])</f>
        <v>1</v>
      </c>
      <c r="J229" t="b">
        <f>OR(Worksheet!$D$8="",Worksheet!$D$8=Table6[[#This Row],[Serial No.]])</f>
        <v>0</v>
      </c>
      <c r="K229" t="b">
        <f>AND(Table6[[#This Row],[categoryname2]:[SN2]])</f>
        <v>0</v>
      </c>
      <c r="L229" t="b">
        <f>AND(Table6[[#This Row],[companyid2]],Table6[[#This Row],[Manufacturer2]:[SN2]])</f>
        <v>0</v>
      </c>
      <c r="M229" t="b">
        <f>AND(Table6[[#This Row],[companyid2]:[categoryname2]],Table6[[#This Row],[Model2]:[SN2]])</f>
        <v>0</v>
      </c>
      <c r="N229" t="b">
        <f>AND(Table6[[#This Row],[companyid2]:[Manufacturer2]],Table6[[#This Row],[SN2]])</f>
        <v>0</v>
      </c>
      <c r="O229" t="b">
        <f>AND(Table6[[#This Row],[companyid2]:[Model2]])</f>
        <v>1</v>
      </c>
    </row>
    <row r="230" spans="1:15" x14ac:dyDescent="0.25">
      <c r="A230">
        <v>58071</v>
      </c>
      <c r="B230" t="s">
        <v>884</v>
      </c>
      <c r="C230" t="s">
        <v>878</v>
      </c>
      <c r="D230" s="38" t="s">
        <v>1058</v>
      </c>
      <c r="E230" s="95" t="s">
        <v>1063</v>
      </c>
      <c r="F230" t="b">
        <f>IFERROR(Table6[[#This Row],[companyid]]=DropDowns!$N$20,TRUE)</f>
        <v>1</v>
      </c>
      <c r="G230" t="b">
        <f>OR(Worksheet!$D$5="",Worksheet!$D$5=Table6[[#This Row],[categoryname]])</f>
        <v>1</v>
      </c>
      <c r="H230" t="b">
        <f>OR(Worksheet!$D$7="",Worksheet!$D$7=Table6[[#This Row],[Manufacturer]])</f>
        <v>1</v>
      </c>
      <c r="I230" t="b">
        <f>OR(Worksheet!$G$7="",Worksheet!$G$7=Table6[[#This Row],[Model No.]])</f>
        <v>1</v>
      </c>
      <c r="J230" t="b">
        <f>OR(Worksheet!$D$8="",Worksheet!$D$8=Table6[[#This Row],[Serial No.]])</f>
        <v>0</v>
      </c>
      <c r="K230" t="b">
        <f>AND(Table6[[#This Row],[categoryname2]:[SN2]])</f>
        <v>0</v>
      </c>
      <c r="L230" t="b">
        <f>AND(Table6[[#This Row],[companyid2]],Table6[[#This Row],[Manufacturer2]:[SN2]])</f>
        <v>0</v>
      </c>
      <c r="M230" t="b">
        <f>AND(Table6[[#This Row],[companyid2]:[categoryname2]],Table6[[#This Row],[Model2]:[SN2]])</f>
        <v>0</v>
      </c>
      <c r="N230" t="b">
        <f>AND(Table6[[#This Row],[companyid2]:[Manufacturer2]],Table6[[#This Row],[SN2]])</f>
        <v>0</v>
      </c>
      <c r="O230" t="b">
        <f>AND(Table6[[#This Row],[companyid2]:[Model2]])</f>
        <v>1</v>
      </c>
    </row>
    <row r="231" spans="1:15" x14ac:dyDescent="0.25">
      <c r="A231">
        <v>58078</v>
      </c>
      <c r="B231" t="s">
        <v>845</v>
      </c>
      <c r="C231" t="s">
        <v>853</v>
      </c>
      <c r="D231" s="38" t="s">
        <v>854</v>
      </c>
      <c r="E231" s="95">
        <v>14358</v>
      </c>
      <c r="F231" t="b">
        <f>IFERROR(Table6[[#This Row],[companyid]]=DropDowns!$N$20,TRUE)</f>
        <v>1</v>
      </c>
      <c r="G231" t="b">
        <f>OR(Worksheet!$D$5="",Worksheet!$D$5=Table6[[#This Row],[categoryname]])</f>
        <v>1</v>
      </c>
      <c r="H231" t="b">
        <f>OR(Worksheet!$D$7="",Worksheet!$D$7=Table6[[#This Row],[Manufacturer]])</f>
        <v>1</v>
      </c>
      <c r="I231" t="b">
        <f>OR(Worksheet!$G$7="",Worksheet!$G$7=Table6[[#This Row],[Model No.]])</f>
        <v>1</v>
      </c>
      <c r="J231" t="b">
        <f>OR(Worksheet!$D$8="",Worksheet!$D$8=Table6[[#This Row],[Serial No.]])</f>
        <v>0</v>
      </c>
      <c r="K231" t="b">
        <f>AND(Table6[[#This Row],[categoryname2]:[SN2]])</f>
        <v>0</v>
      </c>
      <c r="L231" t="b">
        <f>AND(Table6[[#This Row],[companyid2]],Table6[[#This Row],[Manufacturer2]:[SN2]])</f>
        <v>0</v>
      </c>
      <c r="M231" t="b">
        <f>AND(Table6[[#This Row],[companyid2]:[categoryname2]],Table6[[#This Row],[Model2]:[SN2]])</f>
        <v>0</v>
      </c>
      <c r="N231" t="b">
        <f>AND(Table6[[#This Row],[companyid2]:[Manufacturer2]],Table6[[#This Row],[SN2]])</f>
        <v>0</v>
      </c>
      <c r="O231" t="b">
        <f>AND(Table6[[#This Row],[companyid2]:[Model2]])</f>
        <v>1</v>
      </c>
    </row>
    <row r="232" spans="1:15" x14ac:dyDescent="0.25">
      <c r="A232">
        <v>58078</v>
      </c>
      <c r="B232" t="s">
        <v>845</v>
      </c>
      <c r="C232" t="s">
        <v>853</v>
      </c>
      <c r="D232" s="38" t="s">
        <v>854</v>
      </c>
      <c r="E232" s="95">
        <v>181596</v>
      </c>
      <c r="F232" t="b">
        <f>IFERROR(Table6[[#This Row],[companyid]]=DropDowns!$N$20,TRUE)</f>
        <v>1</v>
      </c>
      <c r="G232" t="b">
        <f>OR(Worksheet!$D$5="",Worksheet!$D$5=Table6[[#This Row],[categoryname]])</f>
        <v>1</v>
      </c>
      <c r="H232" t="b">
        <f>OR(Worksheet!$D$7="",Worksheet!$D$7=Table6[[#This Row],[Manufacturer]])</f>
        <v>1</v>
      </c>
      <c r="I232" t="b">
        <f>OR(Worksheet!$G$7="",Worksheet!$G$7=Table6[[#This Row],[Model No.]])</f>
        <v>1</v>
      </c>
      <c r="J232" t="b">
        <f>OR(Worksheet!$D$8="",Worksheet!$D$8=Table6[[#This Row],[Serial No.]])</f>
        <v>0</v>
      </c>
      <c r="K232" t="b">
        <f>AND(Table6[[#This Row],[categoryname2]:[SN2]])</f>
        <v>0</v>
      </c>
      <c r="L232" t="b">
        <f>AND(Table6[[#This Row],[companyid2]],Table6[[#This Row],[Manufacturer2]:[SN2]])</f>
        <v>0</v>
      </c>
      <c r="M232" t="b">
        <f>AND(Table6[[#This Row],[companyid2]:[categoryname2]],Table6[[#This Row],[Model2]:[SN2]])</f>
        <v>0</v>
      </c>
      <c r="N232" t="b">
        <f>AND(Table6[[#This Row],[companyid2]:[Manufacturer2]],Table6[[#This Row],[SN2]])</f>
        <v>0</v>
      </c>
      <c r="O232" t="b">
        <f>AND(Table6[[#This Row],[companyid2]:[Model2]])</f>
        <v>1</v>
      </c>
    </row>
    <row r="233" spans="1:15" x14ac:dyDescent="0.25">
      <c r="A233">
        <v>58078</v>
      </c>
      <c r="B233" t="s">
        <v>884</v>
      </c>
      <c r="C233" t="s">
        <v>1013</v>
      </c>
      <c r="D233" s="38" t="s">
        <v>879</v>
      </c>
      <c r="E233" s="95" t="s">
        <v>1015</v>
      </c>
      <c r="F233" t="b">
        <f>IFERROR(Table6[[#This Row],[companyid]]=DropDowns!$N$20,TRUE)</f>
        <v>1</v>
      </c>
      <c r="G233" t="b">
        <f>OR(Worksheet!$D$5="",Worksheet!$D$5=Table6[[#This Row],[categoryname]])</f>
        <v>1</v>
      </c>
      <c r="H233" t="b">
        <f>OR(Worksheet!$D$7="",Worksheet!$D$7=Table6[[#This Row],[Manufacturer]])</f>
        <v>1</v>
      </c>
      <c r="I233" t="b">
        <f>OR(Worksheet!$G$7="",Worksheet!$G$7=Table6[[#This Row],[Model No.]])</f>
        <v>1</v>
      </c>
      <c r="J233" t="b">
        <f>OR(Worksheet!$D$8="",Worksheet!$D$8=Table6[[#This Row],[Serial No.]])</f>
        <v>0</v>
      </c>
      <c r="K233" t="b">
        <f>AND(Table6[[#This Row],[categoryname2]:[SN2]])</f>
        <v>0</v>
      </c>
      <c r="L233" t="b">
        <f>AND(Table6[[#This Row],[companyid2]],Table6[[#This Row],[Manufacturer2]:[SN2]])</f>
        <v>0</v>
      </c>
      <c r="M233" t="b">
        <f>AND(Table6[[#This Row],[companyid2]:[categoryname2]],Table6[[#This Row],[Model2]:[SN2]])</f>
        <v>0</v>
      </c>
      <c r="N233" t="b">
        <f>AND(Table6[[#This Row],[companyid2]:[Manufacturer2]],Table6[[#This Row],[SN2]])</f>
        <v>0</v>
      </c>
      <c r="O233" t="b">
        <f>AND(Table6[[#This Row],[companyid2]:[Model2]])</f>
        <v>1</v>
      </c>
    </row>
    <row r="234" spans="1:15" x14ac:dyDescent="0.25">
      <c r="A234">
        <v>58078</v>
      </c>
      <c r="B234" t="s">
        <v>884</v>
      </c>
      <c r="C234" t="s">
        <v>1103</v>
      </c>
      <c r="D234" s="38">
        <v>500</v>
      </c>
      <c r="E234" s="95">
        <v>222</v>
      </c>
      <c r="F234" t="b">
        <f>IFERROR(Table6[[#This Row],[companyid]]=DropDowns!$N$20,TRUE)</f>
        <v>1</v>
      </c>
      <c r="G234" t="b">
        <f>OR(Worksheet!$D$5="",Worksheet!$D$5=Table6[[#This Row],[categoryname]])</f>
        <v>1</v>
      </c>
      <c r="H234" t="b">
        <f>OR(Worksheet!$D$7="",Worksheet!$D$7=Table6[[#This Row],[Manufacturer]])</f>
        <v>1</v>
      </c>
      <c r="I234" t="b">
        <f>OR(Worksheet!$G$7="",Worksheet!$G$7=Table6[[#This Row],[Model No.]])</f>
        <v>1</v>
      </c>
      <c r="J234" t="b">
        <f>OR(Worksheet!$D$8="",Worksheet!$D$8=Table6[[#This Row],[Serial No.]])</f>
        <v>0</v>
      </c>
      <c r="K234" t="b">
        <f>AND(Table6[[#This Row],[categoryname2]:[SN2]])</f>
        <v>0</v>
      </c>
      <c r="L234" t="b">
        <f>AND(Table6[[#This Row],[companyid2]],Table6[[#This Row],[Manufacturer2]:[SN2]])</f>
        <v>0</v>
      </c>
      <c r="M234" t="b">
        <f>AND(Table6[[#This Row],[companyid2]:[categoryname2]],Table6[[#This Row],[Model2]:[SN2]])</f>
        <v>0</v>
      </c>
      <c r="N234" t="b">
        <f>AND(Table6[[#This Row],[companyid2]:[Manufacturer2]],Table6[[#This Row],[SN2]])</f>
        <v>0</v>
      </c>
      <c r="O234" t="b">
        <f>AND(Table6[[#This Row],[companyid2]:[Model2]])</f>
        <v>1</v>
      </c>
    </row>
    <row r="235" spans="1:15" x14ac:dyDescent="0.25">
      <c r="A235">
        <v>58079</v>
      </c>
      <c r="B235" t="s">
        <v>884</v>
      </c>
      <c r="C235" t="s">
        <v>853</v>
      </c>
      <c r="D235" s="38" t="s">
        <v>854</v>
      </c>
      <c r="E235" s="95">
        <v>99188</v>
      </c>
      <c r="F235" t="b">
        <f>IFERROR(Table6[[#This Row],[companyid]]=DropDowns!$N$20,TRUE)</f>
        <v>1</v>
      </c>
      <c r="G235" t="b">
        <f>OR(Worksheet!$D$5="",Worksheet!$D$5=Table6[[#This Row],[categoryname]])</f>
        <v>1</v>
      </c>
      <c r="H235" t="b">
        <f>OR(Worksheet!$D$7="",Worksheet!$D$7=Table6[[#This Row],[Manufacturer]])</f>
        <v>1</v>
      </c>
      <c r="I235" t="b">
        <f>OR(Worksheet!$G$7="",Worksheet!$G$7=Table6[[#This Row],[Model No.]])</f>
        <v>1</v>
      </c>
      <c r="J235" t="b">
        <f>OR(Worksheet!$D$8="",Worksheet!$D$8=Table6[[#This Row],[Serial No.]])</f>
        <v>0</v>
      </c>
      <c r="K235" t="b">
        <f>AND(Table6[[#This Row],[categoryname2]:[SN2]])</f>
        <v>0</v>
      </c>
      <c r="L235" t="b">
        <f>AND(Table6[[#This Row],[companyid2]],Table6[[#This Row],[Manufacturer2]:[SN2]])</f>
        <v>0</v>
      </c>
      <c r="M235" t="b">
        <f>AND(Table6[[#This Row],[companyid2]:[categoryname2]],Table6[[#This Row],[Model2]:[SN2]])</f>
        <v>0</v>
      </c>
      <c r="N235" t="b">
        <f>AND(Table6[[#This Row],[companyid2]:[Manufacturer2]],Table6[[#This Row],[SN2]])</f>
        <v>0</v>
      </c>
      <c r="O235" t="b">
        <f>AND(Table6[[#This Row],[companyid2]:[Model2]])</f>
        <v>1</v>
      </c>
    </row>
    <row r="236" spans="1:15" x14ac:dyDescent="0.25">
      <c r="A236">
        <v>58079</v>
      </c>
      <c r="B236" t="s">
        <v>884</v>
      </c>
      <c r="C236" t="s">
        <v>878</v>
      </c>
      <c r="D236" s="38" t="s">
        <v>1086</v>
      </c>
      <c r="E236" s="95" t="s">
        <v>1087</v>
      </c>
      <c r="F236" t="b">
        <f>IFERROR(Table6[[#This Row],[companyid]]=DropDowns!$N$20,TRUE)</f>
        <v>1</v>
      </c>
      <c r="G236" t="b">
        <f>OR(Worksheet!$D$5="",Worksheet!$D$5=Table6[[#This Row],[categoryname]])</f>
        <v>1</v>
      </c>
      <c r="H236" t="b">
        <f>OR(Worksheet!$D$7="",Worksheet!$D$7=Table6[[#This Row],[Manufacturer]])</f>
        <v>1</v>
      </c>
      <c r="I236" t="b">
        <f>OR(Worksheet!$G$7="",Worksheet!$G$7=Table6[[#This Row],[Model No.]])</f>
        <v>1</v>
      </c>
      <c r="J236" t="b">
        <f>OR(Worksheet!$D$8="",Worksheet!$D$8=Table6[[#This Row],[Serial No.]])</f>
        <v>0</v>
      </c>
      <c r="K236" t="b">
        <f>AND(Table6[[#This Row],[categoryname2]:[SN2]])</f>
        <v>0</v>
      </c>
      <c r="L236" t="b">
        <f>AND(Table6[[#This Row],[companyid2]],Table6[[#This Row],[Manufacturer2]:[SN2]])</f>
        <v>0</v>
      </c>
      <c r="M236" t="b">
        <f>AND(Table6[[#This Row],[companyid2]:[categoryname2]],Table6[[#This Row],[Model2]:[SN2]])</f>
        <v>0</v>
      </c>
      <c r="N236" t="b">
        <f>AND(Table6[[#This Row],[companyid2]:[Manufacturer2]],Table6[[#This Row],[SN2]])</f>
        <v>0</v>
      </c>
      <c r="O236" t="b">
        <f>AND(Table6[[#This Row],[companyid2]:[Model2]])</f>
        <v>1</v>
      </c>
    </row>
    <row r="237" spans="1:15" x14ac:dyDescent="0.25">
      <c r="A237">
        <v>58107</v>
      </c>
      <c r="B237" t="s">
        <v>884</v>
      </c>
      <c r="C237" t="s">
        <v>878</v>
      </c>
      <c r="D237" s="38" t="s">
        <v>901</v>
      </c>
      <c r="E237" s="95">
        <v>7363</v>
      </c>
      <c r="F237" t="b">
        <f>IFERROR(Table6[[#This Row],[companyid]]=DropDowns!$N$20,TRUE)</f>
        <v>1</v>
      </c>
      <c r="G237" t="b">
        <f>OR(Worksheet!$D$5="",Worksheet!$D$5=Table6[[#This Row],[categoryname]])</f>
        <v>1</v>
      </c>
      <c r="H237" t="b">
        <f>OR(Worksheet!$D$7="",Worksheet!$D$7=Table6[[#This Row],[Manufacturer]])</f>
        <v>1</v>
      </c>
      <c r="I237" t="b">
        <f>OR(Worksheet!$G$7="",Worksheet!$G$7=Table6[[#This Row],[Model No.]])</f>
        <v>1</v>
      </c>
      <c r="J237" t="b">
        <f>OR(Worksheet!$D$8="",Worksheet!$D$8=Table6[[#This Row],[Serial No.]])</f>
        <v>0</v>
      </c>
      <c r="K237" t="b">
        <f>AND(Table6[[#This Row],[categoryname2]:[SN2]])</f>
        <v>0</v>
      </c>
      <c r="L237" t="b">
        <f>AND(Table6[[#This Row],[companyid2]],Table6[[#This Row],[Manufacturer2]:[SN2]])</f>
        <v>0</v>
      </c>
      <c r="M237" t="b">
        <f>AND(Table6[[#This Row],[companyid2]:[categoryname2]],Table6[[#This Row],[Model2]:[SN2]])</f>
        <v>0</v>
      </c>
      <c r="N237" t="b">
        <f>AND(Table6[[#This Row],[companyid2]:[Manufacturer2]],Table6[[#This Row],[SN2]])</f>
        <v>0</v>
      </c>
      <c r="O237" t="b">
        <f>AND(Table6[[#This Row],[companyid2]:[Model2]])</f>
        <v>1</v>
      </c>
    </row>
    <row r="238" spans="1:15" x14ac:dyDescent="0.25">
      <c r="A238">
        <v>58107</v>
      </c>
      <c r="B238" t="s">
        <v>884</v>
      </c>
      <c r="C238" t="s">
        <v>878</v>
      </c>
      <c r="D238" s="38" t="s">
        <v>901</v>
      </c>
      <c r="E238" s="95">
        <v>8556</v>
      </c>
      <c r="F238" t="b">
        <f>IFERROR(Table6[[#This Row],[companyid]]=DropDowns!$N$20,TRUE)</f>
        <v>1</v>
      </c>
      <c r="G238" t="b">
        <f>OR(Worksheet!$D$5="",Worksheet!$D$5=Table6[[#This Row],[categoryname]])</f>
        <v>1</v>
      </c>
      <c r="H238" t="b">
        <f>OR(Worksheet!$D$7="",Worksheet!$D$7=Table6[[#This Row],[Manufacturer]])</f>
        <v>1</v>
      </c>
      <c r="I238" t="b">
        <f>OR(Worksheet!$G$7="",Worksheet!$G$7=Table6[[#This Row],[Model No.]])</f>
        <v>1</v>
      </c>
      <c r="J238" t="b">
        <f>OR(Worksheet!$D$8="",Worksheet!$D$8=Table6[[#This Row],[Serial No.]])</f>
        <v>0</v>
      </c>
      <c r="K238" t="b">
        <f>AND(Table6[[#This Row],[categoryname2]:[SN2]])</f>
        <v>0</v>
      </c>
      <c r="L238" t="b">
        <f>AND(Table6[[#This Row],[companyid2]],Table6[[#This Row],[Manufacturer2]:[SN2]])</f>
        <v>0</v>
      </c>
      <c r="M238" t="b">
        <f>AND(Table6[[#This Row],[companyid2]:[categoryname2]],Table6[[#This Row],[Model2]:[SN2]])</f>
        <v>0</v>
      </c>
      <c r="N238" t="b">
        <f>AND(Table6[[#This Row],[companyid2]:[Manufacturer2]],Table6[[#This Row],[SN2]])</f>
        <v>0</v>
      </c>
      <c r="O238" t="b">
        <f>AND(Table6[[#This Row],[companyid2]:[Model2]])</f>
        <v>1</v>
      </c>
    </row>
    <row r="239" spans="1:15" x14ac:dyDescent="0.25">
      <c r="A239">
        <v>58115</v>
      </c>
      <c r="B239" t="s">
        <v>845</v>
      </c>
      <c r="C239" t="s">
        <v>870</v>
      </c>
      <c r="D239" s="38" t="s">
        <v>871</v>
      </c>
      <c r="E239" s="95" t="s">
        <v>872</v>
      </c>
      <c r="F239" t="b">
        <f>IFERROR(Table6[[#This Row],[companyid]]=DropDowns!$N$20,TRUE)</f>
        <v>1</v>
      </c>
      <c r="G239" t="b">
        <f>OR(Worksheet!$D$5="",Worksheet!$D$5=Table6[[#This Row],[categoryname]])</f>
        <v>1</v>
      </c>
      <c r="H239" t="b">
        <f>OR(Worksheet!$D$7="",Worksheet!$D$7=Table6[[#This Row],[Manufacturer]])</f>
        <v>1</v>
      </c>
      <c r="I239" t="b">
        <f>OR(Worksheet!$G$7="",Worksheet!$G$7=Table6[[#This Row],[Model No.]])</f>
        <v>1</v>
      </c>
      <c r="J239" t="b">
        <f>OR(Worksheet!$D$8="",Worksheet!$D$8=Table6[[#This Row],[Serial No.]])</f>
        <v>0</v>
      </c>
      <c r="K239" t="b">
        <f>AND(Table6[[#This Row],[categoryname2]:[SN2]])</f>
        <v>0</v>
      </c>
      <c r="L239" t="b">
        <f>AND(Table6[[#This Row],[companyid2]],Table6[[#This Row],[Manufacturer2]:[SN2]])</f>
        <v>0</v>
      </c>
      <c r="M239" t="b">
        <f>AND(Table6[[#This Row],[companyid2]:[categoryname2]],Table6[[#This Row],[Model2]:[SN2]])</f>
        <v>0</v>
      </c>
      <c r="N239" t="b">
        <f>AND(Table6[[#This Row],[companyid2]:[Manufacturer2]],Table6[[#This Row],[SN2]])</f>
        <v>0</v>
      </c>
      <c r="O239" t="b">
        <f>AND(Table6[[#This Row],[companyid2]:[Model2]])</f>
        <v>1</v>
      </c>
    </row>
    <row r="240" spans="1:15" x14ac:dyDescent="0.25">
      <c r="A240">
        <v>58115</v>
      </c>
      <c r="B240" t="s">
        <v>845</v>
      </c>
      <c r="C240" t="s">
        <v>870</v>
      </c>
      <c r="D240" s="38" t="s">
        <v>871</v>
      </c>
      <c r="E240" s="95" t="s">
        <v>873</v>
      </c>
      <c r="F240" t="b">
        <f>IFERROR(Table6[[#This Row],[companyid]]=DropDowns!$N$20,TRUE)</f>
        <v>1</v>
      </c>
      <c r="G240" t="b">
        <f>OR(Worksheet!$D$5="",Worksheet!$D$5=Table6[[#This Row],[categoryname]])</f>
        <v>1</v>
      </c>
      <c r="H240" t="b">
        <f>OR(Worksheet!$D$7="",Worksheet!$D$7=Table6[[#This Row],[Manufacturer]])</f>
        <v>1</v>
      </c>
      <c r="I240" t="b">
        <f>OR(Worksheet!$G$7="",Worksheet!$G$7=Table6[[#This Row],[Model No.]])</f>
        <v>1</v>
      </c>
      <c r="J240" t="b">
        <f>OR(Worksheet!$D$8="",Worksheet!$D$8=Table6[[#This Row],[Serial No.]])</f>
        <v>0</v>
      </c>
      <c r="K240" t="b">
        <f>AND(Table6[[#This Row],[categoryname2]:[SN2]])</f>
        <v>0</v>
      </c>
      <c r="L240" t="b">
        <f>AND(Table6[[#This Row],[companyid2]],Table6[[#This Row],[Manufacturer2]:[SN2]])</f>
        <v>0</v>
      </c>
      <c r="M240" t="b">
        <f>AND(Table6[[#This Row],[companyid2]:[categoryname2]],Table6[[#This Row],[Model2]:[SN2]])</f>
        <v>0</v>
      </c>
      <c r="N240" t="b">
        <f>AND(Table6[[#This Row],[companyid2]:[Manufacturer2]],Table6[[#This Row],[SN2]])</f>
        <v>0</v>
      </c>
      <c r="O240" t="b">
        <f>AND(Table6[[#This Row],[companyid2]:[Model2]])</f>
        <v>1</v>
      </c>
    </row>
    <row r="241" spans="1:15" x14ac:dyDescent="0.25">
      <c r="A241">
        <v>58115</v>
      </c>
      <c r="B241" t="s">
        <v>845</v>
      </c>
      <c r="C241" t="s">
        <v>874</v>
      </c>
      <c r="D241" s="38" t="s">
        <v>871</v>
      </c>
      <c r="E241" s="95" t="s">
        <v>875</v>
      </c>
      <c r="F241" t="b">
        <f>IFERROR(Table6[[#This Row],[companyid]]=DropDowns!$N$20,TRUE)</f>
        <v>1</v>
      </c>
      <c r="G241" t="b">
        <f>OR(Worksheet!$D$5="",Worksheet!$D$5=Table6[[#This Row],[categoryname]])</f>
        <v>1</v>
      </c>
      <c r="H241" t="b">
        <f>OR(Worksheet!$D$7="",Worksheet!$D$7=Table6[[#This Row],[Manufacturer]])</f>
        <v>1</v>
      </c>
      <c r="I241" t="b">
        <f>OR(Worksheet!$G$7="",Worksheet!$G$7=Table6[[#This Row],[Model No.]])</f>
        <v>1</v>
      </c>
      <c r="J241" t="b">
        <f>OR(Worksheet!$D$8="",Worksheet!$D$8=Table6[[#This Row],[Serial No.]])</f>
        <v>0</v>
      </c>
      <c r="K241" t="b">
        <f>AND(Table6[[#This Row],[categoryname2]:[SN2]])</f>
        <v>0</v>
      </c>
      <c r="L241" t="b">
        <f>AND(Table6[[#This Row],[companyid2]],Table6[[#This Row],[Manufacturer2]:[SN2]])</f>
        <v>0</v>
      </c>
      <c r="M241" t="b">
        <f>AND(Table6[[#This Row],[companyid2]:[categoryname2]],Table6[[#This Row],[Model2]:[SN2]])</f>
        <v>0</v>
      </c>
      <c r="N241" t="b">
        <f>AND(Table6[[#This Row],[companyid2]:[Manufacturer2]],Table6[[#This Row],[SN2]])</f>
        <v>0</v>
      </c>
      <c r="O241" t="b">
        <f>AND(Table6[[#This Row],[companyid2]:[Model2]])</f>
        <v>1</v>
      </c>
    </row>
    <row r="242" spans="1:15" x14ac:dyDescent="0.25">
      <c r="A242">
        <v>58115</v>
      </c>
      <c r="B242" t="s">
        <v>845</v>
      </c>
      <c r="C242" t="s">
        <v>878</v>
      </c>
      <c r="D242" s="38" t="s">
        <v>881</v>
      </c>
      <c r="E242" s="95" t="s">
        <v>882</v>
      </c>
      <c r="F242" t="b">
        <f>IFERROR(Table6[[#This Row],[companyid]]=DropDowns!$N$20,TRUE)</f>
        <v>1</v>
      </c>
      <c r="G242" t="b">
        <f>OR(Worksheet!$D$5="",Worksheet!$D$5=Table6[[#This Row],[categoryname]])</f>
        <v>1</v>
      </c>
      <c r="H242" t="b">
        <f>OR(Worksheet!$D$7="",Worksheet!$D$7=Table6[[#This Row],[Manufacturer]])</f>
        <v>1</v>
      </c>
      <c r="I242" t="b">
        <f>OR(Worksheet!$G$7="",Worksheet!$G$7=Table6[[#This Row],[Model No.]])</f>
        <v>1</v>
      </c>
      <c r="J242" t="b">
        <f>OR(Worksheet!$D$8="",Worksheet!$D$8=Table6[[#This Row],[Serial No.]])</f>
        <v>0</v>
      </c>
      <c r="K242" t="b">
        <f>AND(Table6[[#This Row],[categoryname2]:[SN2]])</f>
        <v>0</v>
      </c>
      <c r="L242" t="b">
        <f>AND(Table6[[#This Row],[companyid2]],Table6[[#This Row],[Manufacturer2]:[SN2]])</f>
        <v>0</v>
      </c>
      <c r="M242" t="b">
        <f>AND(Table6[[#This Row],[companyid2]:[categoryname2]],Table6[[#This Row],[Model2]:[SN2]])</f>
        <v>0</v>
      </c>
      <c r="N242" t="b">
        <f>AND(Table6[[#This Row],[companyid2]:[Manufacturer2]],Table6[[#This Row],[SN2]])</f>
        <v>0</v>
      </c>
      <c r="O242" t="b">
        <f>AND(Table6[[#This Row],[companyid2]:[Model2]])</f>
        <v>1</v>
      </c>
    </row>
    <row r="243" spans="1:15" x14ac:dyDescent="0.25">
      <c r="A243">
        <v>58115</v>
      </c>
      <c r="B243" t="s">
        <v>884</v>
      </c>
      <c r="C243" t="s">
        <v>945</v>
      </c>
      <c r="D243" s="38" t="s">
        <v>947</v>
      </c>
      <c r="E243" s="95" t="s">
        <v>949</v>
      </c>
      <c r="F243" t="b">
        <f>IFERROR(Table6[[#This Row],[companyid]]=DropDowns!$N$20,TRUE)</f>
        <v>1</v>
      </c>
      <c r="G243" t="b">
        <f>OR(Worksheet!$D$5="",Worksheet!$D$5=Table6[[#This Row],[categoryname]])</f>
        <v>1</v>
      </c>
      <c r="H243" t="b">
        <f>OR(Worksheet!$D$7="",Worksheet!$D$7=Table6[[#This Row],[Manufacturer]])</f>
        <v>1</v>
      </c>
      <c r="I243" t="b">
        <f>OR(Worksheet!$G$7="",Worksheet!$G$7=Table6[[#This Row],[Model No.]])</f>
        <v>1</v>
      </c>
      <c r="J243" t="b">
        <f>OR(Worksheet!$D$8="",Worksheet!$D$8=Table6[[#This Row],[Serial No.]])</f>
        <v>0</v>
      </c>
      <c r="K243" t="b">
        <f>AND(Table6[[#This Row],[categoryname2]:[SN2]])</f>
        <v>0</v>
      </c>
      <c r="L243" t="b">
        <f>AND(Table6[[#This Row],[companyid2]],Table6[[#This Row],[Manufacturer2]:[SN2]])</f>
        <v>0</v>
      </c>
      <c r="M243" t="b">
        <f>AND(Table6[[#This Row],[companyid2]:[categoryname2]],Table6[[#This Row],[Model2]:[SN2]])</f>
        <v>0</v>
      </c>
      <c r="N243" t="b">
        <f>AND(Table6[[#This Row],[companyid2]:[Manufacturer2]],Table6[[#This Row],[SN2]])</f>
        <v>0</v>
      </c>
      <c r="O243" t="b">
        <f>AND(Table6[[#This Row],[companyid2]:[Model2]])</f>
        <v>1</v>
      </c>
    </row>
    <row r="244" spans="1:15" x14ac:dyDescent="0.25">
      <c r="A244">
        <v>58115</v>
      </c>
      <c r="B244" t="s">
        <v>884</v>
      </c>
      <c r="C244" t="s">
        <v>962</v>
      </c>
      <c r="D244" s="38" t="s">
        <v>963</v>
      </c>
      <c r="E244" s="95">
        <v>6589</v>
      </c>
      <c r="F244" t="b">
        <f>IFERROR(Table6[[#This Row],[companyid]]=DropDowns!$N$20,TRUE)</f>
        <v>1</v>
      </c>
      <c r="G244" t="b">
        <f>OR(Worksheet!$D$5="",Worksheet!$D$5=Table6[[#This Row],[categoryname]])</f>
        <v>1</v>
      </c>
      <c r="H244" t="b">
        <f>OR(Worksheet!$D$7="",Worksheet!$D$7=Table6[[#This Row],[Manufacturer]])</f>
        <v>1</v>
      </c>
      <c r="I244" t="b">
        <f>OR(Worksheet!$G$7="",Worksheet!$G$7=Table6[[#This Row],[Model No.]])</f>
        <v>1</v>
      </c>
      <c r="J244" t="b">
        <f>OR(Worksheet!$D$8="",Worksheet!$D$8=Table6[[#This Row],[Serial No.]])</f>
        <v>0</v>
      </c>
      <c r="K244" t="b">
        <f>AND(Table6[[#This Row],[categoryname2]:[SN2]])</f>
        <v>0</v>
      </c>
      <c r="L244" t="b">
        <f>AND(Table6[[#This Row],[companyid2]],Table6[[#This Row],[Manufacturer2]:[SN2]])</f>
        <v>0</v>
      </c>
      <c r="M244" t="b">
        <f>AND(Table6[[#This Row],[companyid2]:[categoryname2]],Table6[[#This Row],[Model2]:[SN2]])</f>
        <v>0</v>
      </c>
      <c r="N244" t="b">
        <f>AND(Table6[[#This Row],[companyid2]:[Manufacturer2]],Table6[[#This Row],[SN2]])</f>
        <v>0</v>
      </c>
      <c r="O244" t="b">
        <f>AND(Table6[[#This Row],[companyid2]:[Model2]])</f>
        <v>1</v>
      </c>
    </row>
    <row r="245" spans="1:15" x14ac:dyDescent="0.25">
      <c r="A245">
        <v>58115</v>
      </c>
      <c r="B245" t="s">
        <v>884</v>
      </c>
      <c r="C245" t="s">
        <v>962</v>
      </c>
      <c r="D245" s="38" t="s">
        <v>963</v>
      </c>
      <c r="E245" s="95">
        <v>6627</v>
      </c>
      <c r="F245" t="b">
        <f>IFERROR(Table6[[#This Row],[companyid]]=DropDowns!$N$20,TRUE)</f>
        <v>1</v>
      </c>
      <c r="G245" t="b">
        <f>OR(Worksheet!$D$5="",Worksheet!$D$5=Table6[[#This Row],[categoryname]])</f>
        <v>1</v>
      </c>
      <c r="H245" t="b">
        <f>OR(Worksheet!$D$7="",Worksheet!$D$7=Table6[[#This Row],[Manufacturer]])</f>
        <v>1</v>
      </c>
      <c r="I245" t="b">
        <f>OR(Worksheet!$G$7="",Worksheet!$G$7=Table6[[#This Row],[Model No.]])</f>
        <v>1</v>
      </c>
      <c r="J245" t="b">
        <f>OR(Worksheet!$D$8="",Worksheet!$D$8=Table6[[#This Row],[Serial No.]])</f>
        <v>0</v>
      </c>
      <c r="K245" t="b">
        <f>AND(Table6[[#This Row],[categoryname2]:[SN2]])</f>
        <v>0</v>
      </c>
      <c r="L245" t="b">
        <f>AND(Table6[[#This Row],[companyid2]],Table6[[#This Row],[Manufacturer2]:[SN2]])</f>
        <v>0</v>
      </c>
      <c r="M245" t="b">
        <f>AND(Table6[[#This Row],[companyid2]:[categoryname2]],Table6[[#This Row],[Model2]:[SN2]])</f>
        <v>0</v>
      </c>
      <c r="N245" t="b">
        <f>AND(Table6[[#This Row],[companyid2]:[Manufacturer2]],Table6[[#This Row],[SN2]])</f>
        <v>0</v>
      </c>
      <c r="O245" t="b">
        <f>AND(Table6[[#This Row],[companyid2]:[Model2]])</f>
        <v>1</v>
      </c>
    </row>
    <row r="246" spans="1:15" x14ac:dyDescent="0.25">
      <c r="A246">
        <v>58115</v>
      </c>
      <c r="B246" t="s">
        <v>884</v>
      </c>
      <c r="C246" t="s">
        <v>962</v>
      </c>
      <c r="D246" s="38" t="s">
        <v>966</v>
      </c>
      <c r="E246" s="95">
        <v>2826</v>
      </c>
      <c r="F246" t="b">
        <f>IFERROR(Table6[[#This Row],[companyid]]=DropDowns!$N$20,TRUE)</f>
        <v>1</v>
      </c>
      <c r="G246" t="b">
        <f>OR(Worksheet!$D$5="",Worksheet!$D$5=Table6[[#This Row],[categoryname]])</f>
        <v>1</v>
      </c>
      <c r="H246" t="b">
        <f>OR(Worksheet!$D$7="",Worksheet!$D$7=Table6[[#This Row],[Manufacturer]])</f>
        <v>1</v>
      </c>
      <c r="I246" t="b">
        <f>OR(Worksheet!$G$7="",Worksheet!$G$7=Table6[[#This Row],[Model No.]])</f>
        <v>1</v>
      </c>
      <c r="J246" t="b">
        <f>OR(Worksheet!$D$8="",Worksheet!$D$8=Table6[[#This Row],[Serial No.]])</f>
        <v>0</v>
      </c>
      <c r="K246" t="b">
        <f>AND(Table6[[#This Row],[categoryname2]:[SN2]])</f>
        <v>0</v>
      </c>
      <c r="L246" t="b">
        <f>AND(Table6[[#This Row],[companyid2]],Table6[[#This Row],[Manufacturer2]:[SN2]])</f>
        <v>0</v>
      </c>
      <c r="M246" t="b">
        <f>AND(Table6[[#This Row],[companyid2]:[categoryname2]],Table6[[#This Row],[Model2]:[SN2]])</f>
        <v>0</v>
      </c>
      <c r="N246" t="b">
        <f>AND(Table6[[#This Row],[companyid2]:[Manufacturer2]],Table6[[#This Row],[SN2]])</f>
        <v>0</v>
      </c>
      <c r="O246" t="b">
        <f>AND(Table6[[#This Row],[companyid2]:[Model2]])</f>
        <v>1</v>
      </c>
    </row>
    <row r="247" spans="1:15" x14ac:dyDescent="0.25">
      <c r="A247">
        <v>58115</v>
      </c>
      <c r="B247" t="s">
        <v>884</v>
      </c>
      <c r="C247" t="s">
        <v>962</v>
      </c>
      <c r="D247" s="38" t="s">
        <v>966</v>
      </c>
      <c r="E247" s="95">
        <v>4280</v>
      </c>
      <c r="F247" t="b">
        <f>IFERROR(Table6[[#This Row],[companyid]]=DropDowns!$N$20,TRUE)</f>
        <v>1</v>
      </c>
      <c r="G247" t="b">
        <f>OR(Worksheet!$D$5="",Worksheet!$D$5=Table6[[#This Row],[categoryname]])</f>
        <v>1</v>
      </c>
      <c r="H247" t="b">
        <f>OR(Worksheet!$D$7="",Worksheet!$D$7=Table6[[#This Row],[Manufacturer]])</f>
        <v>1</v>
      </c>
      <c r="I247" t="b">
        <f>OR(Worksheet!$G$7="",Worksheet!$G$7=Table6[[#This Row],[Model No.]])</f>
        <v>1</v>
      </c>
      <c r="J247" t="b">
        <f>OR(Worksheet!$D$8="",Worksheet!$D$8=Table6[[#This Row],[Serial No.]])</f>
        <v>0</v>
      </c>
      <c r="K247" t="b">
        <f>AND(Table6[[#This Row],[categoryname2]:[SN2]])</f>
        <v>0</v>
      </c>
      <c r="L247" t="b">
        <f>AND(Table6[[#This Row],[companyid2]],Table6[[#This Row],[Manufacturer2]:[SN2]])</f>
        <v>0</v>
      </c>
      <c r="M247" t="b">
        <f>AND(Table6[[#This Row],[companyid2]:[categoryname2]],Table6[[#This Row],[Model2]:[SN2]])</f>
        <v>0</v>
      </c>
      <c r="N247" t="b">
        <f>AND(Table6[[#This Row],[companyid2]:[Manufacturer2]],Table6[[#This Row],[SN2]])</f>
        <v>0</v>
      </c>
      <c r="O247" t="b">
        <f>AND(Table6[[#This Row],[companyid2]:[Model2]])</f>
        <v>1</v>
      </c>
    </row>
    <row r="248" spans="1:15" x14ac:dyDescent="0.25">
      <c r="A248">
        <v>58115</v>
      </c>
      <c r="B248" t="s">
        <v>884</v>
      </c>
      <c r="C248" t="s">
        <v>962</v>
      </c>
      <c r="D248" s="38" t="s">
        <v>966</v>
      </c>
      <c r="E248" s="95">
        <v>6561</v>
      </c>
      <c r="F248" t="b">
        <f>IFERROR(Table6[[#This Row],[companyid]]=DropDowns!$N$20,TRUE)</f>
        <v>1</v>
      </c>
      <c r="G248" t="b">
        <f>OR(Worksheet!$D$5="",Worksheet!$D$5=Table6[[#This Row],[categoryname]])</f>
        <v>1</v>
      </c>
      <c r="H248" t="b">
        <f>OR(Worksheet!$D$7="",Worksheet!$D$7=Table6[[#This Row],[Manufacturer]])</f>
        <v>1</v>
      </c>
      <c r="I248" t="b">
        <f>OR(Worksheet!$G$7="",Worksheet!$G$7=Table6[[#This Row],[Model No.]])</f>
        <v>1</v>
      </c>
      <c r="J248" t="b">
        <f>OR(Worksheet!$D$8="",Worksheet!$D$8=Table6[[#This Row],[Serial No.]])</f>
        <v>0</v>
      </c>
      <c r="K248" t="b">
        <f>AND(Table6[[#This Row],[categoryname2]:[SN2]])</f>
        <v>0</v>
      </c>
      <c r="L248" t="b">
        <f>AND(Table6[[#This Row],[companyid2]],Table6[[#This Row],[Manufacturer2]:[SN2]])</f>
        <v>0</v>
      </c>
      <c r="M248" t="b">
        <f>AND(Table6[[#This Row],[companyid2]:[categoryname2]],Table6[[#This Row],[Model2]:[SN2]])</f>
        <v>0</v>
      </c>
      <c r="N248" t="b">
        <f>AND(Table6[[#This Row],[companyid2]:[Manufacturer2]],Table6[[#This Row],[SN2]])</f>
        <v>0</v>
      </c>
      <c r="O248" t="b">
        <f>AND(Table6[[#This Row],[companyid2]:[Model2]])</f>
        <v>1</v>
      </c>
    </row>
    <row r="249" spans="1:15" x14ac:dyDescent="0.25">
      <c r="A249">
        <v>58115</v>
      </c>
      <c r="B249" t="s">
        <v>884</v>
      </c>
      <c r="C249" t="s">
        <v>962</v>
      </c>
      <c r="D249" s="38" t="s">
        <v>966</v>
      </c>
      <c r="E249" s="95">
        <v>6603</v>
      </c>
      <c r="F249" t="b">
        <f>IFERROR(Table6[[#This Row],[companyid]]=DropDowns!$N$20,TRUE)</f>
        <v>1</v>
      </c>
      <c r="G249" t="b">
        <f>OR(Worksheet!$D$5="",Worksheet!$D$5=Table6[[#This Row],[categoryname]])</f>
        <v>1</v>
      </c>
      <c r="H249" t="b">
        <f>OR(Worksheet!$D$7="",Worksheet!$D$7=Table6[[#This Row],[Manufacturer]])</f>
        <v>1</v>
      </c>
      <c r="I249" t="b">
        <f>OR(Worksheet!$G$7="",Worksheet!$G$7=Table6[[#This Row],[Model No.]])</f>
        <v>1</v>
      </c>
      <c r="J249" t="b">
        <f>OR(Worksheet!$D$8="",Worksheet!$D$8=Table6[[#This Row],[Serial No.]])</f>
        <v>0</v>
      </c>
      <c r="K249" t="b">
        <f>AND(Table6[[#This Row],[categoryname2]:[SN2]])</f>
        <v>0</v>
      </c>
      <c r="L249" t="b">
        <f>AND(Table6[[#This Row],[companyid2]],Table6[[#This Row],[Manufacturer2]:[SN2]])</f>
        <v>0</v>
      </c>
      <c r="M249" t="b">
        <f>AND(Table6[[#This Row],[companyid2]:[categoryname2]],Table6[[#This Row],[Model2]:[SN2]])</f>
        <v>0</v>
      </c>
      <c r="N249" t="b">
        <f>AND(Table6[[#This Row],[companyid2]:[Manufacturer2]],Table6[[#This Row],[SN2]])</f>
        <v>0</v>
      </c>
      <c r="O249" t="b">
        <f>AND(Table6[[#This Row],[companyid2]:[Model2]])</f>
        <v>1</v>
      </c>
    </row>
    <row r="250" spans="1:15" x14ac:dyDescent="0.25">
      <c r="A250">
        <v>58115</v>
      </c>
      <c r="B250" t="s">
        <v>884</v>
      </c>
      <c r="C250" t="s">
        <v>962</v>
      </c>
      <c r="D250" s="38" t="s">
        <v>966</v>
      </c>
      <c r="E250" s="95">
        <v>6607</v>
      </c>
      <c r="F250" t="b">
        <f>IFERROR(Table6[[#This Row],[companyid]]=DropDowns!$N$20,TRUE)</f>
        <v>1</v>
      </c>
      <c r="G250" t="b">
        <f>OR(Worksheet!$D$5="",Worksheet!$D$5=Table6[[#This Row],[categoryname]])</f>
        <v>1</v>
      </c>
      <c r="H250" t="b">
        <f>OR(Worksheet!$D$7="",Worksheet!$D$7=Table6[[#This Row],[Manufacturer]])</f>
        <v>1</v>
      </c>
      <c r="I250" t="b">
        <f>OR(Worksheet!$G$7="",Worksheet!$G$7=Table6[[#This Row],[Model No.]])</f>
        <v>1</v>
      </c>
      <c r="J250" t="b">
        <f>OR(Worksheet!$D$8="",Worksheet!$D$8=Table6[[#This Row],[Serial No.]])</f>
        <v>0</v>
      </c>
      <c r="K250" t="b">
        <f>AND(Table6[[#This Row],[categoryname2]:[SN2]])</f>
        <v>0</v>
      </c>
      <c r="L250" t="b">
        <f>AND(Table6[[#This Row],[companyid2]],Table6[[#This Row],[Manufacturer2]:[SN2]])</f>
        <v>0</v>
      </c>
      <c r="M250" t="b">
        <f>AND(Table6[[#This Row],[companyid2]:[categoryname2]],Table6[[#This Row],[Model2]:[SN2]])</f>
        <v>0</v>
      </c>
      <c r="N250" t="b">
        <f>AND(Table6[[#This Row],[companyid2]:[Manufacturer2]],Table6[[#This Row],[SN2]])</f>
        <v>0</v>
      </c>
      <c r="O250" t="b">
        <f>AND(Table6[[#This Row],[companyid2]:[Model2]])</f>
        <v>1</v>
      </c>
    </row>
    <row r="251" spans="1:15" x14ac:dyDescent="0.25">
      <c r="A251">
        <v>58115</v>
      </c>
      <c r="B251" t="s">
        <v>884</v>
      </c>
      <c r="C251" t="s">
        <v>962</v>
      </c>
      <c r="D251" s="38" t="s">
        <v>966</v>
      </c>
      <c r="E251" s="95">
        <v>6608</v>
      </c>
      <c r="F251" t="b">
        <f>IFERROR(Table6[[#This Row],[companyid]]=DropDowns!$N$20,TRUE)</f>
        <v>1</v>
      </c>
      <c r="G251" t="b">
        <f>OR(Worksheet!$D$5="",Worksheet!$D$5=Table6[[#This Row],[categoryname]])</f>
        <v>1</v>
      </c>
      <c r="H251" t="b">
        <f>OR(Worksheet!$D$7="",Worksheet!$D$7=Table6[[#This Row],[Manufacturer]])</f>
        <v>1</v>
      </c>
      <c r="I251" t="b">
        <f>OR(Worksheet!$G$7="",Worksheet!$G$7=Table6[[#This Row],[Model No.]])</f>
        <v>1</v>
      </c>
      <c r="J251" t="b">
        <f>OR(Worksheet!$D$8="",Worksheet!$D$8=Table6[[#This Row],[Serial No.]])</f>
        <v>0</v>
      </c>
      <c r="K251" t="b">
        <f>AND(Table6[[#This Row],[categoryname2]:[SN2]])</f>
        <v>0</v>
      </c>
      <c r="L251" t="b">
        <f>AND(Table6[[#This Row],[companyid2]],Table6[[#This Row],[Manufacturer2]:[SN2]])</f>
        <v>0</v>
      </c>
      <c r="M251" t="b">
        <f>AND(Table6[[#This Row],[companyid2]:[categoryname2]],Table6[[#This Row],[Model2]:[SN2]])</f>
        <v>0</v>
      </c>
      <c r="N251" t="b">
        <f>AND(Table6[[#This Row],[companyid2]:[Manufacturer2]],Table6[[#This Row],[SN2]])</f>
        <v>0</v>
      </c>
      <c r="O251" t="b">
        <f>AND(Table6[[#This Row],[companyid2]:[Model2]])</f>
        <v>1</v>
      </c>
    </row>
    <row r="252" spans="1:15" x14ac:dyDescent="0.25">
      <c r="A252">
        <v>58115</v>
      </c>
      <c r="B252" t="s">
        <v>884</v>
      </c>
      <c r="C252" t="s">
        <v>962</v>
      </c>
      <c r="D252" s="38" t="s">
        <v>966</v>
      </c>
      <c r="E252" s="95">
        <v>7039</v>
      </c>
      <c r="F252" t="b">
        <f>IFERROR(Table6[[#This Row],[companyid]]=DropDowns!$N$20,TRUE)</f>
        <v>1</v>
      </c>
      <c r="G252" t="b">
        <f>OR(Worksheet!$D$5="",Worksheet!$D$5=Table6[[#This Row],[categoryname]])</f>
        <v>1</v>
      </c>
      <c r="H252" t="b">
        <f>OR(Worksheet!$D$7="",Worksheet!$D$7=Table6[[#This Row],[Manufacturer]])</f>
        <v>1</v>
      </c>
      <c r="I252" t="b">
        <f>OR(Worksheet!$G$7="",Worksheet!$G$7=Table6[[#This Row],[Model No.]])</f>
        <v>1</v>
      </c>
      <c r="J252" t="b">
        <f>OR(Worksheet!$D$8="",Worksheet!$D$8=Table6[[#This Row],[Serial No.]])</f>
        <v>0</v>
      </c>
      <c r="K252" t="b">
        <f>AND(Table6[[#This Row],[categoryname2]:[SN2]])</f>
        <v>0</v>
      </c>
      <c r="L252" t="b">
        <f>AND(Table6[[#This Row],[companyid2]],Table6[[#This Row],[Manufacturer2]:[SN2]])</f>
        <v>0</v>
      </c>
      <c r="M252" t="b">
        <f>AND(Table6[[#This Row],[companyid2]:[categoryname2]],Table6[[#This Row],[Model2]:[SN2]])</f>
        <v>0</v>
      </c>
      <c r="N252" t="b">
        <f>AND(Table6[[#This Row],[companyid2]:[Manufacturer2]],Table6[[#This Row],[SN2]])</f>
        <v>0</v>
      </c>
      <c r="O252" t="b">
        <f>AND(Table6[[#This Row],[companyid2]:[Model2]])</f>
        <v>1</v>
      </c>
    </row>
    <row r="253" spans="1:15" x14ac:dyDescent="0.25">
      <c r="A253">
        <v>58115</v>
      </c>
      <c r="B253" t="s">
        <v>884</v>
      </c>
      <c r="C253" t="s">
        <v>962</v>
      </c>
      <c r="D253" s="38" t="s">
        <v>967</v>
      </c>
      <c r="E253" s="95" t="s">
        <v>968</v>
      </c>
      <c r="F253" t="b">
        <f>IFERROR(Table6[[#This Row],[companyid]]=DropDowns!$N$20,TRUE)</f>
        <v>1</v>
      </c>
      <c r="G253" t="b">
        <f>OR(Worksheet!$D$5="",Worksheet!$D$5=Table6[[#This Row],[categoryname]])</f>
        <v>1</v>
      </c>
      <c r="H253" t="b">
        <f>OR(Worksheet!$D$7="",Worksheet!$D$7=Table6[[#This Row],[Manufacturer]])</f>
        <v>1</v>
      </c>
      <c r="I253" t="b">
        <f>OR(Worksheet!$G$7="",Worksheet!$G$7=Table6[[#This Row],[Model No.]])</f>
        <v>1</v>
      </c>
      <c r="J253" t="b">
        <f>OR(Worksheet!$D$8="",Worksheet!$D$8=Table6[[#This Row],[Serial No.]])</f>
        <v>0</v>
      </c>
      <c r="K253" t="b">
        <f>AND(Table6[[#This Row],[categoryname2]:[SN2]])</f>
        <v>0</v>
      </c>
      <c r="L253" t="b">
        <f>AND(Table6[[#This Row],[companyid2]],Table6[[#This Row],[Manufacturer2]:[SN2]])</f>
        <v>0</v>
      </c>
      <c r="M253" t="b">
        <f>AND(Table6[[#This Row],[companyid2]:[categoryname2]],Table6[[#This Row],[Model2]:[SN2]])</f>
        <v>0</v>
      </c>
      <c r="N253" t="b">
        <f>AND(Table6[[#This Row],[companyid2]:[Manufacturer2]],Table6[[#This Row],[SN2]])</f>
        <v>0</v>
      </c>
      <c r="O253" t="b">
        <f>AND(Table6[[#This Row],[companyid2]:[Model2]])</f>
        <v>1</v>
      </c>
    </row>
    <row r="254" spans="1:15" x14ac:dyDescent="0.25">
      <c r="A254">
        <v>58115</v>
      </c>
      <c r="B254" t="s">
        <v>884</v>
      </c>
      <c r="C254" t="s">
        <v>962</v>
      </c>
      <c r="D254" s="38" t="s">
        <v>969</v>
      </c>
      <c r="E254" s="95" t="s">
        <v>970</v>
      </c>
      <c r="F254" t="b">
        <f>IFERROR(Table6[[#This Row],[companyid]]=DropDowns!$N$20,TRUE)</f>
        <v>1</v>
      </c>
      <c r="G254" t="b">
        <f>OR(Worksheet!$D$5="",Worksheet!$D$5=Table6[[#This Row],[categoryname]])</f>
        <v>1</v>
      </c>
      <c r="H254" t="b">
        <f>OR(Worksheet!$D$7="",Worksheet!$D$7=Table6[[#This Row],[Manufacturer]])</f>
        <v>1</v>
      </c>
      <c r="I254" t="b">
        <f>OR(Worksheet!$G$7="",Worksheet!$G$7=Table6[[#This Row],[Model No.]])</f>
        <v>1</v>
      </c>
      <c r="J254" t="b">
        <f>OR(Worksheet!$D$8="",Worksheet!$D$8=Table6[[#This Row],[Serial No.]])</f>
        <v>0</v>
      </c>
      <c r="K254" t="b">
        <f>AND(Table6[[#This Row],[categoryname2]:[SN2]])</f>
        <v>0</v>
      </c>
      <c r="L254" t="b">
        <f>AND(Table6[[#This Row],[companyid2]],Table6[[#This Row],[Manufacturer2]:[SN2]])</f>
        <v>0</v>
      </c>
      <c r="M254" t="b">
        <f>AND(Table6[[#This Row],[companyid2]:[categoryname2]],Table6[[#This Row],[Model2]:[SN2]])</f>
        <v>0</v>
      </c>
      <c r="N254" t="b">
        <f>AND(Table6[[#This Row],[companyid2]:[Manufacturer2]],Table6[[#This Row],[SN2]])</f>
        <v>0</v>
      </c>
      <c r="O254" t="b">
        <f>AND(Table6[[#This Row],[companyid2]:[Model2]])</f>
        <v>1</v>
      </c>
    </row>
    <row r="255" spans="1:15" x14ac:dyDescent="0.25">
      <c r="A255">
        <v>58115</v>
      </c>
      <c r="B255" t="s">
        <v>884</v>
      </c>
      <c r="C255" t="s">
        <v>962</v>
      </c>
      <c r="D255" s="38" t="s">
        <v>879</v>
      </c>
      <c r="E255" s="95">
        <v>185707</v>
      </c>
      <c r="F255" t="b">
        <f>IFERROR(Table6[[#This Row],[companyid]]=DropDowns!$N$20,TRUE)</f>
        <v>1</v>
      </c>
      <c r="G255" t="b">
        <f>OR(Worksheet!$D$5="",Worksheet!$D$5=Table6[[#This Row],[categoryname]])</f>
        <v>1</v>
      </c>
      <c r="H255" t="b">
        <f>OR(Worksheet!$D$7="",Worksheet!$D$7=Table6[[#This Row],[Manufacturer]])</f>
        <v>1</v>
      </c>
      <c r="I255" t="b">
        <f>OR(Worksheet!$G$7="",Worksheet!$G$7=Table6[[#This Row],[Model No.]])</f>
        <v>1</v>
      </c>
      <c r="J255" t="b">
        <f>OR(Worksheet!$D$8="",Worksheet!$D$8=Table6[[#This Row],[Serial No.]])</f>
        <v>0</v>
      </c>
      <c r="K255" t="b">
        <f>AND(Table6[[#This Row],[categoryname2]:[SN2]])</f>
        <v>0</v>
      </c>
      <c r="L255" t="b">
        <f>AND(Table6[[#This Row],[companyid2]],Table6[[#This Row],[Manufacturer2]:[SN2]])</f>
        <v>0</v>
      </c>
      <c r="M255" t="b">
        <f>AND(Table6[[#This Row],[companyid2]:[categoryname2]],Table6[[#This Row],[Model2]:[SN2]])</f>
        <v>0</v>
      </c>
      <c r="N255" t="b">
        <f>AND(Table6[[#This Row],[companyid2]:[Manufacturer2]],Table6[[#This Row],[SN2]])</f>
        <v>0</v>
      </c>
      <c r="O255" t="b">
        <f>AND(Table6[[#This Row],[companyid2]:[Model2]])</f>
        <v>1</v>
      </c>
    </row>
    <row r="256" spans="1:15" x14ac:dyDescent="0.25">
      <c r="A256">
        <v>58115</v>
      </c>
      <c r="B256" t="s">
        <v>884</v>
      </c>
      <c r="C256" t="s">
        <v>962</v>
      </c>
      <c r="D256" s="38" t="s">
        <v>879</v>
      </c>
      <c r="E256" s="95">
        <v>185708</v>
      </c>
      <c r="F256" t="b">
        <f>IFERROR(Table6[[#This Row],[companyid]]=DropDowns!$N$20,TRUE)</f>
        <v>1</v>
      </c>
      <c r="G256" t="b">
        <f>OR(Worksheet!$D$5="",Worksheet!$D$5=Table6[[#This Row],[categoryname]])</f>
        <v>1</v>
      </c>
      <c r="H256" t="b">
        <f>OR(Worksheet!$D$7="",Worksheet!$D$7=Table6[[#This Row],[Manufacturer]])</f>
        <v>1</v>
      </c>
      <c r="I256" t="b">
        <f>OR(Worksheet!$G$7="",Worksheet!$G$7=Table6[[#This Row],[Model No.]])</f>
        <v>1</v>
      </c>
      <c r="J256" t="b">
        <f>OR(Worksheet!$D$8="",Worksheet!$D$8=Table6[[#This Row],[Serial No.]])</f>
        <v>0</v>
      </c>
      <c r="K256" t="b">
        <f>AND(Table6[[#This Row],[categoryname2]:[SN2]])</f>
        <v>0</v>
      </c>
      <c r="L256" t="b">
        <f>AND(Table6[[#This Row],[companyid2]],Table6[[#This Row],[Manufacturer2]:[SN2]])</f>
        <v>0</v>
      </c>
      <c r="M256" t="b">
        <f>AND(Table6[[#This Row],[companyid2]:[categoryname2]],Table6[[#This Row],[Model2]:[SN2]])</f>
        <v>0</v>
      </c>
      <c r="N256" t="b">
        <f>AND(Table6[[#This Row],[companyid2]:[Manufacturer2]],Table6[[#This Row],[SN2]])</f>
        <v>0</v>
      </c>
      <c r="O256" t="b">
        <f>AND(Table6[[#This Row],[companyid2]:[Model2]])</f>
        <v>1</v>
      </c>
    </row>
    <row r="257" spans="1:15" x14ac:dyDescent="0.25">
      <c r="A257">
        <v>58115</v>
      </c>
      <c r="B257" t="s">
        <v>884</v>
      </c>
      <c r="C257" t="s">
        <v>962</v>
      </c>
      <c r="D257" s="38" t="s">
        <v>972</v>
      </c>
      <c r="E257" s="95" t="s">
        <v>973</v>
      </c>
      <c r="F257" t="b">
        <f>IFERROR(Table6[[#This Row],[companyid]]=DropDowns!$N$20,TRUE)</f>
        <v>1</v>
      </c>
      <c r="G257" t="b">
        <f>OR(Worksheet!$D$5="",Worksheet!$D$5=Table6[[#This Row],[categoryname]])</f>
        <v>1</v>
      </c>
      <c r="H257" t="b">
        <f>OR(Worksheet!$D$7="",Worksheet!$D$7=Table6[[#This Row],[Manufacturer]])</f>
        <v>1</v>
      </c>
      <c r="I257" t="b">
        <f>OR(Worksheet!$G$7="",Worksheet!$G$7=Table6[[#This Row],[Model No.]])</f>
        <v>1</v>
      </c>
      <c r="J257" t="b">
        <f>OR(Worksheet!$D$8="",Worksheet!$D$8=Table6[[#This Row],[Serial No.]])</f>
        <v>0</v>
      </c>
      <c r="K257" t="b">
        <f>AND(Table6[[#This Row],[categoryname2]:[SN2]])</f>
        <v>0</v>
      </c>
      <c r="L257" t="b">
        <f>AND(Table6[[#This Row],[companyid2]],Table6[[#This Row],[Manufacturer2]:[SN2]])</f>
        <v>0</v>
      </c>
      <c r="M257" t="b">
        <f>AND(Table6[[#This Row],[companyid2]:[categoryname2]],Table6[[#This Row],[Model2]:[SN2]])</f>
        <v>0</v>
      </c>
      <c r="N257" t="b">
        <f>AND(Table6[[#This Row],[companyid2]:[Manufacturer2]],Table6[[#This Row],[SN2]])</f>
        <v>0</v>
      </c>
      <c r="O257" t="b">
        <f>AND(Table6[[#This Row],[companyid2]:[Model2]])</f>
        <v>1</v>
      </c>
    </row>
    <row r="258" spans="1:15" x14ac:dyDescent="0.25">
      <c r="A258">
        <v>58115</v>
      </c>
      <c r="B258" t="s">
        <v>884</v>
      </c>
      <c r="C258" t="s">
        <v>962</v>
      </c>
      <c r="D258" s="38" t="s">
        <v>972</v>
      </c>
      <c r="E258" s="95" t="s">
        <v>974</v>
      </c>
      <c r="F258" t="b">
        <f>IFERROR(Table6[[#This Row],[companyid]]=DropDowns!$N$20,TRUE)</f>
        <v>1</v>
      </c>
      <c r="G258" t="b">
        <f>OR(Worksheet!$D$5="",Worksheet!$D$5=Table6[[#This Row],[categoryname]])</f>
        <v>1</v>
      </c>
      <c r="H258" t="b">
        <f>OR(Worksheet!$D$7="",Worksheet!$D$7=Table6[[#This Row],[Manufacturer]])</f>
        <v>1</v>
      </c>
      <c r="I258" t="b">
        <f>OR(Worksheet!$G$7="",Worksheet!$G$7=Table6[[#This Row],[Model No.]])</f>
        <v>1</v>
      </c>
      <c r="J258" t="b">
        <f>OR(Worksheet!$D$8="",Worksheet!$D$8=Table6[[#This Row],[Serial No.]])</f>
        <v>0</v>
      </c>
      <c r="K258" t="b">
        <f>AND(Table6[[#This Row],[categoryname2]:[SN2]])</f>
        <v>0</v>
      </c>
      <c r="L258" t="b">
        <f>AND(Table6[[#This Row],[companyid2]],Table6[[#This Row],[Manufacturer2]:[SN2]])</f>
        <v>0</v>
      </c>
      <c r="M258" t="b">
        <f>AND(Table6[[#This Row],[companyid2]:[categoryname2]],Table6[[#This Row],[Model2]:[SN2]])</f>
        <v>0</v>
      </c>
      <c r="N258" t="b">
        <f>AND(Table6[[#This Row],[companyid2]:[Manufacturer2]],Table6[[#This Row],[SN2]])</f>
        <v>0</v>
      </c>
      <c r="O258" t="b">
        <f>AND(Table6[[#This Row],[companyid2]:[Model2]])</f>
        <v>1</v>
      </c>
    </row>
    <row r="259" spans="1:15" x14ac:dyDescent="0.25">
      <c r="A259">
        <v>58115</v>
      </c>
      <c r="B259" t="s">
        <v>884</v>
      </c>
      <c r="C259" t="s">
        <v>962</v>
      </c>
      <c r="D259" s="38" t="s">
        <v>972</v>
      </c>
      <c r="E259" s="95" t="s">
        <v>975</v>
      </c>
      <c r="F259" t="b">
        <f>IFERROR(Table6[[#This Row],[companyid]]=DropDowns!$N$20,TRUE)</f>
        <v>1</v>
      </c>
      <c r="G259" t="b">
        <f>OR(Worksheet!$D$5="",Worksheet!$D$5=Table6[[#This Row],[categoryname]])</f>
        <v>1</v>
      </c>
      <c r="H259" t="b">
        <f>OR(Worksheet!$D$7="",Worksheet!$D$7=Table6[[#This Row],[Manufacturer]])</f>
        <v>1</v>
      </c>
      <c r="I259" t="b">
        <f>OR(Worksheet!$G$7="",Worksheet!$G$7=Table6[[#This Row],[Model No.]])</f>
        <v>1</v>
      </c>
      <c r="J259" t="b">
        <f>OR(Worksheet!$D$8="",Worksheet!$D$8=Table6[[#This Row],[Serial No.]])</f>
        <v>0</v>
      </c>
      <c r="K259" t="b">
        <f>AND(Table6[[#This Row],[categoryname2]:[SN2]])</f>
        <v>0</v>
      </c>
      <c r="L259" t="b">
        <f>AND(Table6[[#This Row],[companyid2]],Table6[[#This Row],[Manufacturer2]:[SN2]])</f>
        <v>0</v>
      </c>
      <c r="M259" t="b">
        <f>AND(Table6[[#This Row],[companyid2]:[categoryname2]],Table6[[#This Row],[Model2]:[SN2]])</f>
        <v>0</v>
      </c>
      <c r="N259" t="b">
        <f>AND(Table6[[#This Row],[companyid2]:[Manufacturer2]],Table6[[#This Row],[SN2]])</f>
        <v>0</v>
      </c>
      <c r="O259" t="b">
        <f>AND(Table6[[#This Row],[companyid2]:[Model2]])</f>
        <v>1</v>
      </c>
    </row>
    <row r="260" spans="1:15" x14ac:dyDescent="0.25">
      <c r="A260">
        <v>58115</v>
      </c>
      <c r="B260" t="s">
        <v>884</v>
      </c>
      <c r="C260" t="s">
        <v>962</v>
      </c>
      <c r="D260" s="38" t="s">
        <v>976</v>
      </c>
      <c r="E260" s="95">
        <v>165185</v>
      </c>
      <c r="F260" t="b">
        <f>IFERROR(Table6[[#This Row],[companyid]]=DropDowns!$N$20,TRUE)</f>
        <v>1</v>
      </c>
      <c r="G260" t="b">
        <f>OR(Worksheet!$D$5="",Worksheet!$D$5=Table6[[#This Row],[categoryname]])</f>
        <v>1</v>
      </c>
      <c r="H260" t="b">
        <f>OR(Worksheet!$D$7="",Worksheet!$D$7=Table6[[#This Row],[Manufacturer]])</f>
        <v>1</v>
      </c>
      <c r="I260" t="b">
        <f>OR(Worksheet!$G$7="",Worksheet!$G$7=Table6[[#This Row],[Model No.]])</f>
        <v>1</v>
      </c>
      <c r="J260" t="b">
        <f>OR(Worksheet!$D$8="",Worksheet!$D$8=Table6[[#This Row],[Serial No.]])</f>
        <v>0</v>
      </c>
      <c r="K260" t="b">
        <f>AND(Table6[[#This Row],[categoryname2]:[SN2]])</f>
        <v>0</v>
      </c>
      <c r="L260" t="b">
        <f>AND(Table6[[#This Row],[companyid2]],Table6[[#This Row],[Manufacturer2]:[SN2]])</f>
        <v>0</v>
      </c>
      <c r="M260" t="b">
        <f>AND(Table6[[#This Row],[companyid2]:[categoryname2]],Table6[[#This Row],[Model2]:[SN2]])</f>
        <v>0</v>
      </c>
      <c r="N260" t="b">
        <f>AND(Table6[[#This Row],[companyid2]:[Manufacturer2]],Table6[[#This Row],[SN2]])</f>
        <v>0</v>
      </c>
      <c r="O260" t="b">
        <f>AND(Table6[[#This Row],[companyid2]:[Model2]])</f>
        <v>1</v>
      </c>
    </row>
    <row r="261" spans="1:15" x14ac:dyDescent="0.25">
      <c r="A261">
        <v>58115</v>
      </c>
      <c r="B261" t="s">
        <v>884</v>
      </c>
      <c r="C261" t="s">
        <v>962</v>
      </c>
      <c r="D261" s="38" t="s">
        <v>976</v>
      </c>
      <c r="E261" s="95">
        <v>931071</v>
      </c>
      <c r="F261" t="b">
        <f>IFERROR(Table6[[#This Row],[companyid]]=DropDowns!$N$20,TRUE)</f>
        <v>1</v>
      </c>
      <c r="G261" t="b">
        <f>OR(Worksheet!$D$5="",Worksheet!$D$5=Table6[[#This Row],[categoryname]])</f>
        <v>1</v>
      </c>
      <c r="H261" t="b">
        <f>OR(Worksheet!$D$7="",Worksheet!$D$7=Table6[[#This Row],[Manufacturer]])</f>
        <v>1</v>
      </c>
      <c r="I261" t="b">
        <f>OR(Worksheet!$G$7="",Worksheet!$G$7=Table6[[#This Row],[Model No.]])</f>
        <v>1</v>
      </c>
      <c r="J261" t="b">
        <f>OR(Worksheet!$D$8="",Worksheet!$D$8=Table6[[#This Row],[Serial No.]])</f>
        <v>0</v>
      </c>
      <c r="K261" t="b">
        <f>AND(Table6[[#This Row],[categoryname2]:[SN2]])</f>
        <v>0</v>
      </c>
      <c r="L261" t="b">
        <f>AND(Table6[[#This Row],[companyid2]],Table6[[#This Row],[Manufacturer2]:[SN2]])</f>
        <v>0</v>
      </c>
      <c r="M261" t="b">
        <f>AND(Table6[[#This Row],[companyid2]:[categoryname2]],Table6[[#This Row],[Model2]:[SN2]])</f>
        <v>0</v>
      </c>
      <c r="N261" t="b">
        <f>AND(Table6[[#This Row],[companyid2]:[Manufacturer2]],Table6[[#This Row],[SN2]])</f>
        <v>0</v>
      </c>
      <c r="O261" t="b">
        <f>AND(Table6[[#This Row],[companyid2]:[Model2]])</f>
        <v>1</v>
      </c>
    </row>
    <row r="262" spans="1:15" x14ac:dyDescent="0.25">
      <c r="A262">
        <v>58115</v>
      </c>
      <c r="B262" t="s">
        <v>884</v>
      </c>
      <c r="C262" t="s">
        <v>962</v>
      </c>
      <c r="D262" s="38" t="s">
        <v>976</v>
      </c>
      <c r="E262" s="95">
        <v>992144</v>
      </c>
      <c r="F262" t="b">
        <f>IFERROR(Table6[[#This Row],[companyid]]=DropDowns!$N$20,TRUE)</f>
        <v>1</v>
      </c>
      <c r="G262" t="b">
        <f>OR(Worksheet!$D$5="",Worksheet!$D$5=Table6[[#This Row],[categoryname]])</f>
        <v>1</v>
      </c>
      <c r="H262" t="b">
        <f>OR(Worksheet!$D$7="",Worksheet!$D$7=Table6[[#This Row],[Manufacturer]])</f>
        <v>1</v>
      </c>
      <c r="I262" t="b">
        <f>OR(Worksheet!$G$7="",Worksheet!$G$7=Table6[[#This Row],[Model No.]])</f>
        <v>1</v>
      </c>
      <c r="J262" t="b">
        <f>OR(Worksheet!$D$8="",Worksheet!$D$8=Table6[[#This Row],[Serial No.]])</f>
        <v>0</v>
      </c>
      <c r="K262" t="b">
        <f>AND(Table6[[#This Row],[categoryname2]:[SN2]])</f>
        <v>0</v>
      </c>
      <c r="L262" t="b">
        <f>AND(Table6[[#This Row],[companyid2]],Table6[[#This Row],[Manufacturer2]:[SN2]])</f>
        <v>0</v>
      </c>
      <c r="M262" t="b">
        <f>AND(Table6[[#This Row],[companyid2]:[categoryname2]],Table6[[#This Row],[Model2]:[SN2]])</f>
        <v>0</v>
      </c>
      <c r="N262" t="b">
        <f>AND(Table6[[#This Row],[companyid2]:[Manufacturer2]],Table6[[#This Row],[SN2]])</f>
        <v>0</v>
      </c>
      <c r="O262" t="b">
        <f>AND(Table6[[#This Row],[companyid2]:[Model2]])</f>
        <v>1</v>
      </c>
    </row>
    <row r="263" spans="1:15" x14ac:dyDescent="0.25">
      <c r="A263">
        <v>58115</v>
      </c>
      <c r="B263" t="s">
        <v>884</v>
      </c>
      <c r="C263" t="s">
        <v>962</v>
      </c>
      <c r="D263" s="38" t="s">
        <v>976</v>
      </c>
      <c r="E263" s="95" t="s">
        <v>977</v>
      </c>
      <c r="F263" t="b">
        <f>IFERROR(Table6[[#This Row],[companyid]]=DropDowns!$N$20,TRUE)</f>
        <v>1</v>
      </c>
      <c r="G263" t="b">
        <f>OR(Worksheet!$D$5="",Worksheet!$D$5=Table6[[#This Row],[categoryname]])</f>
        <v>1</v>
      </c>
      <c r="H263" t="b">
        <f>OR(Worksheet!$D$7="",Worksheet!$D$7=Table6[[#This Row],[Manufacturer]])</f>
        <v>1</v>
      </c>
      <c r="I263" t="b">
        <f>OR(Worksheet!$G$7="",Worksheet!$G$7=Table6[[#This Row],[Model No.]])</f>
        <v>1</v>
      </c>
      <c r="J263" t="b">
        <f>OR(Worksheet!$D$8="",Worksheet!$D$8=Table6[[#This Row],[Serial No.]])</f>
        <v>0</v>
      </c>
      <c r="K263" t="b">
        <f>AND(Table6[[#This Row],[categoryname2]:[SN2]])</f>
        <v>0</v>
      </c>
      <c r="L263" t="b">
        <f>AND(Table6[[#This Row],[companyid2]],Table6[[#This Row],[Manufacturer2]:[SN2]])</f>
        <v>0</v>
      </c>
      <c r="M263" t="b">
        <f>AND(Table6[[#This Row],[companyid2]:[categoryname2]],Table6[[#This Row],[Model2]:[SN2]])</f>
        <v>0</v>
      </c>
      <c r="N263" t="b">
        <f>AND(Table6[[#This Row],[companyid2]:[Manufacturer2]],Table6[[#This Row],[SN2]])</f>
        <v>0</v>
      </c>
      <c r="O263" t="b">
        <f>AND(Table6[[#This Row],[companyid2]:[Model2]])</f>
        <v>1</v>
      </c>
    </row>
    <row r="264" spans="1:15" x14ac:dyDescent="0.25">
      <c r="A264">
        <v>58115</v>
      </c>
      <c r="B264" t="s">
        <v>884</v>
      </c>
      <c r="C264" t="s">
        <v>962</v>
      </c>
      <c r="D264" s="38" t="s">
        <v>979</v>
      </c>
      <c r="E264" s="95">
        <v>961704</v>
      </c>
      <c r="F264" t="b">
        <f>IFERROR(Table6[[#This Row],[companyid]]=DropDowns!$N$20,TRUE)</f>
        <v>1</v>
      </c>
      <c r="G264" t="b">
        <f>OR(Worksheet!$D$5="",Worksheet!$D$5=Table6[[#This Row],[categoryname]])</f>
        <v>1</v>
      </c>
      <c r="H264" t="b">
        <f>OR(Worksheet!$D$7="",Worksheet!$D$7=Table6[[#This Row],[Manufacturer]])</f>
        <v>1</v>
      </c>
      <c r="I264" t="b">
        <f>OR(Worksheet!$G$7="",Worksheet!$G$7=Table6[[#This Row],[Model No.]])</f>
        <v>1</v>
      </c>
      <c r="J264" t="b">
        <f>OR(Worksheet!$D$8="",Worksheet!$D$8=Table6[[#This Row],[Serial No.]])</f>
        <v>0</v>
      </c>
      <c r="K264" t="b">
        <f>AND(Table6[[#This Row],[categoryname2]:[SN2]])</f>
        <v>0</v>
      </c>
      <c r="L264" t="b">
        <f>AND(Table6[[#This Row],[companyid2]],Table6[[#This Row],[Manufacturer2]:[SN2]])</f>
        <v>0</v>
      </c>
      <c r="M264" t="b">
        <f>AND(Table6[[#This Row],[companyid2]:[categoryname2]],Table6[[#This Row],[Model2]:[SN2]])</f>
        <v>0</v>
      </c>
      <c r="N264" t="b">
        <f>AND(Table6[[#This Row],[companyid2]:[Manufacturer2]],Table6[[#This Row],[SN2]])</f>
        <v>0</v>
      </c>
      <c r="O264" t="b">
        <f>AND(Table6[[#This Row],[companyid2]:[Model2]])</f>
        <v>1</v>
      </c>
    </row>
    <row r="265" spans="1:15" x14ac:dyDescent="0.25">
      <c r="A265">
        <v>58115</v>
      </c>
      <c r="B265" t="s">
        <v>884</v>
      </c>
      <c r="C265" t="s">
        <v>962</v>
      </c>
      <c r="D265" s="38" t="s">
        <v>979</v>
      </c>
      <c r="E265" s="95" t="s">
        <v>980</v>
      </c>
      <c r="F265" t="b">
        <f>IFERROR(Table6[[#This Row],[companyid]]=DropDowns!$N$20,TRUE)</f>
        <v>1</v>
      </c>
      <c r="G265" t="b">
        <f>OR(Worksheet!$D$5="",Worksheet!$D$5=Table6[[#This Row],[categoryname]])</f>
        <v>1</v>
      </c>
      <c r="H265" t="b">
        <f>OR(Worksheet!$D$7="",Worksheet!$D$7=Table6[[#This Row],[Manufacturer]])</f>
        <v>1</v>
      </c>
      <c r="I265" t="b">
        <f>OR(Worksheet!$G$7="",Worksheet!$G$7=Table6[[#This Row],[Model No.]])</f>
        <v>1</v>
      </c>
      <c r="J265" t="b">
        <f>OR(Worksheet!$D$8="",Worksheet!$D$8=Table6[[#This Row],[Serial No.]])</f>
        <v>0</v>
      </c>
      <c r="K265" t="b">
        <f>AND(Table6[[#This Row],[categoryname2]:[SN2]])</f>
        <v>0</v>
      </c>
      <c r="L265" t="b">
        <f>AND(Table6[[#This Row],[companyid2]],Table6[[#This Row],[Manufacturer2]:[SN2]])</f>
        <v>0</v>
      </c>
      <c r="M265" t="b">
        <f>AND(Table6[[#This Row],[companyid2]:[categoryname2]],Table6[[#This Row],[Model2]:[SN2]])</f>
        <v>0</v>
      </c>
      <c r="N265" t="b">
        <f>AND(Table6[[#This Row],[companyid2]:[Manufacturer2]],Table6[[#This Row],[SN2]])</f>
        <v>0</v>
      </c>
      <c r="O265" t="b">
        <f>AND(Table6[[#This Row],[companyid2]:[Model2]])</f>
        <v>1</v>
      </c>
    </row>
    <row r="266" spans="1:15" x14ac:dyDescent="0.25">
      <c r="A266">
        <v>58115</v>
      </c>
      <c r="B266" t="s">
        <v>884</v>
      </c>
      <c r="C266" t="s">
        <v>962</v>
      </c>
      <c r="D266" s="38" t="s">
        <v>979</v>
      </c>
      <c r="E266" s="95" t="s">
        <v>981</v>
      </c>
      <c r="F266" t="b">
        <f>IFERROR(Table6[[#This Row],[companyid]]=DropDowns!$N$20,TRUE)</f>
        <v>1</v>
      </c>
      <c r="G266" t="b">
        <f>OR(Worksheet!$D$5="",Worksheet!$D$5=Table6[[#This Row],[categoryname]])</f>
        <v>1</v>
      </c>
      <c r="H266" t="b">
        <f>OR(Worksheet!$D$7="",Worksheet!$D$7=Table6[[#This Row],[Manufacturer]])</f>
        <v>1</v>
      </c>
      <c r="I266" t="b">
        <f>OR(Worksheet!$G$7="",Worksheet!$G$7=Table6[[#This Row],[Model No.]])</f>
        <v>1</v>
      </c>
      <c r="J266" t="b">
        <f>OR(Worksheet!$D$8="",Worksheet!$D$8=Table6[[#This Row],[Serial No.]])</f>
        <v>0</v>
      </c>
      <c r="K266" t="b">
        <f>AND(Table6[[#This Row],[categoryname2]:[SN2]])</f>
        <v>0</v>
      </c>
      <c r="L266" t="b">
        <f>AND(Table6[[#This Row],[companyid2]],Table6[[#This Row],[Manufacturer2]:[SN2]])</f>
        <v>0</v>
      </c>
      <c r="M266" t="b">
        <f>AND(Table6[[#This Row],[companyid2]:[categoryname2]],Table6[[#This Row],[Model2]:[SN2]])</f>
        <v>0</v>
      </c>
      <c r="N266" t="b">
        <f>AND(Table6[[#This Row],[companyid2]:[Manufacturer2]],Table6[[#This Row],[SN2]])</f>
        <v>0</v>
      </c>
      <c r="O266" t="b">
        <f>AND(Table6[[#This Row],[companyid2]:[Model2]])</f>
        <v>1</v>
      </c>
    </row>
    <row r="267" spans="1:15" x14ac:dyDescent="0.25">
      <c r="A267">
        <v>58115</v>
      </c>
      <c r="B267" t="s">
        <v>884</v>
      </c>
      <c r="C267" t="s">
        <v>962</v>
      </c>
      <c r="D267" s="38" t="s">
        <v>979</v>
      </c>
      <c r="E267" s="95" t="s">
        <v>982</v>
      </c>
      <c r="F267" t="b">
        <f>IFERROR(Table6[[#This Row],[companyid]]=DropDowns!$N$20,TRUE)</f>
        <v>1</v>
      </c>
      <c r="G267" t="b">
        <f>OR(Worksheet!$D$5="",Worksheet!$D$5=Table6[[#This Row],[categoryname]])</f>
        <v>1</v>
      </c>
      <c r="H267" t="b">
        <f>OR(Worksheet!$D$7="",Worksheet!$D$7=Table6[[#This Row],[Manufacturer]])</f>
        <v>1</v>
      </c>
      <c r="I267" t="b">
        <f>OR(Worksheet!$G$7="",Worksheet!$G$7=Table6[[#This Row],[Model No.]])</f>
        <v>1</v>
      </c>
      <c r="J267" t="b">
        <f>OR(Worksheet!$D$8="",Worksheet!$D$8=Table6[[#This Row],[Serial No.]])</f>
        <v>0</v>
      </c>
      <c r="K267" t="b">
        <f>AND(Table6[[#This Row],[categoryname2]:[SN2]])</f>
        <v>0</v>
      </c>
      <c r="L267" t="b">
        <f>AND(Table6[[#This Row],[companyid2]],Table6[[#This Row],[Manufacturer2]:[SN2]])</f>
        <v>0</v>
      </c>
      <c r="M267" t="b">
        <f>AND(Table6[[#This Row],[companyid2]:[categoryname2]],Table6[[#This Row],[Model2]:[SN2]])</f>
        <v>0</v>
      </c>
      <c r="N267" t="b">
        <f>AND(Table6[[#This Row],[companyid2]:[Manufacturer2]],Table6[[#This Row],[SN2]])</f>
        <v>0</v>
      </c>
      <c r="O267" t="b">
        <f>AND(Table6[[#This Row],[companyid2]:[Model2]])</f>
        <v>1</v>
      </c>
    </row>
    <row r="268" spans="1:15" x14ac:dyDescent="0.25">
      <c r="A268">
        <v>58115</v>
      </c>
      <c r="B268" t="s">
        <v>884</v>
      </c>
      <c r="C268" t="s">
        <v>962</v>
      </c>
      <c r="D268" s="38" t="s">
        <v>985</v>
      </c>
      <c r="E268" s="95">
        <v>165186</v>
      </c>
      <c r="F268" t="b">
        <f>IFERROR(Table6[[#This Row],[companyid]]=DropDowns!$N$20,TRUE)</f>
        <v>1</v>
      </c>
      <c r="G268" t="b">
        <f>OR(Worksheet!$D$5="",Worksheet!$D$5=Table6[[#This Row],[categoryname]])</f>
        <v>1</v>
      </c>
      <c r="H268" t="b">
        <f>OR(Worksheet!$D$7="",Worksheet!$D$7=Table6[[#This Row],[Manufacturer]])</f>
        <v>1</v>
      </c>
      <c r="I268" t="b">
        <f>OR(Worksheet!$G$7="",Worksheet!$G$7=Table6[[#This Row],[Model No.]])</f>
        <v>1</v>
      </c>
      <c r="J268" t="b">
        <f>OR(Worksheet!$D$8="",Worksheet!$D$8=Table6[[#This Row],[Serial No.]])</f>
        <v>0</v>
      </c>
      <c r="K268" t="b">
        <f>AND(Table6[[#This Row],[categoryname2]:[SN2]])</f>
        <v>0</v>
      </c>
      <c r="L268" t="b">
        <f>AND(Table6[[#This Row],[companyid2]],Table6[[#This Row],[Manufacturer2]:[SN2]])</f>
        <v>0</v>
      </c>
      <c r="M268" t="b">
        <f>AND(Table6[[#This Row],[companyid2]:[categoryname2]],Table6[[#This Row],[Model2]:[SN2]])</f>
        <v>0</v>
      </c>
      <c r="N268" t="b">
        <f>AND(Table6[[#This Row],[companyid2]:[Manufacturer2]],Table6[[#This Row],[SN2]])</f>
        <v>0</v>
      </c>
      <c r="O268" t="b">
        <f>AND(Table6[[#This Row],[companyid2]:[Model2]])</f>
        <v>1</v>
      </c>
    </row>
    <row r="269" spans="1:15" x14ac:dyDescent="0.25">
      <c r="A269">
        <v>58115</v>
      </c>
      <c r="B269" t="s">
        <v>884</v>
      </c>
      <c r="C269" t="s">
        <v>962</v>
      </c>
      <c r="D269" s="38" t="s">
        <v>985</v>
      </c>
      <c r="E269" s="95">
        <v>165279</v>
      </c>
      <c r="F269" t="b">
        <f>IFERROR(Table6[[#This Row],[companyid]]=DropDowns!$N$20,TRUE)</f>
        <v>1</v>
      </c>
      <c r="G269" t="b">
        <f>OR(Worksheet!$D$5="",Worksheet!$D$5=Table6[[#This Row],[categoryname]])</f>
        <v>1</v>
      </c>
      <c r="H269" t="b">
        <f>OR(Worksheet!$D$7="",Worksheet!$D$7=Table6[[#This Row],[Manufacturer]])</f>
        <v>1</v>
      </c>
      <c r="I269" t="b">
        <f>OR(Worksheet!$G$7="",Worksheet!$G$7=Table6[[#This Row],[Model No.]])</f>
        <v>1</v>
      </c>
      <c r="J269" t="b">
        <f>OR(Worksheet!$D$8="",Worksheet!$D$8=Table6[[#This Row],[Serial No.]])</f>
        <v>0</v>
      </c>
      <c r="K269" t="b">
        <f>AND(Table6[[#This Row],[categoryname2]:[SN2]])</f>
        <v>0</v>
      </c>
      <c r="L269" t="b">
        <f>AND(Table6[[#This Row],[companyid2]],Table6[[#This Row],[Manufacturer2]:[SN2]])</f>
        <v>0</v>
      </c>
      <c r="M269" t="b">
        <f>AND(Table6[[#This Row],[companyid2]:[categoryname2]],Table6[[#This Row],[Model2]:[SN2]])</f>
        <v>0</v>
      </c>
      <c r="N269" t="b">
        <f>AND(Table6[[#This Row],[companyid2]:[Manufacturer2]],Table6[[#This Row],[SN2]])</f>
        <v>0</v>
      </c>
      <c r="O269" t="b">
        <f>AND(Table6[[#This Row],[companyid2]:[Model2]])</f>
        <v>1</v>
      </c>
    </row>
    <row r="270" spans="1:15" x14ac:dyDescent="0.25">
      <c r="A270">
        <v>58115</v>
      </c>
      <c r="B270" t="s">
        <v>884</v>
      </c>
      <c r="C270" t="s">
        <v>962</v>
      </c>
      <c r="D270" s="38" t="s">
        <v>985</v>
      </c>
      <c r="E270" s="95">
        <v>174505</v>
      </c>
      <c r="F270" t="b">
        <f>IFERROR(Table6[[#This Row],[companyid]]=DropDowns!$N$20,TRUE)</f>
        <v>1</v>
      </c>
      <c r="G270" t="b">
        <f>OR(Worksheet!$D$5="",Worksheet!$D$5=Table6[[#This Row],[categoryname]])</f>
        <v>1</v>
      </c>
      <c r="H270" t="b">
        <f>OR(Worksheet!$D$7="",Worksheet!$D$7=Table6[[#This Row],[Manufacturer]])</f>
        <v>1</v>
      </c>
      <c r="I270" t="b">
        <f>OR(Worksheet!$G$7="",Worksheet!$G$7=Table6[[#This Row],[Model No.]])</f>
        <v>1</v>
      </c>
      <c r="J270" t="b">
        <f>OR(Worksheet!$D$8="",Worksheet!$D$8=Table6[[#This Row],[Serial No.]])</f>
        <v>0</v>
      </c>
      <c r="K270" t="b">
        <f>AND(Table6[[#This Row],[categoryname2]:[SN2]])</f>
        <v>0</v>
      </c>
      <c r="L270" t="b">
        <f>AND(Table6[[#This Row],[companyid2]],Table6[[#This Row],[Manufacturer2]:[SN2]])</f>
        <v>0</v>
      </c>
      <c r="M270" t="b">
        <f>AND(Table6[[#This Row],[companyid2]:[categoryname2]],Table6[[#This Row],[Model2]:[SN2]])</f>
        <v>0</v>
      </c>
      <c r="N270" t="b">
        <f>AND(Table6[[#This Row],[companyid2]:[Manufacturer2]],Table6[[#This Row],[SN2]])</f>
        <v>0</v>
      </c>
      <c r="O270" t="b">
        <f>AND(Table6[[#This Row],[companyid2]:[Model2]])</f>
        <v>1</v>
      </c>
    </row>
    <row r="271" spans="1:15" x14ac:dyDescent="0.25">
      <c r="A271">
        <v>58115</v>
      </c>
      <c r="B271" t="s">
        <v>884</v>
      </c>
      <c r="C271" t="s">
        <v>962</v>
      </c>
      <c r="D271" s="38" t="s">
        <v>985</v>
      </c>
      <c r="E271" s="95">
        <v>175446</v>
      </c>
      <c r="F271" t="b">
        <f>IFERROR(Table6[[#This Row],[companyid]]=DropDowns!$N$20,TRUE)</f>
        <v>1</v>
      </c>
      <c r="G271" t="b">
        <f>OR(Worksheet!$D$5="",Worksheet!$D$5=Table6[[#This Row],[categoryname]])</f>
        <v>1</v>
      </c>
      <c r="H271" t="b">
        <f>OR(Worksheet!$D$7="",Worksheet!$D$7=Table6[[#This Row],[Manufacturer]])</f>
        <v>1</v>
      </c>
      <c r="I271" t="b">
        <f>OR(Worksheet!$G$7="",Worksheet!$G$7=Table6[[#This Row],[Model No.]])</f>
        <v>1</v>
      </c>
      <c r="J271" t="b">
        <f>OR(Worksheet!$D$8="",Worksheet!$D$8=Table6[[#This Row],[Serial No.]])</f>
        <v>0</v>
      </c>
      <c r="K271" t="b">
        <f>AND(Table6[[#This Row],[categoryname2]:[SN2]])</f>
        <v>0</v>
      </c>
      <c r="L271" t="b">
        <f>AND(Table6[[#This Row],[companyid2]],Table6[[#This Row],[Manufacturer2]:[SN2]])</f>
        <v>0</v>
      </c>
      <c r="M271" t="b">
        <f>AND(Table6[[#This Row],[companyid2]:[categoryname2]],Table6[[#This Row],[Model2]:[SN2]])</f>
        <v>0</v>
      </c>
      <c r="N271" t="b">
        <f>AND(Table6[[#This Row],[companyid2]:[Manufacturer2]],Table6[[#This Row],[SN2]])</f>
        <v>0</v>
      </c>
      <c r="O271" t="b">
        <f>AND(Table6[[#This Row],[companyid2]:[Model2]])</f>
        <v>1</v>
      </c>
    </row>
    <row r="272" spans="1:15" x14ac:dyDescent="0.25">
      <c r="A272">
        <v>58115</v>
      </c>
      <c r="B272" t="s">
        <v>884</v>
      </c>
      <c r="C272" t="s">
        <v>962</v>
      </c>
      <c r="D272" s="38" t="s">
        <v>985</v>
      </c>
      <c r="E272" s="95">
        <v>185637</v>
      </c>
      <c r="F272" t="b">
        <f>IFERROR(Table6[[#This Row],[companyid]]=DropDowns!$N$20,TRUE)</f>
        <v>1</v>
      </c>
      <c r="G272" t="b">
        <f>OR(Worksheet!$D$5="",Worksheet!$D$5=Table6[[#This Row],[categoryname]])</f>
        <v>1</v>
      </c>
      <c r="H272" t="b">
        <f>OR(Worksheet!$D$7="",Worksheet!$D$7=Table6[[#This Row],[Manufacturer]])</f>
        <v>1</v>
      </c>
      <c r="I272" t="b">
        <f>OR(Worksheet!$G$7="",Worksheet!$G$7=Table6[[#This Row],[Model No.]])</f>
        <v>1</v>
      </c>
      <c r="J272" t="b">
        <f>OR(Worksheet!$D$8="",Worksheet!$D$8=Table6[[#This Row],[Serial No.]])</f>
        <v>0</v>
      </c>
      <c r="K272" t="b">
        <f>AND(Table6[[#This Row],[categoryname2]:[SN2]])</f>
        <v>0</v>
      </c>
      <c r="L272" t="b">
        <f>AND(Table6[[#This Row],[companyid2]],Table6[[#This Row],[Manufacturer2]:[SN2]])</f>
        <v>0</v>
      </c>
      <c r="M272" t="b">
        <f>AND(Table6[[#This Row],[companyid2]:[categoryname2]],Table6[[#This Row],[Model2]:[SN2]])</f>
        <v>0</v>
      </c>
      <c r="N272" t="b">
        <f>AND(Table6[[#This Row],[companyid2]:[Manufacturer2]],Table6[[#This Row],[SN2]])</f>
        <v>0</v>
      </c>
      <c r="O272" t="b">
        <f>AND(Table6[[#This Row],[companyid2]:[Model2]])</f>
        <v>1</v>
      </c>
    </row>
    <row r="273" spans="1:15" x14ac:dyDescent="0.25">
      <c r="A273">
        <v>58115</v>
      </c>
      <c r="B273" t="s">
        <v>884</v>
      </c>
      <c r="C273" t="s">
        <v>962</v>
      </c>
      <c r="D273" s="38" t="s">
        <v>985</v>
      </c>
      <c r="E273" s="95">
        <v>185674</v>
      </c>
      <c r="F273" t="b">
        <f>IFERROR(Table6[[#This Row],[companyid]]=DropDowns!$N$20,TRUE)</f>
        <v>1</v>
      </c>
      <c r="G273" t="b">
        <f>OR(Worksheet!$D$5="",Worksheet!$D$5=Table6[[#This Row],[categoryname]])</f>
        <v>1</v>
      </c>
      <c r="H273" t="b">
        <f>OR(Worksheet!$D$7="",Worksheet!$D$7=Table6[[#This Row],[Manufacturer]])</f>
        <v>1</v>
      </c>
      <c r="I273" t="b">
        <f>OR(Worksheet!$G$7="",Worksheet!$G$7=Table6[[#This Row],[Model No.]])</f>
        <v>1</v>
      </c>
      <c r="J273" t="b">
        <f>OR(Worksheet!$D$8="",Worksheet!$D$8=Table6[[#This Row],[Serial No.]])</f>
        <v>0</v>
      </c>
      <c r="K273" t="b">
        <f>AND(Table6[[#This Row],[categoryname2]:[SN2]])</f>
        <v>0</v>
      </c>
      <c r="L273" t="b">
        <f>AND(Table6[[#This Row],[companyid2]],Table6[[#This Row],[Manufacturer2]:[SN2]])</f>
        <v>0</v>
      </c>
      <c r="M273" t="b">
        <f>AND(Table6[[#This Row],[companyid2]:[categoryname2]],Table6[[#This Row],[Model2]:[SN2]])</f>
        <v>0</v>
      </c>
      <c r="N273" t="b">
        <f>AND(Table6[[#This Row],[companyid2]:[Manufacturer2]],Table6[[#This Row],[SN2]])</f>
        <v>0</v>
      </c>
      <c r="O273" t="b">
        <f>AND(Table6[[#This Row],[companyid2]:[Model2]])</f>
        <v>1</v>
      </c>
    </row>
    <row r="274" spans="1:15" x14ac:dyDescent="0.25">
      <c r="A274">
        <v>58115</v>
      </c>
      <c r="B274" t="s">
        <v>884</v>
      </c>
      <c r="C274" t="s">
        <v>962</v>
      </c>
      <c r="D274" s="38" t="s">
        <v>985</v>
      </c>
      <c r="E274" s="95">
        <v>216238</v>
      </c>
      <c r="F274" t="b">
        <f>IFERROR(Table6[[#This Row],[companyid]]=DropDowns!$N$20,TRUE)</f>
        <v>1</v>
      </c>
      <c r="G274" t="b">
        <f>OR(Worksheet!$D$5="",Worksheet!$D$5=Table6[[#This Row],[categoryname]])</f>
        <v>1</v>
      </c>
      <c r="H274" t="b">
        <f>OR(Worksheet!$D$7="",Worksheet!$D$7=Table6[[#This Row],[Manufacturer]])</f>
        <v>1</v>
      </c>
      <c r="I274" t="b">
        <f>OR(Worksheet!$G$7="",Worksheet!$G$7=Table6[[#This Row],[Model No.]])</f>
        <v>1</v>
      </c>
      <c r="J274" t="b">
        <f>OR(Worksheet!$D$8="",Worksheet!$D$8=Table6[[#This Row],[Serial No.]])</f>
        <v>0</v>
      </c>
      <c r="K274" t="b">
        <f>AND(Table6[[#This Row],[categoryname2]:[SN2]])</f>
        <v>0</v>
      </c>
      <c r="L274" t="b">
        <f>AND(Table6[[#This Row],[companyid2]],Table6[[#This Row],[Manufacturer2]:[SN2]])</f>
        <v>0</v>
      </c>
      <c r="M274" t="b">
        <f>AND(Table6[[#This Row],[companyid2]:[categoryname2]],Table6[[#This Row],[Model2]:[SN2]])</f>
        <v>0</v>
      </c>
      <c r="N274" t="b">
        <f>AND(Table6[[#This Row],[companyid2]:[Manufacturer2]],Table6[[#This Row],[SN2]])</f>
        <v>0</v>
      </c>
      <c r="O274" t="b">
        <f>AND(Table6[[#This Row],[companyid2]:[Model2]])</f>
        <v>1</v>
      </c>
    </row>
    <row r="275" spans="1:15" x14ac:dyDescent="0.25">
      <c r="A275">
        <v>58115</v>
      </c>
      <c r="B275" t="s">
        <v>884</v>
      </c>
      <c r="C275" t="s">
        <v>962</v>
      </c>
      <c r="D275" s="38" t="s">
        <v>985</v>
      </c>
      <c r="E275" s="95">
        <v>216239</v>
      </c>
      <c r="F275" t="b">
        <f>IFERROR(Table6[[#This Row],[companyid]]=DropDowns!$N$20,TRUE)</f>
        <v>1</v>
      </c>
      <c r="G275" t="b">
        <f>OR(Worksheet!$D$5="",Worksheet!$D$5=Table6[[#This Row],[categoryname]])</f>
        <v>1</v>
      </c>
      <c r="H275" t="b">
        <f>OR(Worksheet!$D$7="",Worksheet!$D$7=Table6[[#This Row],[Manufacturer]])</f>
        <v>1</v>
      </c>
      <c r="I275" t="b">
        <f>OR(Worksheet!$G$7="",Worksheet!$G$7=Table6[[#This Row],[Model No.]])</f>
        <v>1</v>
      </c>
      <c r="J275" t="b">
        <f>OR(Worksheet!$D$8="",Worksheet!$D$8=Table6[[#This Row],[Serial No.]])</f>
        <v>0</v>
      </c>
      <c r="K275" t="b">
        <f>AND(Table6[[#This Row],[categoryname2]:[SN2]])</f>
        <v>0</v>
      </c>
      <c r="L275" t="b">
        <f>AND(Table6[[#This Row],[companyid2]],Table6[[#This Row],[Manufacturer2]:[SN2]])</f>
        <v>0</v>
      </c>
      <c r="M275" t="b">
        <f>AND(Table6[[#This Row],[companyid2]:[categoryname2]],Table6[[#This Row],[Model2]:[SN2]])</f>
        <v>0</v>
      </c>
      <c r="N275" t="b">
        <f>AND(Table6[[#This Row],[companyid2]:[Manufacturer2]],Table6[[#This Row],[SN2]])</f>
        <v>0</v>
      </c>
      <c r="O275" t="b">
        <f>AND(Table6[[#This Row],[companyid2]:[Model2]])</f>
        <v>1</v>
      </c>
    </row>
    <row r="276" spans="1:15" x14ac:dyDescent="0.25">
      <c r="A276">
        <v>58115</v>
      </c>
      <c r="B276" t="s">
        <v>884</v>
      </c>
      <c r="C276" t="s">
        <v>1013</v>
      </c>
      <c r="D276" s="38">
        <v>3814</v>
      </c>
      <c r="E276" s="95">
        <v>16870</v>
      </c>
      <c r="F276" t="b">
        <f>IFERROR(Table6[[#This Row],[companyid]]=DropDowns!$N$20,TRUE)</f>
        <v>1</v>
      </c>
      <c r="G276" t="b">
        <f>OR(Worksheet!$D$5="",Worksheet!$D$5=Table6[[#This Row],[categoryname]])</f>
        <v>1</v>
      </c>
      <c r="H276" t="b">
        <f>OR(Worksheet!$D$7="",Worksheet!$D$7=Table6[[#This Row],[Manufacturer]])</f>
        <v>1</v>
      </c>
      <c r="I276" t="b">
        <f>OR(Worksheet!$G$7="",Worksheet!$G$7=Table6[[#This Row],[Model No.]])</f>
        <v>1</v>
      </c>
      <c r="J276" t="b">
        <f>OR(Worksheet!$D$8="",Worksheet!$D$8=Table6[[#This Row],[Serial No.]])</f>
        <v>0</v>
      </c>
      <c r="K276" t="b">
        <f>AND(Table6[[#This Row],[categoryname2]:[SN2]])</f>
        <v>0</v>
      </c>
      <c r="L276" t="b">
        <f>AND(Table6[[#This Row],[companyid2]],Table6[[#This Row],[Manufacturer2]:[SN2]])</f>
        <v>0</v>
      </c>
      <c r="M276" t="b">
        <f>AND(Table6[[#This Row],[companyid2]:[categoryname2]],Table6[[#This Row],[Model2]:[SN2]])</f>
        <v>0</v>
      </c>
      <c r="N276" t="b">
        <f>AND(Table6[[#This Row],[companyid2]:[Manufacturer2]],Table6[[#This Row],[SN2]])</f>
        <v>0</v>
      </c>
      <c r="O276" t="b">
        <f>AND(Table6[[#This Row],[companyid2]:[Model2]])</f>
        <v>1</v>
      </c>
    </row>
    <row r="277" spans="1:15" x14ac:dyDescent="0.25">
      <c r="A277">
        <v>58115</v>
      </c>
      <c r="B277" t="s">
        <v>884</v>
      </c>
      <c r="C277" t="s">
        <v>878</v>
      </c>
      <c r="D277" s="38">
        <v>574</v>
      </c>
      <c r="E277" s="95" t="s">
        <v>1030</v>
      </c>
      <c r="F277" t="b">
        <f>IFERROR(Table6[[#This Row],[companyid]]=DropDowns!$N$20,TRUE)</f>
        <v>1</v>
      </c>
      <c r="G277" t="b">
        <f>OR(Worksheet!$D$5="",Worksheet!$D$5=Table6[[#This Row],[categoryname]])</f>
        <v>1</v>
      </c>
      <c r="H277" t="b">
        <f>OR(Worksheet!$D$7="",Worksheet!$D$7=Table6[[#This Row],[Manufacturer]])</f>
        <v>1</v>
      </c>
      <c r="I277" t="b">
        <f>OR(Worksheet!$G$7="",Worksheet!$G$7=Table6[[#This Row],[Model No.]])</f>
        <v>1</v>
      </c>
      <c r="J277" t="b">
        <f>OR(Worksheet!$D$8="",Worksheet!$D$8=Table6[[#This Row],[Serial No.]])</f>
        <v>0</v>
      </c>
      <c r="K277" t="b">
        <f>AND(Table6[[#This Row],[categoryname2]:[SN2]])</f>
        <v>0</v>
      </c>
      <c r="L277" t="b">
        <f>AND(Table6[[#This Row],[companyid2]],Table6[[#This Row],[Manufacturer2]:[SN2]])</f>
        <v>0</v>
      </c>
      <c r="M277" t="b">
        <f>AND(Table6[[#This Row],[companyid2]:[categoryname2]],Table6[[#This Row],[Model2]:[SN2]])</f>
        <v>0</v>
      </c>
      <c r="N277" t="b">
        <f>AND(Table6[[#This Row],[companyid2]:[Manufacturer2]],Table6[[#This Row],[SN2]])</f>
        <v>0</v>
      </c>
      <c r="O277" t="b">
        <f>AND(Table6[[#This Row],[companyid2]:[Model2]])</f>
        <v>1</v>
      </c>
    </row>
    <row r="278" spans="1:15" x14ac:dyDescent="0.25">
      <c r="A278">
        <v>58115</v>
      </c>
      <c r="B278" t="s">
        <v>884</v>
      </c>
      <c r="C278" t="s">
        <v>878</v>
      </c>
      <c r="D278" s="38" t="s">
        <v>1036</v>
      </c>
      <c r="E278" s="95" t="s">
        <v>1037</v>
      </c>
      <c r="F278" t="b">
        <f>IFERROR(Table6[[#This Row],[companyid]]=DropDowns!$N$20,TRUE)</f>
        <v>1</v>
      </c>
      <c r="G278" t="b">
        <f>OR(Worksheet!$D$5="",Worksheet!$D$5=Table6[[#This Row],[categoryname]])</f>
        <v>1</v>
      </c>
      <c r="H278" t="b">
        <f>OR(Worksheet!$D$7="",Worksheet!$D$7=Table6[[#This Row],[Manufacturer]])</f>
        <v>1</v>
      </c>
      <c r="I278" t="b">
        <f>OR(Worksheet!$G$7="",Worksheet!$G$7=Table6[[#This Row],[Model No.]])</f>
        <v>1</v>
      </c>
      <c r="J278" t="b">
        <f>OR(Worksheet!$D$8="",Worksheet!$D$8=Table6[[#This Row],[Serial No.]])</f>
        <v>0</v>
      </c>
      <c r="K278" t="b">
        <f>AND(Table6[[#This Row],[categoryname2]:[SN2]])</f>
        <v>0</v>
      </c>
      <c r="L278" t="b">
        <f>AND(Table6[[#This Row],[companyid2]],Table6[[#This Row],[Manufacturer2]:[SN2]])</f>
        <v>0</v>
      </c>
      <c r="M278" t="b">
        <f>AND(Table6[[#This Row],[companyid2]:[categoryname2]],Table6[[#This Row],[Model2]:[SN2]])</f>
        <v>0</v>
      </c>
      <c r="N278" t="b">
        <f>AND(Table6[[#This Row],[companyid2]:[Manufacturer2]],Table6[[#This Row],[SN2]])</f>
        <v>0</v>
      </c>
      <c r="O278" t="b">
        <f>AND(Table6[[#This Row],[companyid2]:[Model2]])</f>
        <v>1</v>
      </c>
    </row>
    <row r="279" spans="1:15" x14ac:dyDescent="0.25">
      <c r="A279">
        <v>58115</v>
      </c>
      <c r="B279" t="s">
        <v>884</v>
      </c>
      <c r="C279" t="s">
        <v>878</v>
      </c>
      <c r="D279" s="38" t="s">
        <v>1038</v>
      </c>
      <c r="E279" s="95" t="s">
        <v>1041</v>
      </c>
      <c r="F279" t="b">
        <f>IFERROR(Table6[[#This Row],[companyid]]=DropDowns!$N$20,TRUE)</f>
        <v>1</v>
      </c>
      <c r="G279" t="b">
        <f>OR(Worksheet!$D$5="",Worksheet!$D$5=Table6[[#This Row],[categoryname]])</f>
        <v>1</v>
      </c>
      <c r="H279" t="b">
        <f>OR(Worksheet!$D$7="",Worksheet!$D$7=Table6[[#This Row],[Manufacturer]])</f>
        <v>1</v>
      </c>
      <c r="I279" t="b">
        <f>OR(Worksheet!$G$7="",Worksheet!$G$7=Table6[[#This Row],[Model No.]])</f>
        <v>1</v>
      </c>
      <c r="J279" t="b">
        <f>OR(Worksheet!$D$8="",Worksheet!$D$8=Table6[[#This Row],[Serial No.]])</f>
        <v>0</v>
      </c>
      <c r="K279" t="b">
        <f>AND(Table6[[#This Row],[categoryname2]:[SN2]])</f>
        <v>0</v>
      </c>
      <c r="L279" t="b">
        <f>AND(Table6[[#This Row],[companyid2]],Table6[[#This Row],[Manufacturer2]:[SN2]])</f>
        <v>0</v>
      </c>
      <c r="M279" t="b">
        <f>AND(Table6[[#This Row],[companyid2]:[categoryname2]],Table6[[#This Row],[Model2]:[SN2]])</f>
        <v>0</v>
      </c>
      <c r="N279" t="b">
        <f>AND(Table6[[#This Row],[companyid2]:[Manufacturer2]],Table6[[#This Row],[SN2]])</f>
        <v>0</v>
      </c>
      <c r="O279" t="b">
        <f>AND(Table6[[#This Row],[companyid2]:[Model2]])</f>
        <v>1</v>
      </c>
    </row>
    <row r="280" spans="1:15" x14ac:dyDescent="0.25">
      <c r="A280">
        <v>58115</v>
      </c>
      <c r="B280" t="s">
        <v>884</v>
      </c>
      <c r="C280" t="s">
        <v>878</v>
      </c>
      <c r="D280" s="38" t="s">
        <v>1075</v>
      </c>
      <c r="E280" s="95" t="s">
        <v>1076</v>
      </c>
      <c r="F280" t="b">
        <f>IFERROR(Table6[[#This Row],[companyid]]=DropDowns!$N$20,TRUE)</f>
        <v>1</v>
      </c>
      <c r="G280" t="b">
        <f>OR(Worksheet!$D$5="",Worksheet!$D$5=Table6[[#This Row],[categoryname]])</f>
        <v>1</v>
      </c>
      <c r="H280" t="b">
        <f>OR(Worksheet!$D$7="",Worksheet!$D$7=Table6[[#This Row],[Manufacturer]])</f>
        <v>1</v>
      </c>
      <c r="I280" t="b">
        <f>OR(Worksheet!$G$7="",Worksheet!$G$7=Table6[[#This Row],[Model No.]])</f>
        <v>1</v>
      </c>
      <c r="J280" t="b">
        <f>OR(Worksheet!$D$8="",Worksheet!$D$8=Table6[[#This Row],[Serial No.]])</f>
        <v>0</v>
      </c>
      <c r="K280" t="b">
        <f>AND(Table6[[#This Row],[categoryname2]:[SN2]])</f>
        <v>0</v>
      </c>
      <c r="L280" t="b">
        <f>AND(Table6[[#This Row],[companyid2]],Table6[[#This Row],[Manufacturer2]:[SN2]])</f>
        <v>0</v>
      </c>
      <c r="M280" t="b">
        <f>AND(Table6[[#This Row],[companyid2]:[categoryname2]],Table6[[#This Row],[Model2]:[SN2]])</f>
        <v>0</v>
      </c>
      <c r="N280" t="b">
        <f>AND(Table6[[#This Row],[companyid2]:[Manufacturer2]],Table6[[#This Row],[SN2]])</f>
        <v>0</v>
      </c>
      <c r="O280" t="b">
        <f>AND(Table6[[#This Row],[companyid2]:[Model2]])</f>
        <v>1</v>
      </c>
    </row>
    <row r="281" spans="1:15" x14ac:dyDescent="0.25">
      <c r="A281">
        <v>58115</v>
      </c>
      <c r="B281" t="s">
        <v>884</v>
      </c>
      <c r="C281" t="s">
        <v>878</v>
      </c>
      <c r="D281" s="38" t="s">
        <v>1078</v>
      </c>
      <c r="E281" s="95" t="s">
        <v>1079</v>
      </c>
      <c r="F281" t="b">
        <f>IFERROR(Table6[[#This Row],[companyid]]=DropDowns!$N$20,TRUE)</f>
        <v>1</v>
      </c>
      <c r="G281" t="b">
        <f>OR(Worksheet!$D$5="",Worksheet!$D$5=Table6[[#This Row],[categoryname]])</f>
        <v>1</v>
      </c>
      <c r="H281" t="b">
        <f>OR(Worksheet!$D$7="",Worksheet!$D$7=Table6[[#This Row],[Manufacturer]])</f>
        <v>1</v>
      </c>
      <c r="I281" t="b">
        <f>OR(Worksheet!$G$7="",Worksheet!$G$7=Table6[[#This Row],[Model No.]])</f>
        <v>1</v>
      </c>
      <c r="J281" t="b">
        <f>OR(Worksheet!$D$8="",Worksheet!$D$8=Table6[[#This Row],[Serial No.]])</f>
        <v>0</v>
      </c>
      <c r="K281" t="b">
        <f>AND(Table6[[#This Row],[categoryname2]:[SN2]])</f>
        <v>0</v>
      </c>
      <c r="L281" t="b">
        <f>AND(Table6[[#This Row],[companyid2]],Table6[[#This Row],[Manufacturer2]:[SN2]])</f>
        <v>0</v>
      </c>
      <c r="M281" t="b">
        <f>AND(Table6[[#This Row],[companyid2]:[categoryname2]],Table6[[#This Row],[Model2]:[SN2]])</f>
        <v>0</v>
      </c>
      <c r="N281" t="b">
        <f>AND(Table6[[#This Row],[companyid2]:[Manufacturer2]],Table6[[#This Row],[SN2]])</f>
        <v>0</v>
      </c>
      <c r="O281" t="b">
        <f>AND(Table6[[#This Row],[companyid2]:[Model2]])</f>
        <v>1</v>
      </c>
    </row>
    <row r="282" spans="1:15" x14ac:dyDescent="0.25">
      <c r="A282">
        <v>58115</v>
      </c>
      <c r="B282" t="s">
        <v>884</v>
      </c>
      <c r="C282" t="s">
        <v>878</v>
      </c>
      <c r="D282" s="38" t="s">
        <v>1082</v>
      </c>
      <c r="E282" s="95">
        <v>97351607</v>
      </c>
      <c r="F282" t="b">
        <f>IFERROR(Table6[[#This Row],[companyid]]=DropDowns!$N$20,TRUE)</f>
        <v>1</v>
      </c>
      <c r="G282" t="b">
        <f>OR(Worksheet!$D$5="",Worksheet!$D$5=Table6[[#This Row],[categoryname]])</f>
        <v>1</v>
      </c>
      <c r="H282" t="b">
        <f>OR(Worksheet!$D$7="",Worksheet!$D$7=Table6[[#This Row],[Manufacturer]])</f>
        <v>1</v>
      </c>
      <c r="I282" t="b">
        <f>OR(Worksheet!$G$7="",Worksheet!$G$7=Table6[[#This Row],[Model No.]])</f>
        <v>1</v>
      </c>
      <c r="J282" t="b">
        <f>OR(Worksheet!$D$8="",Worksheet!$D$8=Table6[[#This Row],[Serial No.]])</f>
        <v>0</v>
      </c>
      <c r="K282" t="b">
        <f>AND(Table6[[#This Row],[categoryname2]:[SN2]])</f>
        <v>0</v>
      </c>
      <c r="L282" t="b">
        <f>AND(Table6[[#This Row],[companyid2]],Table6[[#This Row],[Manufacturer2]:[SN2]])</f>
        <v>0</v>
      </c>
      <c r="M282" t="b">
        <f>AND(Table6[[#This Row],[companyid2]:[categoryname2]],Table6[[#This Row],[Model2]:[SN2]])</f>
        <v>0</v>
      </c>
      <c r="N282" t="b">
        <f>AND(Table6[[#This Row],[companyid2]:[Manufacturer2]],Table6[[#This Row],[SN2]])</f>
        <v>0</v>
      </c>
      <c r="O282" t="b">
        <f>AND(Table6[[#This Row],[companyid2]:[Model2]])</f>
        <v>1</v>
      </c>
    </row>
    <row r="283" spans="1:15" x14ac:dyDescent="0.25">
      <c r="A283">
        <v>58115</v>
      </c>
      <c r="B283" t="s">
        <v>884</v>
      </c>
      <c r="C283" t="s">
        <v>878</v>
      </c>
      <c r="D283" s="38" t="s">
        <v>1083</v>
      </c>
      <c r="E283" s="95">
        <v>97325508</v>
      </c>
      <c r="F283" t="b">
        <f>IFERROR(Table6[[#This Row],[companyid]]=DropDowns!$N$20,TRUE)</f>
        <v>1</v>
      </c>
      <c r="G283" t="b">
        <f>OR(Worksheet!$D$5="",Worksheet!$D$5=Table6[[#This Row],[categoryname]])</f>
        <v>1</v>
      </c>
      <c r="H283" t="b">
        <f>OR(Worksheet!$D$7="",Worksheet!$D$7=Table6[[#This Row],[Manufacturer]])</f>
        <v>1</v>
      </c>
      <c r="I283" t="b">
        <f>OR(Worksheet!$G$7="",Worksheet!$G$7=Table6[[#This Row],[Model No.]])</f>
        <v>1</v>
      </c>
      <c r="J283" t="b">
        <f>OR(Worksheet!$D$8="",Worksheet!$D$8=Table6[[#This Row],[Serial No.]])</f>
        <v>0</v>
      </c>
      <c r="K283" t="b">
        <f>AND(Table6[[#This Row],[categoryname2]:[SN2]])</f>
        <v>0</v>
      </c>
      <c r="L283" t="b">
        <f>AND(Table6[[#This Row],[companyid2]],Table6[[#This Row],[Manufacturer2]:[SN2]])</f>
        <v>0</v>
      </c>
      <c r="M283" t="b">
        <f>AND(Table6[[#This Row],[companyid2]:[categoryname2]],Table6[[#This Row],[Model2]:[SN2]])</f>
        <v>0</v>
      </c>
      <c r="N283" t="b">
        <f>AND(Table6[[#This Row],[companyid2]:[Manufacturer2]],Table6[[#This Row],[SN2]])</f>
        <v>0</v>
      </c>
      <c r="O283" t="b">
        <f>AND(Table6[[#This Row],[companyid2]:[Model2]])</f>
        <v>1</v>
      </c>
    </row>
    <row r="284" spans="1:15" x14ac:dyDescent="0.25">
      <c r="A284">
        <v>58115</v>
      </c>
      <c r="B284" t="s">
        <v>884</v>
      </c>
      <c r="C284" t="s">
        <v>1107</v>
      </c>
      <c r="D284" s="38" t="s">
        <v>1108</v>
      </c>
      <c r="E284" s="95" t="s">
        <v>1109</v>
      </c>
      <c r="F284" t="b">
        <f>IFERROR(Table6[[#This Row],[companyid]]=DropDowns!$N$20,TRUE)</f>
        <v>1</v>
      </c>
      <c r="G284" t="b">
        <f>OR(Worksheet!$D$5="",Worksheet!$D$5=Table6[[#This Row],[categoryname]])</f>
        <v>1</v>
      </c>
      <c r="H284" t="b">
        <f>OR(Worksheet!$D$7="",Worksheet!$D$7=Table6[[#This Row],[Manufacturer]])</f>
        <v>1</v>
      </c>
      <c r="I284" t="b">
        <f>OR(Worksheet!$G$7="",Worksheet!$G$7=Table6[[#This Row],[Model No.]])</f>
        <v>1</v>
      </c>
      <c r="J284" t="b">
        <f>OR(Worksheet!$D$8="",Worksheet!$D$8=Table6[[#This Row],[Serial No.]])</f>
        <v>0</v>
      </c>
      <c r="K284" t="b">
        <f>AND(Table6[[#This Row],[categoryname2]:[SN2]])</f>
        <v>0</v>
      </c>
      <c r="L284" t="b">
        <f>AND(Table6[[#This Row],[companyid2]],Table6[[#This Row],[Manufacturer2]:[SN2]])</f>
        <v>0</v>
      </c>
      <c r="M284" t="b">
        <f>AND(Table6[[#This Row],[companyid2]:[categoryname2]],Table6[[#This Row],[Model2]:[SN2]])</f>
        <v>0</v>
      </c>
      <c r="N284" t="b">
        <f>AND(Table6[[#This Row],[companyid2]:[Manufacturer2]],Table6[[#This Row],[SN2]])</f>
        <v>0</v>
      </c>
      <c r="O284" t="b">
        <f>AND(Table6[[#This Row],[companyid2]:[Model2]])</f>
        <v>1</v>
      </c>
    </row>
    <row r="285" spans="1:15" x14ac:dyDescent="0.25">
      <c r="A285">
        <v>58121</v>
      </c>
      <c r="B285" t="s">
        <v>884</v>
      </c>
      <c r="C285" t="s">
        <v>853</v>
      </c>
      <c r="D285" s="38" t="s">
        <v>911</v>
      </c>
      <c r="E285" s="95" t="s">
        <v>916</v>
      </c>
      <c r="F285" t="b">
        <f>IFERROR(Table6[[#This Row],[companyid]]=DropDowns!$N$20,TRUE)</f>
        <v>1</v>
      </c>
      <c r="G285" t="b">
        <f>OR(Worksheet!$D$5="",Worksheet!$D$5=Table6[[#This Row],[categoryname]])</f>
        <v>1</v>
      </c>
      <c r="H285" t="b">
        <f>OR(Worksheet!$D$7="",Worksheet!$D$7=Table6[[#This Row],[Manufacturer]])</f>
        <v>1</v>
      </c>
      <c r="I285" t="b">
        <f>OR(Worksheet!$G$7="",Worksheet!$G$7=Table6[[#This Row],[Model No.]])</f>
        <v>1</v>
      </c>
      <c r="J285" t="b">
        <f>OR(Worksheet!$D$8="",Worksheet!$D$8=Table6[[#This Row],[Serial No.]])</f>
        <v>0</v>
      </c>
      <c r="K285" t="b">
        <f>AND(Table6[[#This Row],[categoryname2]:[SN2]])</f>
        <v>0</v>
      </c>
      <c r="L285" t="b">
        <f>AND(Table6[[#This Row],[companyid2]],Table6[[#This Row],[Manufacturer2]:[SN2]])</f>
        <v>0</v>
      </c>
      <c r="M285" t="b">
        <f>AND(Table6[[#This Row],[companyid2]:[categoryname2]],Table6[[#This Row],[Model2]:[SN2]])</f>
        <v>0</v>
      </c>
      <c r="N285" t="b">
        <f>AND(Table6[[#This Row],[companyid2]:[Manufacturer2]],Table6[[#This Row],[SN2]])</f>
        <v>0</v>
      </c>
      <c r="O285" t="b">
        <f>AND(Table6[[#This Row],[companyid2]:[Model2]])</f>
        <v>1</v>
      </c>
    </row>
    <row r="286" spans="1:15" x14ac:dyDescent="0.25">
      <c r="A286">
        <v>58121</v>
      </c>
      <c r="B286" t="s">
        <v>884</v>
      </c>
      <c r="C286" t="s">
        <v>878</v>
      </c>
      <c r="D286" s="38" t="s">
        <v>1085</v>
      </c>
      <c r="E286" s="95">
        <v>94019101</v>
      </c>
      <c r="F286" t="b">
        <f>IFERROR(Table6[[#This Row],[companyid]]=DropDowns!$N$20,TRUE)</f>
        <v>1</v>
      </c>
      <c r="G286" t="b">
        <f>OR(Worksheet!$D$5="",Worksheet!$D$5=Table6[[#This Row],[categoryname]])</f>
        <v>1</v>
      </c>
      <c r="H286" t="b">
        <f>OR(Worksheet!$D$7="",Worksheet!$D$7=Table6[[#This Row],[Manufacturer]])</f>
        <v>1</v>
      </c>
      <c r="I286" t="b">
        <f>OR(Worksheet!$G$7="",Worksheet!$G$7=Table6[[#This Row],[Model No.]])</f>
        <v>1</v>
      </c>
      <c r="J286" t="b">
        <f>OR(Worksheet!$D$8="",Worksheet!$D$8=Table6[[#This Row],[Serial No.]])</f>
        <v>0</v>
      </c>
      <c r="K286" t="b">
        <f>AND(Table6[[#This Row],[categoryname2]:[SN2]])</f>
        <v>0</v>
      </c>
      <c r="L286" t="b">
        <f>AND(Table6[[#This Row],[companyid2]],Table6[[#This Row],[Manufacturer2]:[SN2]])</f>
        <v>0</v>
      </c>
      <c r="M286" t="b">
        <f>AND(Table6[[#This Row],[companyid2]:[categoryname2]],Table6[[#This Row],[Model2]:[SN2]])</f>
        <v>0</v>
      </c>
      <c r="N286" t="b">
        <f>AND(Table6[[#This Row],[companyid2]:[Manufacturer2]],Table6[[#This Row],[SN2]])</f>
        <v>0</v>
      </c>
      <c r="O286" t="b">
        <f>AND(Table6[[#This Row],[companyid2]:[Model2]])</f>
        <v>1</v>
      </c>
    </row>
    <row r="287" spans="1:15" x14ac:dyDescent="0.25">
      <c r="A287">
        <v>58142</v>
      </c>
      <c r="B287" t="s">
        <v>884</v>
      </c>
      <c r="C287" t="s">
        <v>1006</v>
      </c>
      <c r="D287" s="38" t="s">
        <v>1007</v>
      </c>
      <c r="E287" s="95">
        <v>25275</v>
      </c>
      <c r="F287" t="b">
        <f>IFERROR(Table6[[#This Row],[companyid]]=DropDowns!$N$20,TRUE)</f>
        <v>1</v>
      </c>
      <c r="G287" t="b">
        <f>OR(Worksheet!$D$5="",Worksheet!$D$5=Table6[[#This Row],[categoryname]])</f>
        <v>1</v>
      </c>
      <c r="H287" t="b">
        <f>OR(Worksheet!$D$7="",Worksheet!$D$7=Table6[[#This Row],[Manufacturer]])</f>
        <v>1</v>
      </c>
      <c r="I287" t="b">
        <f>OR(Worksheet!$G$7="",Worksheet!$G$7=Table6[[#This Row],[Model No.]])</f>
        <v>1</v>
      </c>
      <c r="J287" t="b">
        <f>OR(Worksheet!$D$8="",Worksheet!$D$8=Table6[[#This Row],[Serial No.]])</f>
        <v>0</v>
      </c>
      <c r="K287" t="b">
        <f>AND(Table6[[#This Row],[categoryname2]:[SN2]])</f>
        <v>0</v>
      </c>
      <c r="L287" t="b">
        <f>AND(Table6[[#This Row],[companyid2]],Table6[[#This Row],[Manufacturer2]:[SN2]])</f>
        <v>0</v>
      </c>
      <c r="M287" t="b">
        <f>AND(Table6[[#This Row],[companyid2]:[categoryname2]],Table6[[#This Row],[Model2]:[SN2]])</f>
        <v>0</v>
      </c>
      <c r="N287" t="b">
        <f>AND(Table6[[#This Row],[companyid2]:[Manufacturer2]],Table6[[#This Row],[SN2]])</f>
        <v>0</v>
      </c>
      <c r="O287" t="b">
        <f>AND(Table6[[#This Row],[companyid2]:[Model2]])</f>
        <v>1</v>
      </c>
    </row>
    <row r="288" spans="1:15" x14ac:dyDescent="0.25">
      <c r="A288">
        <v>58155</v>
      </c>
      <c r="B288" t="s">
        <v>884</v>
      </c>
      <c r="C288" t="s">
        <v>896</v>
      </c>
      <c r="D288" s="38">
        <v>574</v>
      </c>
      <c r="E288" s="95" t="s">
        <v>897</v>
      </c>
      <c r="F288" t="b">
        <f>IFERROR(Table6[[#This Row],[companyid]]=DropDowns!$N$20,TRUE)</f>
        <v>1</v>
      </c>
      <c r="G288" t="b">
        <f>OR(Worksheet!$D$5="",Worksheet!$D$5=Table6[[#This Row],[categoryname]])</f>
        <v>1</v>
      </c>
      <c r="H288" t="b">
        <f>OR(Worksheet!$D$7="",Worksheet!$D$7=Table6[[#This Row],[Manufacturer]])</f>
        <v>1</v>
      </c>
      <c r="I288" t="b">
        <f>OR(Worksheet!$G$7="",Worksheet!$G$7=Table6[[#This Row],[Model No.]])</f>
        <v>1</v>
      </c>
      <c r="J288" t="b">
        <f>OR(Worksheet!$D$8="",Worksheet!$D$8=Table6[[#This Row],[Serial No.]])</f>
        <v>0</v>
      </c>
      <c r="K288" t="b">
        <f>AND(Table6[[#This Row],[categoryname2]:[SN2]])</f>
        <v>0</v>
      </c>
      <c r="L288" t="b">
        <f>AND(Table6[[#This Row],[companyid2]],Table6[[#This Row],[Manufacturer2]:[SN2]])</f>
        <v>0</v>
      </c>
      <c r="M288" t="b">
        <f>AND(Table6[[#This Row],[companyid2]:[categoryname2]],Table6[[#This Row],[Model2]:[SN2]])</f>
        <v>0</v>
      </c>
      <c r="N288" t="b">
        <f>AND(Table6[[#This Row],[companyid2]:[Manufacturer2]],Table6[[#This Row],[SN2]])</f>
        <v>0</v>
      </c>
      <c r="O288" t="b">
        <f>AND(Table6[[#This Row],[companyid2]:[Model2]])</f>
        <v>1</v>
      </c>
    </row>
    <row r="289" spans="1:15" x14ac:dyDescent="0.25">
      <c r="A289">
        <v>58160</v>
      </c>
      <c r="B289" t="s">
        <v>884</v>
      </c>
      <c r="C289" t="s">
        <v>936</v>
      </c>
      <c r="D289" s="38" t="s">
        <v>937</v>
      </c>
      <c r="E289" s="95">
        <v>5966</v>
      </c>
      <c r="F289" t="b">
        <f>IFERROR(Table6[[#This Row],[companyid]]=DropDowns!$N$20,TRUE)</f>
        <v>1</v>
      </c>
      <c r="G289" t="b">
        <f>OR(Worksheet!$D$5="",Worksheet!$D$5=Table6[[#This Row],[categoryname]])</f>
        <v>1</v>
      </c>
      <c r="H289" t="b">
        <f>OR(Worksheet!$D$7="",Worksheet!$D$7=Table6[[#This Row],[Manufacturer]])</f>
        <v>1</v>
      </c>
      <c r="I289" t="b">
        <f>OR(Worksheet!$G$7="",Worksheet!$G$7=Table6[[#This Row],[Model No.]])</f>
        <v>1</v>
      </c>
      <c r="J289" t="b">
        <f>OR(Worksheet!$D$8="",Worksheet!$D$8=Table6[[#This Row],[Serial No.]])</f>
        <v>0</v>
      </c>
      <c r="K289" t="b">
        <f>AND(Table6[[#This Row],[categoryname2]:[SN2]])</f>
        <v>0</v>
      </c>
      <c r="L289" t="b">
        <f>AND(Table6[[#This Row],[companyid2]],Table6[[#This Row],[Manufacturer2]:[SN2]])</f>
        <v>0</v>
      </c>
      <c r="M289" t="b">
        <f>AND(Table6[[#This Row],[companyid2]:[categoryname2]],Table6[[#This Row],[Model2]:[SN2]])</f>
        <v>0</v>
      </c>
      <c r="N289" t="b">
        <f>AND(Table6[[#This Row],[companyid2]:[Manufacturer2]],Table6[[#This Row],[SN2]])</f>
        <v>0</v>
      </c>
      <c r="O289" t="b">
        <f>AND(Table6[[#This Row],[companyid2]:[Model2]])</f>
        <v>1</v>
      </c>
    </row>
    <row r="290" spans="1:15" x14ac:dyDescent="0.25">
      <c r="A290">
        <v>58202</v>
      </c>
      <c r="B290" t="s">
        <v>884</v>
      </c>
      <c r="C290" t="s">
        <v>878</v>
      </c>
      <c r="D290" s="38" t="s">
        <v>1058</v>
      </c>
      <c r="E290" s="95">
        <v>1981</v>
      </c>
      <c r="F290" t="b">
        <f>IFERROR(Table6[[#This Row],[companyid]]=DropDowns!$N$20,TRUE)</f>
        <v>1</v>
      </c>
      <c r="G290" t="b">
        <f>OR(Worksheet!$D$5="",Worksheet!$D$5=Table6[[#This Row],[categoryname]])</f>
        <v>1</v>
      </c>
      <c r="H290" t="b">
        <f>OR(Worksheet!$D$7="",Worksheet!$D$7=Table6[[#This Row],[Manufacturer]])</f>
        <v>1</v>
      </c>
      <c r="I290" t="b">
        <f>OR(Worksheet!$G$7="",Worksheet!$G$7=Table6[[#This Row],[Model No.]])</f>
        <v>1</v>
      </c>
      <c r="J290" t="b">
        <f>OR(Worksheet!$D$8="",Worksheet!$D$8=Table6[[#This Row],[Serial No.]])</f>
        <v>0</v>
      </c>
      <c r="K290" t="b">
        <f>AND(Table6[[#This Row],[categoryname2]:[SN2]])</f>
        <v>0</v>
      </c>
      <c r="L290" t="b">
        <f>AND(Table6[[#This Row],[companyid2]],Table6[[#This Row],[Manufacturer2]:[SN2]])</f>
        <v>0</v>
      </c>
      <c r="M290" t="b">
        <f>AND(Table6[[#This Row],[companyid2]:[categoryname2]],Table6[[#This Row],[Model2]:[SN2]])</f>
        <v>0</v>
      </c>
      <c r="N290" t="b">
        <f>AND(Table6[[#This Row],[companyid2]:[Manufacturer2]],Table6[[#This Row],[SN2]])</f>
        <v>0</v>
      </c>
      <c r="O290" t="b">
        <f>AND(Table6[[#This Row],[companyid2]:[Model2]])</f>
        <v>1</v>
      </c>
    </row>
    <row r="291" spans="1:15" x14ac:dyDescent="0.25">
      <c r="A291">
        <v>58202</v>
      </c>
      <c r="B291" t="s">
        <v>884</v>
      </c>
      <c r="C291" t="s">
        <v>878</v>
      </c>
      <c r="D291" s="38" t="s">
        <v>1072</v>
      </c>
      <c r="E291" s="95">
        <v>92418012</v>
      </c>
      <c r="F291" t="b">
        <f>IFERROR(Table6[[#This Row],[companyid]]=DropDowns!$N$20,TRUE)</f>
        <v>1</v>
      </c>
      <c r="G291" t="b">
        <f>OR(Worksheet!$D$5="",Worksheet!$D$5=Table6[[#This Row],[categoryname]])</f>
        <v>1</v>
      </c>
      <c r="H291" t="b">
        <f>OR(Worksheet!$D$7="",Worksheet!$D$7=Table6[[#This Row],[Manufacturer]])</f>
        <v>1</v>
      </c>
      <c r="I291" t="b">
        <f>OR(Worksheet!$G$7="",Worksheet!$G$7=Table6[[#This Row],[Model No.]])</f>
        <v>1</v>
      </c>
      <c r="J291" t="b">
        <f>OR(Worksheet!$D$8="",Worksheet!$D$8=Table6[[#This Row],[Serial No.]])</f>
        <v>0</v>
      </c>
      <c r="K291" t="b">
        <f>AND(Table6[[#This Row],[categoryname2]:[SN2]])</f>
        <v>0</v>
      </c>
      <c r="L291" t="b">
        <f>AND(Table6[[#This Row],[companyid2]],Table6[[#This Row],[Manufacturer2]:[SN2]])</f>
        <v>0</v>
      </c>
      <c r="M291" t="b">
        <f>AND(Table6[[#This Row],[companyid2]:[categoryname2]],Table6[[#This Row],[Model2]:[SN2]])</f>
        <v>0</v>
      </c>
      <c r="N291" t="b">
        <f>AND(Table6[[#This Row],[companyid2]:[Manufacturer2]],Table6[[#This Row],[SN2]])</f>
        <v>0</v>
      </c>
      <c r="O291" t="b">
        <f>AND(Table6[[#This Row],[companyid2]:[Model2]])</f>
        <v>1</v>
      </c>
    </row>
    <row r="292" spans="1:15" x14ac:dyDescent="0.25">
      <c r="A292">
        <v>58206</v>
      </c>
      <c r="B292" t="s">
        <v>845</v>
      </c>
      <c r="C292" t="s">
        <v>853</v>
      </c>
      <c r="D292" s="38" t="s">
        <v>854</v>
      </c>
      <c r="E292" s="95">
        <v>181597</v>
      </c>
      <c r="F292" t="b">
        <f>IFERROR(Table6[[#This Row],[companyid]]=DropDowns!$N$20,TRUE)</f>
        <v>1</v>
      </c>
      <c r="G292" t="b">
        <f>OR(Worksheet!$D$5="",Worksheet!$D$5=Table6[[#This Row],[categoryname]])</f>
        <v>1</v>
      </c>
      <c r="H292" t="b">
        <f>OR(Worksheet!$D$7="",Worksheet!$D$7=Table6[[#This Row],[Manufacturer]])</f>
        <v>1</v>
      </c>
      <c r="I292" t="b">
        <f>OR(Worksheet!$G$7="",Worksheet!$G$7=Table6[[#This Row],[Model No.]])</f>
        <v>1</v>
      </c>
      <c r="J292" t="b">
        <f>OR(Worksheet!$D$8="",Worksheet!$D$8=Table6[[#This Row],[Serial No.]])</f>
        <v>0</v>
      </c>
      <c r="K292" t="b">
        <f>AND(Table6[[#This Row],[categoryname2]:[SN2]])</f>
        <v>0</v>
      </c>
      <c r="L292" t="b">
        <f>AND(Table6[[#This Row],[companyid2]],Table6[[#This Row],[Manufacturer2]:[SN2]])</f>
        <v>0</v>
      </c>
      <c r="M292" t="b">
        <f>AND(Table6[[#This Row],[companyid2]:[categoryname2]],Table6[[#This Row],[Model2]:[SN2]])</f>
        <v>0</v>
      </c>
      <c r="N292" t="b">
        <f>AND(Table6[[#This Row],[companyid2]:[Manufacturer2]],Table6[[#This Row],[SN2]])</f>
        <v>0</v>
      </c>
      <c r="O292" t="b">
        <f>AND(Table6[[#This Row],[companyid2]:[Model2]])</f>
        <v>1</v>
      </c>
    </row>
    <row r="293" spans="1:15" x14ac:dyDescent="0.25">
      <c r="A293">
        <v>58206</v>
      </c>
      <c r="B293" t="s">
        <v>884</v>
      </c>
      <c r="C293" t="s">
        <v>878</v>
      </c>
      <c r="D293" s="38" t="s">
        <v>901</v>
      </c>
      <c r="E293" s="95" t="s">
        <v>1044</v>
      </c>
      <c r="F293" t="b">
        <f>IFERROR(Table6[[#This Row],[companyid]]=DropDowns!$N$20,TRUE)</f>
        <v>1</v>
      </c>
      <c r="G293" t="b">
        <f>OR(Worksheet!$D$5="",Worksheet!$D$5=Table6[[#This Row],[categoryname]])</f>
        <v>1</v>
      </c>
      <c r="H293" t="b">
        <f>OR(Worksheet!$D$7="",Worksheet!$D$7=Table6[[#This Row],[Manufacturer]])</f>
        <v>1</v>
      </c>
      <c r="I293" t="b">
        <f>OR(Worksheet!$G$7="",Worksheet!$G$7=Table6[[#This Row],[Model No.]])</f>
        <v>1</v>
      </c>
      <c r="J293" t="b">
        <f>OR(Worksheet!$D$8="",Worksheet!$D$8=Table6[[#This Row],[Serial No.]])</f>
        <v>0</v>
      </c>
      <c r="K293" t="b">
        <f>AND(Table6[[#This Row],[categoryname2]:[SN2]])</f>
        <v>0</v>
      </c>
      <c r="L293" t="b">
        <f>AND(Table6[[#This Row],[companyid2]],Table6[[#This Row],[Manufacturer2]:[SN2]])</f>
        <v>0</v>
      </c>
      <c r="M293" t="b">
        <f>AND(Table6[[#This Row],[companyid2]:[categoryname2]],Table6[[#This Row],[Model2]:[SN2]])</f>
        <v>0</v>
      </c>
      <c r="N293" t="b">
        <f>AND(Table6[[#This Row],[companyid2]:[Manufacturer2]],Table6[[#This Row],[SN2]])</f>
        <v>0</v>
      </c>
      <c r="O293" t="b">
        <f>AND(Table6[[#This Row],[companyid2]:[Model2]])</f>
        <v>1</v>
      </c>
    </row>
    <row r="294" spans="1:15" x14ac:dyDescent="0.25">
      <c r="A294">
        <v>58209</v>
      </c>
      <c r="B294" t="s">
        <v>845</v>
      </c>
      <c r="C294" t="s">
        <v>853</v>
      </c>
      <c r="D294" s="38" t="s">
        <v>854</v>
      </c>
      <c r="E294" s="95">
        <v>14366</v>
      </c>
      <c r="F294" t="b">
        <f>IFERROR(Table6[[#This Row],[companyid]]=DropDowns!$N$20,TRUE)</f>
        <v>1</v>
      </c>
      <c r="G294" t="b">
        <f>OR(Worksheet!$D$5="",Worksheet!$D$5=Table6[[#This Row],[categoryname]])</f>
        <v>1</v>
      </c>
      <c r="H294" t="b">
        <f>OR(Worksheet!$D$7="",Worksheet!$D$7=Table6[[#This Row],[Manufacturer]])</f>
        <v>1</v>
      </c>
      <c r="I294" t="b">
        <f>OR(Worksheet!$G$7="",Worksheet!$G$7=Table6[[#This Row],[Model No.]])</f>
        <v>1</v>
      </c>
      <c r="J294" t="b">
        <f>OR(Worksheet!$D$8="",Worksheet!$D$8=Table6[[#This Row],[Serial No.]])</f>
        <v>0</v>
      </c>
      <c r="K294" t="b">
        <f>AND(Table6[[#This Row],[categoryname2]:[SN2]])</f>
        <v>0</v>
      </c>
      <c r="L294" t="b">
        <f>AND(Table6[[#This Row],[companyid2]],Table6[[#This Row],[Manufacturer2]:[SN2]])</f>
        <v>0</v>
      </c>
      <c r="M294" t="b">
        <f>AND(Table6[[#This Row],[companyid2]:[categoryname2]],Table6[[#This Row],[Model2]:[SN2]])</f>
        <v>0</v>
      </c>
      <c r="N294" t="b">
        <f>AND(Table6[[#This Row],[companyid2]:[Manufacturer2]],Table6[[#This Row],[SN2]])</f>
        <v>0</v>
      </c>
      <c r="O294" t="b">
        <f>AND(Table6[[#This Row],[companyid2]:[Model2]])</f>
        <v>1</v>
      </c>
    </row>
    <row r="295" spans="1:15" x14ac:dyDescent="0.25">
      <c r="A295">
        <v>58209</v>
      </c>
      <c r="B295" t="s">
        <v>884</v>
      </c>
      <c r="C295" t="s">
        <v>853</v>
      </c>
      <c r="D295" s="38" t="s">
        <v>911</v>
      </c>
      <c r="E295" s="94" t="s">
        <v>914</v>
      </c>
      <c r="F295" t="b">
        <f>IFERROR(Table6[[#This Row],[companyid]]=DropDowns!$N$20,TRUE)</f>
        <v>1</v>
      </c>
      <c r="G295" t="b">
        <f>OR(Worksheet!$D$5="",Worksheet!$D$5=Table6[[#This Row],[categoryname]])</f>
        <v>1</v>
      </c>
      <c r="H295" t="b">
        <f>OR(Worksheet!$D$7="",Worksheet!$D$7=Table6[[#This Row],[Manufacturer]])</f>
        <v>1</v>
      </c>
      <c r="I295" t="b">
        <f>OR(Worksheet!$G$7="",Worksheet!$G$7=Table6[[#This Row],[Model No.]])</f>
        <v>1</v>
      </c>
      <c r="J295" t="b">
        <f>OR(Worksheet!$D$8="",Worksheet!$D$8=Table6[[#This Row],[Serial No.]])</f>
        <v>0</v>
      </c>
      <c r="K295" t="b">
        <f>AND(Table6[[#This Row],[categoryname2]:[SN2]])</f>
        <v>0</v>
      </c>
      <c r="L295" t="b">
        <f>AND(Table6[[#This Row],[companyid2]],Table6[[#This Row],[Manufacturer2]:[SN2]])</f>
        <v>0</v>
      </c>
      <c r="M295" t="b">
        <f>AND(Table6[[#This Row],[companyid2]:[categoryname2]],Table6[[#This Row],[Model2]:[SN2]])</f>
        <v>0</v>
      </c>
      <c r="N295" t="b">
        <f>AND(Table6[[#This Row],[companyid2]:[Manufacturer2]],Table6[[#This Row],[SN2]])</f>
        <v>0</v>
      </c>
      <c r="O295" t="b">
        <f>AND(Table6[[#This Row],[companyid2]:[Model2]])</f>
        <v>1</v>
      </c>
    </row>
    <row r="296" spans="1:15" x14ac:dyDescent="0.25">
      <c r="A296">
        <v>58215</v>
      </c>
      <c r="B296" t="s">
        <v>884</v>
      </c>
      <c r="C296" t="s">
        <v>878</v>
      </c>
      <c r="D296" s="38" t="s">
        <v>1073</v>
      </c>
      <c r="E296" s="95">
        <v>910</v>
      </c>
      <c r="F296" t="b">
        <f>IFERROR(Table6[[#This Row],[companyid]]=DropDowns!$N$20,TRUE)</f>
        <v>1</v>
      </c>
      <c r="G296" t="b">
        <f>OR(Worksheet!$D$5="",Worksheet!$D$5=Table6[[#This Row],[categoryname]])</f>
        <v>1</v>
      </c>
      <c r="H296" t="b">
        <f>OR(Worksheet!$D$7="",Worksheet!$D$7=Table6[[#This Row],[Manufacturer]])</f>
        <v>1</v>
      </c>
      <c r="I296" t="b">
        <f>OR(Worksheet!$G$7="",Worksheet!$G$7=Table6[[#This Row],[Model No.]])</f>
        <v>1</v>
      </c>
      <c r="J296" t="b">
        <f>OR(Worksheet!$D$8="",Worksheet!$D$8=Table6[[#This Row],[Serial No.]])</f>
        <v>0</v>
      </c>
      <c r="K296" t="b">
        <f>AND(Table6[[#This Row],[categoryname2]:[SN2]])</f>
        <v>0</v>
      </c>
      <c r="L296" t="b">
        <f>AND(Table6[[#This Row],[companyid2]],Table6[[#This Row],[Manufacturer2]:[SN2]])</f>
        <v>0</v>
      </c>
      <c r="M296" t="b">
        <f>AND(Table6[[#This Row],[companyid2]:[categoryname2]],Table6[[#This Row],[Model2]:[SN2]])</f>
        <v>0</v>
      </c>
      <c r="N296" t="b">
        <f>AND(Table6[[#This Row],[companyid2]:[Manufacturer2]],Table6[[#This Row],[SN2]])</f>
        <v>0</v>
      </c>
      <c r="O296" t="b">
        <f>AND(Table6[[#This Row],[companyid2]:[Model2]])</f>
        <v>1</v>
      </c>
    </row>
    <row r="297" spans="1:15" x14ac:dyDescent="0.25">
      <c r="A297">
        <v>58215</v>
      </c>
      <c r="B297" t="s">
        <v>884</v>
      </c>
      <c r="C297" t="s">
        <v>878</v>
      </c>
      <c r="D297" s="38" t="s">
        <v>1088</v>
      </c>
      <c r="E297" s="95">
        <v>97383408</v>
      </c>
      <c r="F297" t="b">
        <f>IFERROR(Table6[[#This Row],[companyid]]=DropDowns!$N$20,TRUE)</f>
        <v>1</v>
      </c>
      <c r="G297" t="b">
        <f>OR(Worksheet!$D$5="",Worksheet!$D$5=Table6[[#This Row],[categoryname]])</f>
        <v>1</v>
      </c>
      <c r="H297" t="b">
        <f>OR(Worksheet!$D$7="",Worksheet!$D$7=Table6[[#This Row],[Manufacturer]])</f>
        <v>1</v>
      </c>
      <c r="I297" t="b">
        <f>OR(Worksheet!$G$7="",Worksheet!$G$7=Table6[[#This Row],[Model No.]])</f>
        <v>1</v>
      </c>
      <c r="J297" t="b">
        <f>OR(Worksheet!$D$8="",Worksheet!$D$8=Table6[[#This Row],[Serial No.]])</f>
        <v>0</v>
      </c>
      <c r="K297" t="b">
        <f>AND(Table6[[#This Row],[categoryname2]:[SN2]])</f>
        <v>0</v>
      </c>
      <c r="L297" t="b">
        <f>AND(Table6[[#This Row],[companyid2]],Table6[[#This Row],[Manufacturer2]:[SN2]])</f>
        <v>0</v>
      </c>
      <c r="M297" t="b">
        <f>AND(Table6[[#This Row],[companyid2]:[categoryname2]],Table6[[#This Row],[Model2]:[SN2]])</f>
        <v>0</v>
      </c>
      <c r="N297" t="b">
        <f>AND(Table6[[#This Row],[companyid2]:[Manufacturer2]],Table6[[#This Row],[SN2]])</f>
        <v>0</v>
      </c>
      <c r="O297" t="b">
        <f>AND(Table6[[#This Row],[companyid2]:[Model2]])</f>
        <v>1</v>
      </c>
    </row>
    <row r="298" spans="1:15" x14ac:dyDescent="0.25">
      <c r="A298">
        <v>58221</v>
      </c>
      <c r="B298" t="s">
        <v>845</v>
      </c>
      <c r="C298" t="s">
        <v>848</v>
      </c>
      <c r="D298" s="38">
        <v>2</v>
      </c>
      <c r="E298" s="94">
        <v>10549</v>
      </c>
      <c r="F298" t="b">
        <f>IFERROR(Table6[[#This Row],[companyid]]=DropDowns!$N$20,TRUE)</f>
        <v>1</v>
      </c>
      <c r="G298" t="b">
        <f>OR(Worksheet!$D$5="",Worksheet!$D$5=Table6[[#This Row],[categoryname]])</f>
        <v>1</v>
      </c>
      <c r="H298" t="b">
        <f>OR(Worksheet!$D$7="",Worksheet!$D$7=Table6[[#This Row],[Manufacturer]])</f>
        <v>1</v>
      </c>
      <c r="I298" t="b">
        <f>OR(Worksheet!$G$7="",Worksheet!$G$7=Table6[[#This Row],[Model No.]])</f>
        <v>1</v>
      </c>
      <c r="J298" t="b">
        <f>OR(Worksheet!$D$8="",Worksheet!$D$8=Table6[[#This Row],[Serial No.]])</f>
        <v>0</v>
      </c>
      <c r="K298" t="b">
        <f>AND(Table6[[#This Row],[categoryname2]:[SN2]])</f>
        <v>0</v>
      </c>
      <c r="L298" t="b">
        <f>AND(Table6[[#This Row],[companyid2]],Table6[[#This Row],[Manufacturer2]:[SN2]])</f>
        <v>0</v>
      </c>
      <c r="M298" t="b">
        <f>AND(Table6[[#This Row],[companyid2]:[categoryname2]],Table6[[#This Row],[Model2]:[SN2]])</f>
        <v>0</v>
      </c>
      <c r="N298" t="b">
        <f>AND(Table6[[#This Row],[companyid2]:[Manufacturer2]],Table6[[#This Row],[SN2]])</f>
        <v>0</v>
      </c>
      <c r="O298" t="b">
        <f>AND(Table6[[#This Row],[companyid2]:[Model2]])</f>
        <v>1</v>
      </c>
    </row>
    <row r="299" spans="1:15" x14ac:dyDescent="0.25">
      <c r="A299">
        <v>58221</v>
      </c>
      <c r="B299" t="s">
        <v>845</v>
      </c>
      <c r="C299" t="s">
        <v>853</v>
      </c>
      <c r="D299" s="38" t="s">
        <v>854</v>
      </c>
      <c r="E299" s="95">
        <v>99242</v>
      </c>
      <c r="F299" t="b">
        <f>IFERROR(Table6[[#This Row],[companyid]]=DropDowns!$N$20,TRUE)</f>
        <v>1</v>
      </c>
      <c r="G299" t="b">
        <f>OR(Worksheet!$D$5="",Worksheet!$D$5=Table6[[#This Row],[categoryname]])</f>
        <v>1</v>
      </c>
      <c r="H299" t="b">
        <f>OR(Worksheet!$D$7="",Worksheet!$D$7=Table6[[#This Row],[Manufacturer]])</f>
        <v>1</v>
      </c>
      <c r="I299" t="b">
        <f>OR(Worksheet!$G$7="",Worksheet!$G$7=Table6[[#This Row],[Model No.]])</f>
        <v>1</v>
      </c>
      <c r="J299" t="b">
        <f>OR(Worksheet!$D$8="",Worksheet!$D$8=Table6[[#This Row],[Serial No.]])</f>
        <v>0</v>
      </c>
      <c r="K299" t="b">
        <f>AND(Table6[[#This Row],[categoryname2]:[SN2]])</f>
        <v>0</v>
      </c>
      <c r="L299" t="b">
        <f>AND(Table6[[#This Row],[companyid2]],Table6[[#This Row],[Manufacturer2]:[SN2]])</f>
        <v>0</v>
      </c>
      <c r="M299" t="b">
        <f>AND(Table6[[#This Row],[companyid2]:[categoryname2]],Table6[[#This Row],[Model2]:[SN2]])</f>
        <v>0</v>
      </c>
      <c r="N299" t="b">
        <f>AND(Table6[[#This Row],[companyid2]:[Manufacturer2]],Table6[[#This Row],[SN2]])</f>
        <v>0</v>
      </c>
      <c r="O299" t="b">
        <f>AND(Table6[[#This Row],[companyid2]:[Model2]])</f>
        <v>1</v>
      </c>
    </row>
    <row r="300" spans="1:15" x14ac:dyDescent="0.25">
      <c r="A300">
        <v>58221</v>
      </c>
      <c r="B300" t="s">
        <v>884</v>
      </c>
      <c r="C300" t="s">
        <v>885</v>
      </c>
      <c r="D300" s="38" t="s">
        <v>886</v>
      </c>
      <c r="E300" s="95" t="s">
        <v>887</v>
      </c>
      <c r="F300" t="b">
        <f>IFERROR(Table6[[#This Row],[companyid]]=DropDowns!$N$20,TRUE)</f>
        <v>1</v>
      </c>
      <c r="G300" t="b">
        <f>OR(Worksheet!$D$5="",Worksheet!$D$5=Table6[[#This Row],[categoryname]])</f>
        <v>1</v>
      </c>
      <c r="H300" t="b">
        <f>OR(Worksheet!$D$7="",Worksheet!$D$7=Table6[[#This Row],[Manufacturer]])</f>
        <v>1</v>
      </c>
      <c r="I300" t="b">
        <f>OR(Worksheet!$G$7="",Worksheet!$G$7=Table6[[#This Row],[Model No.]])</f>
        <v>1</v>
      </c>
      <c r="J300" t="b">
        <f>OR(Worksheet!$D$8="",Worksheet!$D$8=Table6[[#This Row],[Serial No.]])</f>
        <v>0</v>
      </c>
      <c r="K300" t="b">
        <f>AND(Table6[[#This Row],[categoryname2]:[SN2]])</f>
        <v>0</v>
      </c>
      <c r="L300" t="b">
        <f>AND(Table6[[#This Row],[companyid2]],Table6[[#This Row],[Manufacturer2]:[SN2]])</f>
        <v>0</v>
      </c>
      <c r="M300" t="b">
        <f>AND(Table6[[#This Row],[companyid2]:[categoryname2]],Table6[[#This Row],[Model2]:[SN2]])</f>
        <v>0</v>
      </c>
      <c r="N300" t="b">
        <f>AND(Table6[[#This Row],[companyid2]:[Manufacturer2]],Table6[[#This Row],[SN2]])</f>
        <v>0</v>
      </c>
      <c r="O300" t="b">
        <f>AND(Table6[[#This Row],[companyid2]:[Model2]])</f>
        <v>1</v>
      </c>
    </row>
    <row r="301" spans="1:15" x14ac:dyDescent="0.25">
      <c r="A301">
        <v>58225</v>
      </c>
      <c r="B301" t="s">
        <v>884</v>
      </c>
      <c r="C301" t="s">
        <v>878</v>
      </c>
      <c r="D301" s="38" t="s">
        <v>1056</v>
      </c>
      <c r="E301" s="95" t="s">
        <v>1057</v>
      </c>
      <c r="F301" t="b">
        <f>IFERROR(Table6[[#This Row],[companyid]]=DropDowns!$N$20,TRUE)</f>
        <v>1</v>
      </c>
      <c r="G301" t="b">
        <f>OR(Worksheet!$D$5="",Worksheet!$D$5=Table6[[#This Row],[categoryname]])</f>
        <v>1</v>
      </c>
      <c r="H301" t="b">
        <f>OR(Worksheet!$D$7="",Worksheet!$D$7=Table6[[#This Row],[Manufacturer]])</f>
        <v>1</v>
      </c>
      <c r="I301" t="b">
        <f>OR(Worksheet!$G$7="",Worksheet!$G$7=Table6[[#This Row],[Model No.]])</f>
        <v>1</v>
      </c>
      <c r="J301" t="b">
        <f>OR(Worksheet!$D$8="",Worksheet!$D$8=Table6[[#This Row],[Serial No.]])</f>
        <v>0</v>
      </c>
      <c r="K301" t="b">
        <f>AND(Table6[[#This Row],[categoryname2]:[SN2]])</f>
        <v>0</v>
      </c>
      <c r="L301" t="b">
        <f>AND(Table6[[#This Row],[companyid2]],Table6[[#This Row],[Manufacturer2]:[SN2]])</f>
        <v>0</v>
      </c>
      <c r="M301" t="b">
        <f>AND(Table6[[#This Row],[companyid2]:[categoryname2]],Table6[[#This Row],[Model2]:[SN2]])</f>
        <v>0</v>
      </c>
      <c r="N301" t="b">
        <f>AND(Table6[[#This Row],[companyid2]:[Manufacturer2]],Table6[[#This Row],[SN2]])</f>
        <v>0</v>
      </c>
      <c r="O301" t="b">
        <f>AND(Table6[[#This Row],[companyid2]:[Model2]])</f>
        <v>1</v>
      </c>
    </row>
    <row r="302" spans="1:15" x14ac:dyDescent="0.25">
      <c r="A302">
        <v>58227</v>
      </c>
      <c r="B302" t="s">
        <v>884</v>
      </c>
      <c r="C302" t="s">
        <v>989</v>
      </c>
      <c r="D302" s="38" t="s">
        <v>990</v>
      </c>
      <c r="E302" s="95">
        <v>1656</v>
      </c>
      <c r="F302" t="b">
        <f>IFERROR(Table6[[#This Row],[companyid]]=DropDowns!$N$20,TRUE)</f>
        <v>1</v>
      </c>
      <c r="G302" t="b">
        <f>OR(Worksheet!$D$5="",Worksheet!$D$5=Table6[[#This Row],[categoryname]])</f>
        <v>1</v>
      </c>
      <c r="H302" t="b">
        <f>OR(Worksheet!$D$7="",Worksheet!$D$7=Table6[[#This Row],[Manufacturer]])</f>
        <v>1</v>
      </c>
      <c r="I302" t="b">
        <f>OR(Worksheet!$G$7="",Worksheet!$G$7=Table6[[#This Row],[Model No.]])</f>
        <v>1</v>
      </c>
      <c r="J302" t="b">
        <f>OR(Worksheet!$D$8="",Worksheet!$D$8=Table6[[#This Row],[Serial No.]])</f>
        <v>0</v>
      </c>
      <c r="K302" t="b">
        <f>AND(Table6[[#This Row],[categoryname2]:[SN2]])</f>
        <v>0</v>
      </c>
      <c r="L302" t="b">
        <f>AND(Table6[[#This Row],[companyid2]],Table6[[#This Row],[Manufacturer2]:[SN2]])</f>
        <v>0</v>
      </c>
      <c r="M302" t="b">
        <f>AND(Table6[[#This Row],[companyid2]:[categoryname2]],Table6[[#This Row],[Model2]:[SN2]])</f>
        <v>0</v>
      </c>
      <c r="N302" t="b">
        <f>AND(Table6[[#This Row],[companyid2]:[Manufacturer2]],Table6[[#This Row],[SN2]])</f>
        <v>0</v>
      </c>
      <c r="O302" t="b">
        <f>AND(Table6[[#This Row],[companyid2]:[Model2]])</f>
        <v>1</v>
      </c>
    </row>
    <row r="303" spans="1:15" x14ac:dyDescent="0.25">
      <c r="A303">
        <v>58227</v>
      </c>
      <c r="B303" t="s">
        <v>884</v>
      </c>
      <c r="C303" t="s">
        <v>989</v>
      </c>
      <c r="D303" s="38" t="s">
        <v>966</v>
      </c>
      <c r="E303" s="95">
        <v>5431</v>
      </c>
      <c r="F303" t="b">
        <f>IFERROR(Table6[[#This Row],[companyid]]=DropDowns!$N$20,TRUE)</f>
        <v>1</v>
      </c>
      <c r="G303" t="b">
        <f>OR(Worksheet!$D$5="",Worksheet!$D$5=Table6[[#This Row],[categoryname]])</f>
        <v>1</v>
      </c>
      <c r="H303" t="b">
        <f>OR(Worksheet!$D$7="",Worksheet!$D$7=Table6[[#This Row],[Manufacturer]])</f>
        <v>1</v>
      </c>
      <c r="I303" t="b">
        <f>OR(Worksheet!$G$7="",Worksheet!$G$7=Table6[[#This Row],[Model No.]])</f>
        <v>1</v>
      </c>
      <c r="J303" t="b">
        <f>OR(Worksheet!$D$8="",Worksheet!$D$8=Table6[[#This Row],[Serial No.]])</f>
        <v>0</v>
      </c>
      <c r="K303" t="b">
        <f>AND(Table6[[#This Row],[categoryname2]:[SN2]])</f>
        <v>0</v>
      </c>
      <c r="L303" t="b">
        <f>AND(Table6[[#This Row],[companyid2]],Table6[[#This Row],[Manufacturer2]:[SN2]])</f>
        <v>0</v>
      </c>
      <c r="M303" t="b">
        <f>AND(Table6[[#This Row],[companyid2]:[categoryname2]],Table6[[#This Row],[Model2]:[SN2]])</f>
        <v>0</v>
      </c>
      <c r="N303" t="b">
        <f>AND(Table6[[#This Row],[companyid2]:[Manufacturer2]],Table6[[#This Row],[SN2]])</f>
        <v>0</v>
      </c>
      <c r="O303" t="b">
        <f>AND(Table6[[#This Row],[companyid2]:[Model2]])</f>
        <v>1</v>
      </c>
    </row>
    <row r="304" spans="1:15" x14ac:dyDescent="0.25">
      <c r="A304">
        <v>58227</v>
      </c>
      <c r="B304" t="s">
        <v>884</v>
      </c>
      <c r="C304" t="s">
        <v>878</v>
      </c>
      <c r="D304" s="38" t="s">
        <v>1058</v>
      </c>
      <c r="E304" s="95" t="s">
        <v>1059</v>
      </c>
      <c r="F304" t="b">
        <f>IFERROR(Table6[[#This Row],[companyid]]=DropDowns!$N$20,TRUE)</f>
        <v>1</v>
      </c>
      <c r="G304" t="b">
        <f>OR(Worksheet!$D$5="",Worksheet!$D$5=Table6[[#This Row],[categoryname]])</f>
        <v>1</v>
      </c>
      <c r="H304" t="b">
        <f>OR(Worksheet!$D$7="",Worksheet!$D$7=Table6[[#This Row],[Manufacturer]])</f>
        <v>1</v>
      </c>
      <c r="I304" t="b">
        <f>OR(Worksheet!$G$7="",Worksheet!$G$7=Table6[[#This Row],[Model No.]])</f>
        <v>1</v>
      </c>
      <c r="J304" t="b">
        <f>OR(Worksheet!$D$8="",Worksheet!$D$8=Table6[[#This Row],[Serial No.]])</f>
        <v>0</v>
      </c>
      <c r="K304" t="b">
        <f>AND(Table6[[#This Row],[categoryname2]:[SN2]])</f>
        <v>0</v>
      </c>
      <c r="L304" t="b">
        <f>AND(Table6[[#This Row],[companyid2]],Table6[[#This Row],[Manufacturer2]:[SN2]])</f>
        <v>0</v>
      </c>
      <c r="M304" t="b">
        <f>AND(Table6[[#This Row],[companyid2]:[categoryname2]],Table6[[#This Row],[Model2]:[SN2]])</f>
        <v>0</v>
      </c>
      <c r="N304" t="b">
        <f>AND(Table6[[#This Row],[companyid2]:[Manufacturer2]],Table6[[#This Row],[SN2]])</f>
        <v>0</v>
      </c>
      <c r="O304" t="b">
        <f>AND(Table6[[#This Row],[companyid2]:[Model2]])</f>
        <v>1</v>
      </c>
    </row>
    <row r="305" spans="1:15" x14ac:dyDescent="0.25">
      <c r="A305">
        <v>58234</v>
      </c>
      <c r="B305" t="s">
        <v>884</v>
      </c>
      <c r="C305" t="s">
        <v>853</v>
      </c>
      <c r="D305" s="38" t="s">
        <v>925</v>
      </c>
      <c r="E305" s="95" t="s">
        <v>926</v>
      </c>
      <c r="F305" t="b">
        <f>IFERROR(Table6[[#This Row],[companyid]]=DropDowns!$N$20,TRUE)</f>
        <v>1</v>
      </c>
      <c r="G305" t="b">
        <f>OR(Worksheet!$D$5="",Worksheet!$D$5=Table6[[#This Row],[categoryname]])</f>
        <v>1</v>
      </c>
      <c r="H305" t="b">
        <f>OR(Worksheet!$D$7="",Worksheet!$D$7=Table6[[#This Row],[Manufacturer]])</f>
        <v>1</v>
      </c>
      <c r="I305" t="b">
        <f>OR(Worksheet!$G$7="",Worksheet!$G$7=Table6[[#This Row],[Model No.]])</f>
        <v>1</v>
      </c>
      <c r="J305" t="b">
        <f>OR(Worksheet!$D$8="",Worksheet!$D$8=Table6[[#This Row],[Serial No.]])</f>
        <v>0</v>
      </c>
      <c r="K305" t="b">
        <f>AND(Table6[[#This Row],[categoryname2]:[SN2]])</f>
        <v>0</v>
      </c>
      <c r="L305" t="b">
        <f>AND(Table6[[#This Row],[companyid2]],Table6[[#This Row],[Manufacturer2]:[SN2]])</f>
        <v>0</v>
      </c>
      <c r="M305" t="b">
        <f>AND(Table6[[#This Row],[companyid2]:[categoryname2]],Table6[[#This Row],[Model2]:[SN2]])</f>
        <v>0</v>
      </c>
      <c r="N305" t="b">
        <f>AND(Table6[[#This Row],[companyid2]:[Manufacturer2]],Table6[[#This Row],[SN2]])</f>
        <v>0</v>
      </c>
      <c r="O305" t="b">
        <f>AND(Table6[[#This Row],[companyid2]:[Model2]])</f>
        <v>1</v>
      </c>
    </row>
    <row r="306" spans="1:15" x14ac:dyDescent="0.25">
      <c r="A306">
        <v>58242</v>
      </c>
      <c r="B306" t="s">
        <v>845</v>
      </c>
      <c r="C306" t="s">
        <v>853</v>
      </c>
      <c r="D306" s="38" t="s">
        <v>869</v>
      </c>
      <c r="E306" s="94">
        <v>17549</v>
      </c>
      <c r="F306" t="b">
        <f>IFERROR(Table6[[#This Row],[companyid]]=DropDowns!$N$20,TRUE)</f>
        <v>1</v>
      </c>
      <c r="G306" t="b">
        <f>OR(Worksheet!$D$5="",Worksheet!$D$5=Table6[[#This Row],[categoryname]])</f>
        <v>1</v>
      </c>
      <c r="H306" t="b">
        <f>OR(Worksheet!$D$7="",Worksheet!$D$7=Table6[[#This Row],[Manufacturer]])</f>
        <v>1</v>
      </c>
      <c r="I306" t="b">
        <f>OR(Worksheet!$G$7="",Worksheet!$G$7=Table6[[#This Row],[Model No.]])</f>
        <v>1</v>
      </c>
      <c r="J306" t="b">
        <f>OR(Worksheet!$D$8="",Worksheet!$D$8=Table6[[#This Row],[Serial No.]])</f>
        <v>0</v>
      </c>
      <c r="K306" t="b">
        <f>AND(Table6[[#This Row],[categoryname2]:[SN2]])</f>
        <v>0</v>
      </c>
      <c r="L306" t="b">
        <f>AND(Table6[[#This Row],[companyid2]],Table6[[#This Row],[Manufacturer2]:[SN2]])</f>
        <v>0</v>
      </c>
      <c r="M306" t="b">
        <f>AND(Table6[[#This Row],[companyid2]:[categoryname2]],Table6[[#This Row],[Model2]:[SN2]])</f>
        <v>0</v>
      </c>
      <c r="N306" t="b">
        <f>AND(Table6[[#This Row],[companyid2]:[Manufacturer2]],Table6[[#This Row],[SN2]])</f>
        <v>0</v>
      </c>
      <c r="O306" t="b">
        <f>AND(Table6[[#This Row],[companyid2]:[Model2]])</f>
        <v>1</v>
      </c>
    </row>
    <row r="307" spans="1:15" x14ac:dyDescent="0.25">
      <c r="A307">
        <v>58246</v>
      </c>
      <c r="B307" t="s">
        <v>884</v>
      </c>
      <c r="C307" t="s">
        <v>878</v>
      </c>
      <c r="D307" s="38" t="s">
        <v>1084</v>
      </c>
      <c r="E307" s="95">
        <v>94265110</v>
      </c>
      <c r="F307" t="b">
        <f>IFERROR(Table6[[#This Row],[companyid]]=DropDowns!$N$20,TRUE)</f>
        <v>1</v>
      </c>
      <c r="G307" t="b">
        <f>OR(Worksheet!$D$5="",Worksheet!$D$5=Table6[[#This Row],[categoryname]])</f>
        <v>1</v>
      </c>
      <c r="H307" t="b">
        <f>OR(Worksheet!$D$7="",Worksheet!$D$7=Table6[[#This Row],[Manufacturer]])</f>
        <v>1</v>
      </c>
      <c r="I307" t="b">
        <f>OR(Worksheet!$G$7="",Worksheet!$G$7=Table6[[#This Row],[Model No.]])</f>
        <v>1</v>
      </c>
      <c r="J307" t="b">
        <f>OR(Worksheet!$D$8="",Worksheet!$D$8=Table6[[#This Row],[Serial No.]])</f>
        <v>0</v>
      </c>
      <c r="K307" t="b">
        <f>AND(Table6[[#This Row],[categoryname2]:[SN2]])</f>
        <v>0</v>
      </c>
      <c r="L307" t="b">
        <f>AND(Table6[[#This Row],[companyid2]],Table6[[#This Row],[Manufacturer2]:[SN2]])</f>
        <v>0</v>
      </c>
      <c r="M307" t="b">
        <f>AND(Table6[[#This Row],[companyid2]:[categoryname2]],Table6[[#This Row],[Model2]:[SN2]])</f>
        <v>0</v>
      </c>
      <c r="N307" t="b">
        <f>AND(Table6[[#This Row],[companyid2]:[Manufacturer2]],Table6[[#This Row],[SN2]])</f>
        <v>0</v>
      </c>
      <c r="O307" t="b">
        <f>AND(Table6[[#This Row],[companyid2]:[Model2]])</f>
        <v>1</v>
      </c>
    </row>
    <row r="308" spans="1:15" x14ac:dyDescent="0.25">
      <c r="A308">
        <v>58246</v>
      </c>
      <c r="B308" t="s">
        <v>884</v>
      </c>
      <c r="C308" t="s">
        <v>878</v>
      </c>
      <c r="D308" s="38" t="s">
        <v>1084</v>
      </c>
      <c r="E308" s="95">
        <v>94282110</v>
      </c>
      <c r="F308" t="b">
        <f>IFERROR(Table6[[#This Row],[companyid]]=DropDowns!$N$20,TRUE)</f>
        <v>1</v>
      </c>
      <c r="G308" t="b">
        <f>OR(Worksheet!$D$5="",Worksheet!$D$5=Table6[[#This Row],[categoryname]])</f>
        <v>1</v>
      </c>
      <c r="H308" t="b">
        <f>OR(Worksheet!$D$7="",Worksheet!$D$7=Table6[[#This Row],[Manufacturer]])</f>
        <v>1</v>
      </c>
      <c r="I308" t="b">
        <f>OR(Worksheet!$G$7="",Worksheet!$G$7=Table6[[#This Row],[Model No.]])</f>
        <v>1</v>
      </c>
      <c r="J308" t="b">
        <f>OR(Worksheet!$D$8="",Worksheet!$D$8=Table6[[#This Row],[Serial No.]])</f>
        <v>0</v>
      </c>
      <c r="K308" t="b">
        <f>AND(Table6[[#This Row],[categoryname2]:[SN2]])</f>
        <v>0</v>
      </c>
      <c r="L308" t="b">
        <f>AND(Table6[[#This Row],[companyid2]],Table6[[#This Row],[Manufacturer2]:[SN2]])</f>
        <v>0</v>
      </c>
      <c r="M308" t="b">
        <f>AND(Table6[[#This Row],[companyid2]:[categoryname2]],Table6[[#This Row],[Model2]:[SN2]])</f>
        <v>0</v>
      </c>
      <c r="N308" t="b">
        <f>AND(Table6[[#This Row],[companyid2]:[Manufacturer2]],Table6[[#This Row],[SN2]])</f>
        <v>0</v>
      </c>
      <c r="O308" t="b">
        <f>AND(Table6[[#This Row],[companyid2]:[Model2]])</f>
        <v>1</v>
      </c>
    </row>
    <row r="309" spans="1:15" x14ac:dyDescent="0.25">
      <c r="A309">
        <v>58261</v>
      </c>
      <c r="B309" t="s">
        <v>884</v>
      </c>
      <c r="C309" t="s">
        <v>1103</v>
      </c>
      <c r="D309" s="38" t="s">
        <v>901</v>
      </c>
      <c r="E309" s="95">
        <v>1263</v>
      </c>
      <c r="F309" t="b">
        <f>IFERROR(Table6[[#This Row],[companyid]]=DropDowns!$N$20,TRUE)</f>
        <v>1</v>
      </c>
      <c r="G309" t="b">
        <f>OR(Worksheet!$D$5="",Worksheet!$D$5=Table6[[#This Row],[categoryname]])</f>
        <v>1</v>
      </c>
      <c r="H309" t="b">
        <f>OR(Worksheet!$D$7="",Worksheet!$D$7=Table6[[#This Row],[Manufacturer]])</f>
        <v>1</v>
      </c>
      <c r="I309" t="b">
        <f>OR(Worksheet!$G$7="",Worksheet!$G$7=Table6[[#This Row],[Model No.]])</f>
        <v>1</v>
      </c>
      <c r="J309" t="b">
        <f>OR(Worksheet!$D$8="",Worksheet!$D$8=Table6[[#This Row],[Serial No.]])</f>
        <v>0</v>
      </c>
      <c r="K309" t="b">
        <f>AND(Table6[[#This Row],[categoryname2]:[SN2]])</f>
        <v>0</v>
      </c>
      <c r="L309" t="b">
        <f>AND(Table6[[#This Row],[companyid2]],Table6[[#This Row],[Manufacturer2]:[SN2]])</f>
        <v>0</v>
      </c>
      <c r="M309" t="b">
        <f>AND(Table6[[#This Row],[companyid2]:[categoryname2]],Table6[[#This Row],[Model2]:[SN2]])</f>
        <v>0</v>
      </c>
      <c r="N309" t="b">
        <f>AND(Table6[[#This Row],[companyid2]:[Manufacturer2]],Table6[[#This Row],[SN2]])</f>
        <v>0</v>
      </c>
      <c r="O309" t="b">
        <f>AND(Table6[[#This Row],[companyid2]:[Model2]])</f>
        <v>1</v>
      </c>
    </row>
    <row r="310" spans="1:15" x14ac:dyDescent="0.25">
      <c r="A310">
        <v>61312</v>
      </c>
      <c r="B310" t="s">
        <v>884</v>
      </c>
      <c r="C310" t="s">
        <v>878</v>
      </c>
      <c r="D310" s="38" t="s">
        <v>901</v>
      </c>
      <c r="E310" s="95" t="s">
        <v>1043</v>
      </c>
      <c r="F310" t="b">
        <f>IFERROR(Table6[[#This Row],[companyid]]=DropDowns!$N$20,TRUE)</f>
        <v>1</v>
      </c>
      <c r="G310" t="b">
        <f>OR(Worksheet!$D$5="",Worksheet!$D$5=Table6[[#This Row],[categoryname]])</f>
        <v>1</v>
      </c>
      <c r="H310" t="b">
        <f>OR(Worksheet!$D$7="",Worksheet!$D$7=Table6[[#This Row],[Manufacturer]])</f>
        <v>1</v>
      </c>
      <c r="I310" t="b">
        <f>OR(Worksheet!$G$7="",Worksheet!$G$7=Table6[[#This Row],[Model No.]])</f>
        <v>1</v>
      </c>
      <c r="J310" t="b">
        <f>OR(Worksheet!$D$8="",Worksheet!$D$8=Table6[[#This Row],[Serial No.]])</f>
        <v>0</v>
      </c>
      <c r="K310" t="b">
        <f>AND(Table6[[#This Row],[categoryname2]:[SN2]])</f>
        <v>0</v>
      </c>
      <c r="L310" t="b">
        <f>AND(Table6[[#This Row],[companyid2]],Table6[[#This Row],[Manufacturer2]:[SN2]])</f>
        <v>0</v>
      </c>
      <c r="M310" t="b">
        <f>AND(Table6[[#This Row],[companyid2]:[categoryname2]],Table6[[#This Row],[Model2]:[SN2]])</f>
        <v>0</v>
      </c>
      <c r="N310" t="b">
        <f>AND(Table6[[#This Row],[companyid2]:[Manufacturer2]],Table6[[#This Row],[SN2]])</f>
        <v>0</v>
      </c>
      <c r="O310" t="b">
        <f>AND(Table6[[#This Row],[companyid2]:[Model2]])</f>
        <v>1</v>
      </c>
    </row>
    <row r="311" spans="1:15" x14ac:dyDescent="0.25">
      <c r="A311">
        <v>63705</v>
      </c>
      <c r="B311" t="s">
        <v>884</v>
      </c>
      <c r="C311" t="s">
        <v>853</v>
      </c>
      <c r="D311" s="38" t="s">
        <v>908</v>
      </c>
      <c r="E311" s="95" t="s">
        <v>910</v>
      </c>
      <c r="F311" t="b">
        <f>IFERROR(Table6[[#This Row],[companyid]]=DropDowns!$N$20,TRUE)</f>
        <v>1</v>
      </c>
      <c r="G311" t="b">
        <f>OR(Worksheet!$D$5="",Worksheet!$D$5=Table6[[#This Row],[categoryname]])</f>
        <v>1</v>
      </c>
      <c r="H311" t="b">
        <f>OR(Worksheet!$D$7="",Worksheet!$D$7=Table6[[#This Row],[Manufacturer]])</f>
        <v>1</v>
      </c>
      <c r="I311" t="b">
        <f>OR(Worksheet!$G$7="",Worksheet!$G$7=Table6[[#This Row],[Model No.]])</f>
        <v>1</v>
      </c>
      <c r="J311" t="b">
        <f>OR(Worksheet!$D$8="",Worksheet!$D$8=Table6[[#This Row],[Serial No.]])</f>
        <v>0</v>
      </c>
      <c r="K311" t="b">
        <f>AND(Table6[[#This Row],[categoryname2]:[SN2]])</f>
        <v>0</v>
      </c>
      <c r="L311" t="b">
        <f>AND(Table6[[#This Row],[companyid2]],Table6[[#This Row],[Manufacturer2]:[SN2]])</f>
        <v>0</v>
      </c>
      <c r="M311" t="b">
        <f>AND(Table6[[#This Row],[companyid2]:[categoryname2]],Table6[[#This Row],[Model2]:[SN2]])</f>
        <v>0</v>
      </c>
      <c r="N311" t="b">
        <f>AND(Table6[[#This Row],[companyid2]:[Manufacturer2]],Table6[[#This Row],[SN2]])</f>
        <v>0</v>
      </c>
      <c r="O311" t="b">
        <f>AND(Table6[[#This Row],[companyid2]:[Model2]])</f>
        <v>1</v>
      </c>
    </row>
    <row r="312" spans="1:15" x14ac:dyDescent="0.25">
      <c r="A312">
        <v>66118</v>
      </c>
      <c r="B312" t="s">
        <v>845</v>
      </c>
      <c r="C312" t="s">
        <v>853</v>
      </c>
      <c r="D312" s="38" t="s">
        <v>854</v>
      </c>
      <c r="E312" s="95" t="s">
        <v>857</v>
      </c>
      <c r="F312" t="b">
        <f>IFERROR(Table6[[#This Row],[companyid]]=DropDowns!$N$20,TRUE)</f>
        <v>1</v>
      </c>
      <c r="G312" t="b">
        <f>OR(Worksheet!$D$5="",Worksheet!$D$5=Table6[[#This Row],[categoryname]])</f>
        <v>1</v>
      </c>
      <c r="H312" t="b">
        <f>OR(Worksheet!$D$7="",Worksheet!$D$7=Table6[[#This Row],[Manufacturer]])</f>
        <v>1</v>
      </c>
      <c r="I312" t="b">
        <f>OR(Worksheet!$G$7="",Worksheet!$G$7=Table6[[#This Row],[Model No.]])</f>
        <v>1</v>
      </c>
      <c r="J312" t="b">
        <f>OR(Worksheet!$D$8="",Worksheet!$D$8=Table6[[#This Row],[Serial No.]])</f>
        <v>0</v>
      </c>
      <c r="K312" t="b">
        <f>AND(Table6[[#This Row],[categoryname2]:[SN2]])</f>
        <v>0</v>
      </c>
      <c r="L312" t="b">
        <f>AND(Table6[[#This Row],[companyid2]],Table6[[#This Row],[Manufacturer2]:[SN2]])</f>
        <v>0</v>
      </c>
      <c r="M312" t="b">
        <f>AND(Table6[[#This Row],[companyid2]:[categoryname2]],Table6[[#This Row],[Model2]:[SN2]])</f>
        <v>0</v>
      </c>
      <c r="N312" t="b">
        <f>AND(Table6[[#This Row],[companyid2]:[Manufacturer2]],Table6[[#This Row],[SN2]])</f>
        <v>0</v>
      </c>
      <c r="O312" t="b">
        <f>AND(Table6[[#This Row],[companyid2]:[Model2]])</f>
        <v>1</v>
      </c>
    </row>
    <row r="313" spans="1:15" x14ac:dyDescent="0.25">
      <c r="A313">
        <v>79875</v>
      </c>
      <c r="B313" t="s">
        <v>884</v>
      </c>
      <c r="C313" t="s">
        <v>1013</v>
      </c>
      <c r="D313" s="38">
        <v>3831</v>
      </c>
      <c r="E313" s="95" t="s">
        <v>1016</v>
      </c>
      <c r="F313" t="b">
        <f>IFERROR(Table6[[#This Row],[companyid]]=DropDowns!$N$20,TRUE)</f>
        <v>1</v>
      </c>
      <c r="G313" t="b">
        <f>OR(Worksheet!$D$5="",Worksheet!$D$5=Table6[[#This Row],[categoryname]])</f>
        <v>1</v>
      </c>
      <c r="H313" t="b">
        <f>OR(Worksheet!$D$7="",Worksheet!$D$7=Table6[[#This Row],[Manufacturer]])</f>
        <v>1</v>
      </c>
      <c r="I313" t="b">
        <f>OR(Worksheet!$G$7="",Worksheet!$G$7=Table6[[#This Row],[Model No.]])</f>
        <v>1</v>
      </c>
      <c r="J313" t="b">
        <f>OR(Worksheet!$D$8="",Worksheet!$D$8=Table6[[#This Row],[Serial No.]])</f>
        <v>0</v>
      </c>
      <c r="K313" t="b">
        <f>AND(Table6[[#This Row],[categoryname2]:[SN2]])</f>
        <v>0</v>
      </c>
      <c r="L313" t="b">
        <f>AND(Table6[[#This Row],[companyid2]],Table6[[#This Row],[Manufacturer2]:[SN2]])</f>
        <v>0</v>
      </c>
      <c r="M313" t="b">
        <f>AND(Table6[[#This Row],[companyid2]:[categoryname2]],Table6[[#This Row],[Model2]:[SN2]])</f>
        <v>0</v>
      </c>
      <c r="N313" t="b">
        <f>AND(Table6[[#This Row],[companyid2]:[Manufacturer2]],Table6[[#This Row],[SN2]])</f>
        <v>0</v>
      </c>
      <c r="O313" t="b">
        <f>AND(Table6[[#This Row],[companyid2]:[Model2]])</f>
        <v>1</v>
      </c>
    </row>
    <row r="314" spans="1:15" x14ac:dyDescent="0.25">
      <c r="A314">
        <v>87871</v>
      </c>
      <c r="B314" t="s">
        <v>884</v>
      </c>
      <c r="C314" t="s">
        <v>945</v>
      </c>
      <c r="D314" s="38" t="s">
        <v>947</v>
      </c>
      <c r="E314" s="95" t="s">
        <v>948</v>
      </c>
      <c r="F314" t="b">
        <f>IFERROR(Table6[[#This Row],[companyid]]=DropDowns!$N$20,TRUE)</f>
        <v>1</v>
      </c>
      <c r="G314" t="b">
        <f>OR(Worksheet!$D$5="",Worksheet!$D$5=Table6[[#This Row],[categoryname]])</f>
        <v>1</v>
      </c>
      <c r="H314" t="b">
        <f>OR(Worksheet!$D$7="",Worksheet!$D$7=Table6[[#This Row],[Manufacturer]])</f>
        <v>1</v>
      </c>
      <c r="I314" t="b">
        <f>OR(Worksheet!$G$7="",Worksheet!$G$7=Table6[[#This Row],[Model No.]])</f>
        <v>1</v>
      </c>
      <c r="J314" t="b">
        <f>OR(Worksheet!$D$8="",Worksheet!$D$8=Table6[[#This Row],[Serial No.]])</f>
        <v>0</v>
      </c>
      <c r="K314" t="b">
        <f>AND(Table6[[#This Row],[categoryname2]:[SN2]])</f>
        <v>0</v>
      </c>
      <c r="L314" t="b">
        <f>AND(Table6[[#This Row],[companyid2]],Table6[[#This Row],[Manufacturer2]:[SN2]])</f>
        <v>0</v>
      </c>
      <c r="M314" t="b">
        <f>AND(Table6[[#This Row],[companyid2]:[categoryname2]],Table6[[#This Row],[Model2]:[SN2]])</f>
        <v>0</v>
      </c>
      <c r="N314" t="b">
        <f>AND(Table6[[#This Row],[companyid2]:[Manufacturer2]],Table6[[#This Row],[SN2]])</f>
        <v>0</v>
      </c>
      <c r="O314" t="b">
        <f>AND(Table6[[#This Row],[companyid2]:[Model2]])</f>
        <v>1</v>
      </c>
    </row>
    <row r="315" spans="1:15" x14ac:dyDescent="0.25">
      <c r="A315">
        <v>114895</v>
      </c>
      <c r="B315" t="s">
        <v>884</v>
      </c>
      <c r="C315" t="s">
        <v>1024</v>
      </c>
      <c r="D315" s="38" t="s">
        <v>1025</v>
      </c>
      <c r="E315" s="95">
        <v>271550</v>
      </c>
      <c r="F315" t="b">
        <f>IFERROR(Table6[[#This Row],[companyid]]=DropDowns!$N$20,TRUE)</f>
        <v>1</v>
      </c>
      <c r="G315" t="b">
        <f>OR(Worksheet!$D$5="",Worksheet!$D$5=Table6[[#This Row],[categoryname]])</f>
        <v>1</v>
      </c>
      <c r="H315" t="b">
        <f>OR(Worksheet!$D$7="",Worksheet!$D$7=Table6[[#This Row],[Manufacturer]])</f>
        <v>1</v>
      </c>
      <c r="I315" t="b">
        <f>OR(Worksheet!$G$7="",Worksheet!$G$7=Table6[[#This Row],[Model No.]])</f>
        <v>1</v>
      </c>
      <c r="J315" t="b">
        <f>OR(Worksheet!$D$8="",Worksheet!$D$8=Table6[[#This Row],[Serial No.]])</f>
        <v>0</v>
      </c>
      <c r="K315" t="b">
        <f>AND(Table6[[#This Row],[categoryname2]:[SN2]])</f>
        <v>0</v>
      </c>
      <c r="L315" t="b">
        <f>AND(Table6[[#This Row],[companyid2]],Table6[[#This Row],[Manufacturer2]:[SN2]])</f>
        <v>0</v>
      </c>
      <c r="M315" t="b">
        <f>AND(Table6[[#This Row],[companyid2]:[categoryname2]],Table6[[#This Row],[Model2]:[SN2]])</f>
        <v>0</v>
      </c>
      <c r="N315" t="b">
        <f>AND(Table6[[#This Row],[companyid2]:[Manufacturer2]],Table6[[#This Row],[SN2]])</f>
        <v>0</v>
      </c>
      <c r="O315" t="b">
        <f>AND(Table6[[#This Row],[companyid2]:[Model2]])</f>
        <v>1</v>
      </c>
    </row>
    <row r="316" spans="1:15" x14ac:dyDescent="0.25">
      <c r="A316">
        <v>117081</v>
      </c>
      <c r="B316" t="s">
        <v>884</v>
      </c>
      <c r="C316" t="s">
        <v>942</v>
      </c>
      <c r="D316" s="38" t="s">
        <v>879</v>
      </c>
      <c r="E316" s="95" t="s">
        <v>943</v>
      </c>
      <c r="F316" t="b">
        <f>IFERROR(Table6[[#This Row],[companyid]]=DropDowns!$N$20,TRUE)</f>
        <v>1</v>
      </c>
      <c r="G316" t="b">
        <f>OR(Worksheet!$D$5="",Worksheet!$D$5=Table6[[#This Row],[categoryname]])</f>
        <v>1</v>
      </c>
      <c r="H316" t="b">
        <f>OR(Worksheet!$D$7="",Worksheet!$D$7=Table6[[#This Row],[Manufacturer]])</f>
        <v>1</v>
      </c>
      <c r="I316" t="b">
        <f>OR(Worksheet!$G$7="",Worksheet!$G$7=Table6[[#This Row],[Model No.]])</f>
        <v>1</v>
      </c>
      <c r="J316" t="b">
        <f>OR(Worksheet!$D$8="",Worksheet!$D$8=Table6[[#This Row],[Serial No.]])</f>
        <v>0</v>
      </c>
      <c r="K316" t="b">
        <f>AND(Table6[[#This Row],[categoryname2]:[SN2]])</f>
        <v>0</v>
      </c>
      <c r="L316" t="b">
        <f>AND(Table6[[#This Row],[companyid2]],Table6[[#This Row],[Manufacturer2]:[SN2]])</f>
        <v>0</v>
      </c>
      <c r="M316" t="b">
        <f>AND(Table6[[#This Row],[companyid2]:[categoryname2]],Table6[[#This Row],[Model2]:[SN2]])</f>
        <v>0</v>
      </c>
      <c r="N316" t="b">
        <f>AND(Table6[[#This Row],[companyid2]:[Manufacturer2]],Table6[[#This Row],[SN2]])</f>
        <v>0</v>
      </c>
      <c r="O316" t="b">
        <f>AND(Table6[[#This Row],[companyid2]:[Model2]])</f>
        <v>1</v>
      </c>
    </row>
  </sheetData>
  <sheetProtection algorithmName="SHA-512" hashValue="EEDVDGIk3MYbj8bK7H6VmQHWFlInPEqChlN50sVilQyUkXf5DbFhFEqz6lnjw3wGhLfBW1NkQsl9ItzS0neyCw==" saltValue="olzMeHvDl+O8RAxS4Fl1yw==" spinCount="100000" sheet="1" objects="1" scenarios="1"/>
  <phoneticPr fontId="31" type="noConversion"/>
  <conditionalFormatting sqref="A2:E316">
    <cfRule type="expression" dxfId="1" priority="6">
      <formula>$K2=TRUE</formula>
    </cfRule>
    <cfRule type="expression" dxfId="0" priority="7">
      <formula>F2=TRUE</formula>
    </cfRule>
  </conditionalFormatting>
  <pageMargins left="0.7" right="0.7" top="0.75" bottom="0.75" header="0.3" footer="0.3"/>
  <pageSetup orientation="portrait" horizontalDpi="4294967295" verticalDpi="4294967295"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BD7B-1D47-4774-8AD4-1314A34BD737}">
  <sheetPr codeName="Sheet6"/>
  <dimension ref="A1:CC1"/>
  <sheetViews>
    <sheetView topLeftCell="AX1" workbookViewId="0">
      <selection activeCell="BC18" sqref="BC18"/>
    </sheetView>
  </sheetViews>
  <sheetFormatPr defaultRowHeight="15" x14ac:dyDescent="0.25"/>
  <cols>
    <col min="1" max="1" width="14" bestFit="1" customWidth="1"/>
    <col min="2" max="2" width="13.85546875" bestFit="1" customWidth="1"/>
    <col min="3" max="3" width="81.140625" bestFit="1" customWidth="1"/>
    <col min="4" max="4" width="19.28515625" bestFit="1" customWidth="1"/>
    <col min="5" max="5" width="20.140625" bestFit="1" customWidth="1"/>
    <col min="6" max="6" width="16.7109375" bestFit="1" customWidth="1"/>
    <col min="7" max="7" width="16" bestFit="1" customWidth="1"/>
    <col min="8" max="8" width="14.140625" bestFit="1" customWidth="1"/>
    <col min="9" max="9" width="14.28515625" bestFit="1" customWidth="1"/>
    <col min="10" max="10" width="12.140625" bestFit="1" customWidth="1"/>
    <col min="11" max="11" width="26.28515625" bestFit="1" customWidth="1"/>
    <col min="12" max="12" width="22.28515625" bestFit="1" customWidth="1"/>
    <col min="13" max="13" width="22.42578125" bestFit="1" customWidth="1"/>
    <col min="14" max="14" width="20.28515625" bestFit="1" customWidth="1"/>
    <col min="15" max="15" width="34.140625" bestFit="1" customWidth="1"/>
    <col min="16" max="16" width="20" bestFit="1" customWidth="1"/>
    <col min="17" max="17" width="19.140625" bestFit="1" customWidth="1"/>
    <col min="18" max="18" width="13.5703125" bestFit="1" customWidth="1"/>
    <col min="19" max="19" width="20.5703125" bestFit="1" customWidth="1"/>
    <col min="20" max="20" width="11.42578125" bestFit="1" customWidth="1"/>
    <col min="21" max="21" width="18.85546875" bestFit="1" customWidth="1"/>
    <col min="22" max="22" width="18.42578125" bestFit="1" customWidth="1"/>
    <col min="23" max="23" width="14.7109375" bestFit="1" customWidth="1"/>
    <col min="24" max="24" width="18.85546875" bestFit="1" customWidth="1"/>
    <col min="25" max="25" width="20.85546875" bestFit="1" customWidth="1"/>
    <col min="26" max="26" width="17.140625" bestFit="1" customWidth="1"/>
    <col min="27" max="27" width="14.85546875" bestFit="1" customWidth="1"/>
    <col min="28" max="28" width="13.140625" bestFit="1" customWidth="1"/>
    <col min="29" max="29" width="16.42578125" bestFit="1" customWidth="1"/>
    <col min="30" max="30" width="14.140625" bestFit="1" customWidth="1"/>
    <col min="31" max="31" width="18.5703125" bestFit="1" customWidth="1"/>
    <col min="32" max="32" width="21" bestFit="1" customWidth="1"/>
    <col min="33" max="33" width="18.7109375" bestFit="1" customWidth="1"/>
    <col min="34" max="34" width="22.7109375" bestFit="1" customWidth="1"/>
    <col min="35" max="35" width="20.5703125" bestFit="1" customWidth="1"/>
    <col min="36" max="36" width="21.5703125" bestFit="1" customWidth="1"/>
    <col min="37" max="37" width="20.42578125" bestFit="1" customWidth="1"/>
    <col min="38" max="38" width="14.7109375" bestFit="1" customWidth="1"/>
    <col min="39" max="39" width="14.42578125" bestFit="1" customWidth="1"/>
    <col min="40" max="40" width="19.140625" bestFit="1" customWidth="1"/>
    <col min="41" max="41" width="31.42578125" bestFit="1" customWidth="1"/>
    <col min="42" max="42" width="30.7109375" bestFit="1" customWidth="1"/>
    <col min="43" max="43" width="19.85546875" bestFit="1" customWidth="1"/>
    <col min="44" max="44" width="23.7109375" bestFit="1" customWidth="1"/>
    <col min="45" max="45" width="14.28515625" bestFit="1" customWidth="1"/>
    <col min="46" max="46" width="16.7109375" bestFit="1" customWidth="1"/>
    <col min="47" max="47" width="14.42578125" bestFit="1" customWidth="1"/>
    <col min="48" max="48" width="15.7109375" bestFit="1" customWidth="1"/>
    <col min="49" max="49" width="22.42578125" bestFit="1" customWidth="1"/>
    <col min="50" max="50" width="11.140625" bestFit="1" customWidth="1"/>
    <col min="51" max="51" width="40.28515625" bestFit="1" customWidth="1"/>
    <col min="52" max="52" width="17.85546875" bestFit="1" customWidth="1"/>
    <col min="53" max="53" width="19" bestFit="1" customWidth="1"/>
    <col min="54" max="54" width="9.85546875" bestFit="1" customWidth="1"/>
    <col min="55" max="55" width="36.28515625" bestFit="1" customWidth="1"/>
    <col min="56" max="56" width="49.42578125" bestFit="1" customWidth="1"/>
    <col min="57" max="57" width="17" bestFit="1" customWidth="1"/>
    <col min="58" max="58" width="13.28515625" bestFit="1" customWidth="1"/>
    <col min="59" max="59" width="44.42578125" bestFit="1" customWidth="1"/>
    <col min="60" max="60" width="18.28515625" bestFit="1" customWidth="1"/>
    <col min="61" max="61" width="18.7109375" bestFit="1" customWidth="1"/>
    <col min="62" max="62" width="20.140625" bestFit="1" customWidth="1"/>
    <col min="63" max="63" width="81.140625" bestFit="1" customWidth="1"/>
    <col min="64" max="64" width="20.5703125" bestFit="1" customWidth="1"/>
    <col min="65" max="65" width="16.7109375" bestFit="1" customWidth="1"/>
    <col min="66" max="66" width="31.42578125" bestFit="1" customWidth="1"/>
    <col min="67" max="67" width="16" bestFit="1" customWidth="1"/>
    <col min="68" max="68" width="16.140625" bestFit="1" customWidth="1"/>
    <col min="69" max="69" width="13.85546875" bestFit="1" customWidth="1"/>
    <col min="70" max="70" width="28.140625" bestFit="1" customWidth="1"/>
    <col min="71" max="71" width="22.7109375" bestFit="1" customWidth="1"/>
    <col min="72" max="72" width="20.140625" bestFit="1" customWidth="1"/>
    <col min="73" max="75" width="18.85546875" bestFit="1" customWidth="1"/>
    <col min="76" max="76" width="19.85546875" bestFit="1" customWidth="1"/>
    <col min="77" max="77" width="72.7109375" bestFit="1" customWidth="1"/>
    <col min="78" max="78" width="16.85546875" bestFit="1" customWidth="1"/>
    <col min="79" max="79" width="12.85546875" bestFit="1" customWidth="1"/>
    <col min="80" max="80" width="10.85546875" bestFit="1" customWidth="1"/>
    <col min="81" max="81" width="18" bestFit="1" customWidth="1"/>
  </cols>
  <sheetData>
    <row r="1" spans="1:81" x14ac:dyDescent="0.25">
      <c r="A1" t="s">
        <v>1228</v>
      </c>
      <c r="B1" t="s">
        <v>1227</v>
      </c>
      <c r="C1" t="s">
        <v>1226</v>
      </c>
      <c r="D1" t="s">
        <v>1225</v>
      </c>
      <c r="E1" t="s">
        <v>1224</v>
      </c>
      <c r="F1" t="s">
        <v>1223</v>
      </c>
      <c r="G1" t="s">
        <v>1222</v>
      </c>
      <c r="H1" t="s">
        <v>1221</v>
      </c>
      <c r="I1" t="s">
        <v>1220</v>
      </c>
      <c r="J1" t="s">
        <v>1219</v>
      </c>
      <c r="K1" t="s">
        <v>1218</v>
      </c>
      <c r="L1" t="s">
        <v>1217</v>
      </c>
      <c r="M1" t="s">
        <v>1216</v>
      </c>
      <c r="N1" t="s">
        <v>1215</v>
      </c>
      <c r="O1" t="s">
        <v>1214</v>
      </c>
      <c r="P1" t="s">
        <v>1213</v>
      </c>
      <c r="Q1" t="s">
        <v>1212</v>
      </c>
      <c r="R1" t="s">
        <v>1211</v>
      </c>
      <c r="S1" t="s">
        <v>1210</v>
      </c>
      <c r="T1" t="s">
        <v>1209</v>
      </c>
      <c r="U1" t="s">
        <v>1208</v>
      </c>
      <c r="V1" t="s">
        <v>1207</v>
      </c>
      <c r="W1" t="s">
        <v>1206</v>
      </c>
      <c r="X1" t="s">
        <v>1205</v>
      </c>
      <c r="Y1" t="s">
        <v>1204</v>
      </c>
      <c r="Z1" t="s">
        <v>1203</v>
      </c>
      <c r="AA1" t="s">
        <v>1202</v>
      </c>
      <c r="AB1" t="s">
        <v>1201</v>
      </c>
      <c r="AC1" t="s">
        <v>1200</v>
      </c>
      <c r="AD1" t="s">
        <v>1199</v>
      </c>
      <c r="AE1" t="s">
        <v>1198</v>
      </c>
      <c r="AF1" t="s">
        <v>1197</v>
      </c>
      <c r="AG1" t="s">
        <v>1196</v>
      </c>
      <c r="AH1" t="s">
        <v>1195</v>
      </c>
      <c r="AI1" t="s">
        <v>1194</v>
      </c>
      <c r="AJ1" t="s">
        <v>1193</v>
      </c>
      <c r="AK1" t="s">
        <v>1192</v>
      </c>
      <c r="AL1" t="s">
        <v>1191</v>
      </c>
      <c r="AM1" t="s">
        <v>1190</v>
      </c>
      <c r="AN1" t="s">
        <v>1189</v>
      </c>
      <c r="AO1" t="s">
        <v>1188</v>
      </c>
      <c r="AP1" t="s">
        <v>1187</v>
      </c>
      <c r="AQ1" t="s">
        <v>1186</v>
      </c>
      <c r="AR1" t="s">
        <v>1185</v>
      </c>
      <c r="AS1" t="s">
        <v>1184</v>
      </c>
      <c r="AT1" t="s">
        <v>1183</v>
      </c>
      <c r="AU1" t="s">
        <v>1182</v>
      </c>
      <c r="AV1" t="s">
        <v>1181</v>
      </c>
      <c r="AW1" t="s">
        <v>1180</v>
      </c>
      <c r="AX1" t="s">
        <v>1179</v>
      </c>
      <c r="AY1" t="s">
        <v>1178</v>
      </c>
      <c r="AZ1" t="s">
        <v>1177</v>
      </c>
      <c r="BA1" t="s">
        <v>1176</v>
      </c>
      <c r="BB1" t="s">
        <v>1175</v>
      </c>
      <c r="BC1" t="s">
        <v>1174</v>
      </c>
      <c r="BD1" t="s">
        <v>1173</v>
      </c>
      <c r="BE1" t="s">
        <v>1172</v>
      </c>
      <c r="BF1" t="s">
        <v>1171</v>
      </c>
      <c r="BG1" t="s">
        <v>1170</v>
      </c>
      <c r="BH1" t="s">
        <v>1169</v>
      </c>
      <c r="BI1" t="s">
        <v>1168</v>
      </c>
      <c r="BJ1" t="s">
        <v>1167</v>
      </c>
      <c r="BK1" t="s">
        <v>1166</v>
      </c>
      <c r="BL1" t="s">
        <v>1165</v>
      </c>
      <c r="BM1" t="s">
        <v>1164</v>
      </c>
      <c r="BN1" t="s">
        <v>1163</v>
      </c>
      <c r="BO1" t="s">
        <v>1162</v>
      </c>
      <c r="BP1" t="s">
        <v>1161</v>
      </c>
      <c r="BQ1" t="s">
        <v>1160</v>
      </c>
      <c r="BR1" t="s">
        <v>1159</v>
      </c>
      <c r="BS1" t="s">
        <v>1158</v>
      </c>
      <c r="BT1" t="s">
        <v>1157</v>
      </c>
      <c r="BU1" t="s">
        <v>1156</v>
      </c>
      <c r="BV1" t="s">
        <v>1155</v>
      </c>
      <c r="BW1" t="s">
        <v>1154</v>
      </c>
      <c r="BX1" t="s">
        <v>1153</v>
      </c>
      <c r="BY1" t="s">
        <v>1152</v>
      </c>
      <c r="BZ1" t="s">
        <v>1151</v>
      </c>
      <c r="CA1" t="s">
        <v>1150</v>
      </c>
      <c r="CB1" t="s">
        <v>1149</v>
      </c>
      <c r="CC1" t="s">
        <v>1148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Worksheet</vt:lpstr>
      <vt:lpstr>Logo Page</vt:lpstr>
      <vt:lpstr>Filter Cert Data</vt:lpstr>
      <vt:lpstr>CERT AF</vt:lpstr>
      <vt:lpstr>CERT AL</vt:lpstr>
      <vt:lpstr>DropDowns</vt:lpstr>
      <vt:lpstr>MUG Table</vt:lpstr>
      <vt:lpstr>Addresses</vt:lpstr>
      <vt:lpstr>UUTs</vt:lpstr>
      <vt:lpstr>A2LA</vt:lpstr>
      <vt:lpstr>AssetId</vt:lpstr>
      <vt:lpstr>Blank</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2025-04-23T23:39:37Z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