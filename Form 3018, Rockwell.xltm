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Rockwell-Form-3018\"/>
    </mc:Choice>
  </mc:AlternateContent>
  <xr:revisionPtr revIDLastSave="0" documentId="13_ncr:1_{81F384C8-5B8A-475B-88BC-0BF218A6D6AE}" xr6:coauthVersionLast="47" xr6:coauthVersionMax="47" xr10:uidLastSave="{00000000-0000-0000-0000-000000000000}"/>
  <bookViews>
    <workbookView xWindow="-120" yWindow="-120" windowWidth="29040" windowHeight="15720" xr2:uid="{00000000-000D-0000-FFFF-FFFF00000000}"/>
  </bookViews>
  <sheets>
    <sheet name="Worksheet" sheetId="1" r:id="rId1"/>
    <sheet name="Logo Page" sheetId="5" state="hidden" r:id="rId2"/>
    <sheet name="Filter Cert Data" sheetId="29" state="hidden" r:id="rId3"/>
    <sheet name="CERT AF" sheetId="7" r:id="rId4"/>
    <sheet name="CERT AL" sheetId="2" r:id="rId5"/>
    <sheet name="DropDowns" sheetId="3" r:id="rId6"/>
    <sheet name="MUG Table" sheetId="4" state="hidden" r:id="rId7"/>
    <sheet name="Tables" sheetId="16" state="veryHidden" r:id="rId8"/>
    <sheet name="Addresses" sheetId="15" r:id="rId9"/>
    <sheet name="UUT" sheetId="34" state="veryHidden" r:id="rId10"/>
    <sheet name="ServiceOrderItems" sheetId="30" state="veryHidden" r:id="rId11"/>
  </sheets>
  <functionGroups builtInGroupCount="19"/>
  <definedNames>
    <definedName name="_xleta.IF" hidden="1" xlm="1">#NAME?</definedName>
    <definedName name="_xleta.IFERROR" hidden="1" xlm="1">#NAME?</definedName>
    <definedName name="_xleta.N" hidden="1" xlm="1">#NAME?</definedName>
    <definedName name="_xleta.NA" hidden="1" xlm="1">#NAME?</definedName>
    <definedName name="_xleta.REGEXTEST" hidden="1" xlm="1">#NAME?</definedName>
    <definedName name="_xleta.SWITCH" hidden="1" xlm="1">#NAME?</definedName>
    <definedName name="A2LA">'Logo Page'!$B$2</definedName>
    <definedName name="AssetId">ServiceOrderItems[AssetId]</definedName>
    <definedName name="Blank">'Logo Page'!$C$2</definedName>
    <definedName name="ClientAssets_GetAssetByAssetId__1" localSheetId="9" hidden="1">UUT!$A$1:$AT$2</definedName>
    <definedName name="ClientCompanyId">ServiceOrderItems[ClientCompanyId]</definedName>
    <definedName name="Comments">DropDowns!$H$3:$H$7</definedName>
    <definedName name="CommentsAF">DropDowns!$H$13:$H$15</definedName>
    <definedName name="CommentsAL">DropDowns!$H$3:$H$8</definedName>
    <definedName name="Condition">DropDowns!$D$3:$D$4</definedName>
    <definedName name="ExternalData_4" localSheetId="7" hidden="1">Tables!$R$3:$U$16</definedName>
    <definedName name="Image">INDIRECT('Logo Page'!$A$1)</definedName>
    <definedName name="Locator">Worksheet!$LCB$524277</definedName>
    <definedName name="Picture">INDIRECT('Logo Page'!$A$1)</definedName>
    <definedName name="_xlnm.Print_Area" localSheetId="3">'CERT AF'!$A$1:$M$62</definedName>
    <definedName name="_xlnm.Print_Area" localSheetId="4">'CERT AL'!$A$1:$M$62</definedName>
    <definedName name="_xlnm.Print_Area" localSheetId="0">Worksheet!$A$1:$V$47</definedName>
    <definedName name="ResultsAF">DropDowns!$I$13:$I$15</definedName>
    <definedName name="ResultsAL">DropDowns!$I$3:$I$8</definedName>
    <definedName name="Scales">DropDowns!$B$11:$B$24</definedName>
    <definedName name="ServiceOrderItems_GetWorkItems" localSheetId="10" hidden="1">ServiceOrderItems!$A$1:$CC$2</definedName>
    <definedName name="WorkItemNumber">Worksheet!$D$3</definedName>
    <definedName name="yesno">DropDowns!$B$3:$B$5</definedName>
    <definedName name="yesno2">DropDowns!$B$3:$B$5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 r="D7" i="1"/>
  <c r="D5" i="1"/>
  <c r="D8" i="1" a="1"/>
  <c r="D8" i="1" s="1"/>
  <c r="L44" i="29"/>
  <c r="L45" i="29"/>
  <c r="L46" i="29"/>
  <c r="L48" i="29"/>
  <c r="L49" i="29"/>
  <c r="L50" i="29"/>
  <c r="L52" i="29"/>
  <c r="L53" i="29"/>
  <c r="L54" i="29"/>
  <c r="L56" i="29"/>
  <c r="L57" i="29"/>
  <c r="L58" i="29"/>
  <c r="L60" i="29"/>
  <c r="L61" i="29"/>
  <c r="L62" i="29"/>
  <c r="L38" i="29"/>
  <c r="L37" i="29"/>
  <c r="L36" i="29"/>
  <c r="L10" i="29"/>
  <c r="L11" i="29"/>
  <c r="L12" i="29"/>
  <c r="L14" i="29"/>
  <c r="L15" i="29"/>
  <c r="L16" i="29"/>
  <c r="L18" i="29"/>
  <c r="L19" i="29"/>
  <c r="L20" i="29"/>
  <c r="L22" i="29"/>
  <c r="L23" i="29"/>
  <c r="L24" i="29"/>
  <c r="L26" i="29"/>
  <c r="L27" i="29"/>
  <c r="L28" i="29"/>
  <c r="L30" i="29"/>
  <c r="L31" i="29"/>
  <c r="L32" i="29"/>
  <c r="L8" i="29"/>
  <c r="L7" i="29"/>
  <c r="L6" i="29"/>
  <c r="A62" i="29"/>
  <c r="A61" i="29"/>
  <c r="A60" i="29"/>
  <c r="A58" i="29"/>
  <c r="A57" i="29"/>
  <c r="A56" i="29"/>
  <c r="A54" i="29"/>
  <c r="A53" i="29"/>
  <c r="A52" i="29"/>
  <c r="A50" i="29"/>
  <c r="A49" i="29"/>
  <c r="A48" i="29"/>
  <c r="A46" i="29"/>
  <c r="A45" i="29"/>
  <c r="A44" i="29"/>
  <c r="A42" i="29"/>
  <c r="A41" i="29"/>
  <c r="A40" i="29"/>
  <c r="A38" i="29"/>
  <c r="A37" i="29"/>
  <c r="A36" i="29"/>
  <c r="B2" i="29"/>
  <c r="V34" i="1"/>
  <c r="V35" i="1"/>
  <c r="V36" i="1"/>
  <c r="V38" i="1"/>
  <c r="V39" i="1"/>
  <c r="V40" i="1"/>
  <c r="V42" i="1"/>
  <c r="V43" i="1"/>
  <c r="V44" i="1"/>
  <c r="A8" i="29"/>
  <c r="A32" i="29"/>
  <c r="A31" i="29"/>
  <c r="A30" i="29"/>
  <c r="A28" i="29"/>
  <c r="A27" i="29"/>
  <c r="A26" i="29"/>
  <c r="A24" i="29"/>
  <c r="A23" i="29"/>
  <c r="A22" i="29"/>
  <c r="A20" i="29"/>
  <c r="A19" i="29"/>
  <c r="A18" i="29"/>
  <c r="A16" i="29"/>
  <c r="A15" i="29"/>
  <c r="A14" i="29"/>
  <c r="A7" i="29"/>
  <c r="A6" i="29"/>
  <c r="A2" i="29"/>
  <c r="P6" i="29"/>
  <c r="O54" i="2"/>
  <c r="O54" i="7" l="1"/>
  <c r="O46" i="1"/>
  <c r="O47" i="1"/>
  <c r="B58" i="2" l="1"/>
  <c r="B58" i="7"/>
  <c r="A1" i="5"/>
  <c r="B44" i="1"/>
  <c r="B43" i="1"/>
  <c r="B42" i="1"/>
  <c r="B40" i="1"/>
  <c r="B39" i="1"/>
  <c r="B38" i="1"/>
  <c r="B36" i="1"/>
  <c r="B35" i="1"/>
  <c r="B34" i="1"/>
  <c r="B32" i="1"/>
  <c r="B31" i="1"/>
  <c r="B30" i="1"/>
  <c r="B28" i="1"/>
  <c r="B27" i="1"/>
  <c r="B26" i="1"/>
  <c r="B24" i="1"/>
  <c r="B23" i="1"/>
  <c r="B22" i="1"/>
  <c r="B20" i="1"/>
  <c r="B19" i="1"/>
  <c r="B18" i="1"/>
  <c r="V24" i="1" l="1"/>
  <c r="V22" i="1"/>
  <c r="V23" i="1"/>
  <c r="V26" i="1"/>
  <c r="V27" i="1"/>
  <c r="V28" i="1"/>
  <c r="V30" i="1"/>
  <c r="V31" i="1"/>
  <c r="V32" i="1"/>
  <c r="V19" i="1"/>
  <c r="V20" i="1"/>
  <c r="V18" i="1"/>
  <c r="J37" i="4"/>
  <c r="J38"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C36" i="29" l="1"/>
  <c r="I7" i="1"/>
  <c r="D6" i="29"/>
  <c r="D7" i="29"/>
  <c r="K7" i="29"/>
  <c r="D8" i="29"/>
  <c r="K8" i="29"/>
  <c r="P10" i="29"/>
  <c r="A10" i="29" s="1"/>
  <c r="P11" i="29"/>
  <c r="A11" i="29" s="1"/>
  <c r="P12" i="29"/>
  <c r="A12" i="29" s="1"/>
  <c r="P14" i="29"/>
  <c r="P15" i="29"/>
  <c r="P16" i="29"/>
  <c r="P18" i="29"/>
  <c r="P19" i="29"/>
  <c r="P20" i="29"/>
  <c r="P22" i="29"/>
  <c r="P23" i="29"/>
  <c r="P24" i="29"/>
  <c r="P26" i="29"/>
  <c r="P27" i="29"/>
  <c r="P28" i="29"/>
  <c r="P30" i="29"/>
  <c r="P31" i="29"/>
  <c r="P32" i="29"/>
  <c r="P7" i="29"/>
  <c r="P8" i="29"/>
  <c r="P40" i="29"/>
  <c r="P41" i="29"/>
  <c r="P42" i="29"/>
  <c r="P44" i="29"/>
  <c r="P45" i="29"/>
  <c r="P46" i="29"/>
  <c r="P48" i="29"/>
  <c r="P49" i="29"/>
  <c r="P50" i="29"/>
  <c r="P52" i="29"/>
  <c r="P53" i="29"/>
  <c r="P54" i="29"/>
  <c r="P56" i="29"/>
  <c r="P57" i="29"/>
  <c r="P58" i="29"/>
  <c r="P60" i="29"/>
  <c r="P61" i="29"/>
  <c r="P62" i="29"/>
  <c r="P36" i="29"/>
  <c r="P37" i="29"/>
  <c r="P38" i="29"/>
  <c r="B10" i="29"/>
  <c r="B11" i="29"/>
  <c r="B12" i="29"/>
  <c r="B14" i="29"/>
  <c r="B15" i="29"/>
  <c r="B16" i="29"/>
  <c r="B18" i="29"/>
  <c r="B19" i="29"/>
  <c r="B20" i="29"/>
  <c r="B22" i="29"/>
  <c r="B23" i="29"/>
  <c r="B24" i="29"/>
  <c r="B26" i="29"/>
  <c r="B27" i="29"/>
  <c r="B28" i="29"/>
  <c r="B30" i="29"/>
  <c r="B31" i="29"/>
  <c r="B32" i="29"/>
  <c r="B8" i="29"/>
  <c r="B7" i="29"/>
  <c r="B6" i="29"/>
  <c r="N20" i="3"/>
  <c r="N16" i="16"/>
  <c r="B12" i="3" a="1"/>
  <c r="B12" i="3" s="1"/>
  <c r="B5" i="16"/>
  <c r="B6" i="16"/>
  <c r="B7" i="16"/>
  <c r="B8" i="16"/>
  <c r="B9" i="16"/>
  <c r="B10" i="16"/>
  <c r="B11" i="16"/>
  <c r="B12" i="16"/>
  <c r="B13" i="16"/>
  <c r="B14" i="16"/>
  <c r="B15" i="16"/>
  <c r="B4" i="16"/>
  <c r="D5" i="16"/>
  <c r="D6" i="16"/>
  <c r="D7" i="16"/>
  <c r="D8" i="16"/>
  <c r="D9" i="16"/>
  <c r="D10" i="16"/>
  <c r="D11" i="16"/>
  <c r="D12" i="16"/>
  <c r="D13" i="16"/>
  <c r="D14" i="16"/>
  <c r="D15" i="16"/>
  <c r="D16" i="16"/>
  <c r="D4" i="16"/>
  <c r="C10" i="16"/>
  <c r="C11" i="16"/>
  <c r="C12" i="16"/>
  <c r="C13" i="16"/>
  <c r="C14" i="16"/>
  <c r="C15" i="16"/>
  <c r="C16" i="16"/>
  <c r="C5" i="16"/>
  <c r="C6" i="16"/>
  <c r="C7" i="16"/>
  <c r="C8" i="16"/>
  <c r="C4" i="16"/>
  <c r="AB22" i="1"/>
  <c r="AC22" i="1"/>
  <c r="AB23" i="1"/>
  <c r="AC23" i="1"/>
  <c r="AB24" i="1"/>
  <c r="AC24" i="1"/>
  <c r="AB26" i="1"/>
  <c r="AC26" i="1"/>
  <c r="AB27" i="1"/>
  <c r="AC27" i="1"/>
  <c r="AB28" i="1"/>
  <c r="AC28" i="1"/>
  <c r="AB30" i="1"/>
  <c r="AC30" i="1"/>
  <c r="AB31" i="1"/>
  <c r="AC31" i="1"/>
  <c r="AB32" i="1"/>
  <c r="AC32" i="1"/>
  <c r="AB34" i="1"/>
  <c r="AC34" i="1"/>
  <c r="AB35" i="1"/>
  <c r="AC35" i="1"/>
  <c r="AB36" i="1"/>
  <c r="AC36" i="1"/>
  <c r="AB38" i="1"/>
  <c r="AC38" i="1"/>
  <c r="AB39" i="1"/>
  <c r="AC39" i="1"/>
  <c r="AB40" i="1"/>
  <c r="AC40" i="1"/>
  <c r="AB42" i="1"/>
  <c r="AC42" i="1"/>
  <c r="AB43" i="1"/>
  <c r="AC43" i="1"/>
  <c r="AB44" i="1"/>
  <c r="AC44" i="1"/>
  <c r="K32" i="29" l="1"/>
  <c r="J32" i="29"/>
  <c r="I32" i="29"/>
  <c r="H32" i="29"/>
  <c r="D32" i="29"/>
  <c r="C32" i="29"/>
  <c r="K31" i="29"/>
  <c r="J31" i="29"/>
  <c r="I31" i="29"/>
  <c r="H31" i="29"/>
  <c r="D31" i="29"/>
  <c r="C31" i="29"/>
  <c r="K30" i="29"/>
  <c r="J30" i="29"/>
  <c r="I30" i="29"/>
  <c r="H30" i="29"/>
  <c r="D30" i="29"/>
  <c r="C30" i="29"/>
  <c r="K28" i="29"/>
  <c r="J28" i="29"/>
  <c r="I28" i="29"/>
  <c r="H28" i="29"/>
  <c r="D28" i="29"/>
  <c r="C28" i="29"/>
  <c r="K27" i="29"/>
  <c r="J27" i="29"/>
  <c r="I27" i="29"/>
  <c r="H27" i="29"/>
  <c r="D27" i="29"/>
  <c r="C27" i="29"/>
  <c r="K26" i="29"/>
  <c r="J26" i="29"/>
  <c r="I26" i="29"/>
  <c r="H26" i="29"/>
  <c r="D26" i="29"/>
  <c r="C26" i="29"/>
  <c r="K24" i="29"/>
  <c r="J24" i="29"/>
  <c r="I24" i="29"/>
  <c r="H24" i="29"/>
  <c r="D24" i="29"/>
  <c r="C24" i="29"/>
  <c r="K23" i="29"/>
  <c r="J23" i="29"/>
  <c r="I23" i="29"/>
  <c r="H23" i="29"/>
  <c r="D23" i="29"/>
  <c r="C23" i="29"/>
  <c r="K22" i="29"/>
  <c r="J22" i="29"/>
  <c r="I22" i="29"/>
  <c r="H22" i="29"/>
  <c r="D22" i="29"/>
  <c r="C22" i="29"/>
  <c r="K20" i="29"/>
  <c r="J20" i="29"/>
  <c r="I20" i="29"/>
  <c r="H20" i="29"/>
  <c r="D20" i="29"/>
  <c r="C20" i="29"/>
  <c r="K19" i="29"/>
  <c r="J19" i="29"/>
  <c r="I19" i="29"/>
  <c r="H19" i="29"/>
  <c r="D19" i="29"/>
  <c r="C19" i="29"/>
  <c r="K18" i="29"/>
  <c r="J18" i="29"/>
  <c r="I18" i="29"/>
  <c r="H18" i="29"/>
  <c r="D18" i="29"/>
  <c r="C18" i="29"/>
  <c r="K16" i="29"/>
  <c r="J16" i="29"/>
  <c r="I16" i="29"/>
  <c r="H16" i="29"/>
  <c r="D16" i="29"/>
  <c r="C16" i="29"/>
  <c r="K15" i="29"/>
  <c r="J15" i="29"/>
  <c r="I15" i="29"/>
  <c r="H15" i="29"/>
  <c r="D15" i="29"/>
  <c r="C15" i="29"/>
  <c r="K14" i="29"/>
  <c r="J14" i="29"/>
  <c r="I14" i="29"/>
  <c r="H14" i="29"/>
  <c r="D14" i="29"/>
  <c r="C14" i="29"/>
  <c r="D12" i="29"/>
  <c r="C12" i="29"/>
  <c r="K11" i="29"/>
  <c r="D11" i="29"/>
  <c r="C11" i="29"/>
  <c r="D10" i="29"/>
  <c r="C10" i="29"/>
  <c r="C8" i="29"/>
  <c r="C7" i="29"/>
  <c r="C6" i="29"/>
  <c r="K62" i="29"/>
  <c r="G62" i="29"/>
  <c r="F62" i="29"/>
  <c r="E62" i="29"/>
  <c r="D62" i="29"/>
  <c r="C62" i="29"/>
  <c r="B62" i="29"/>
  <c r="K61" i="29"/>
  <c r="G61" i="29"/>
  <c r="F61" i="29"/>
  <c r="E61" i="29"/>
  <c r="D61" i="29"/>
  <c r="C61" i="29"/>
  <c r="B61" i="29"/>
  <c r="K60" i="29"/>
  <c r="G60" i="29"/>
  <c r="F60" i="29"/>
  <c r="E60" i="29"/>
  <c r="D60" i="29"/>
  <c r="C60" i="29"/>
  <c r="B60" i="29"/>
  <c r="K58" i="29"/>
  <c r="G58" i="29"/>
  <c r="F58" i="29"/>
  <c r="E58" i="29"/>
  <c r="D58" i="29"/>
  <c r="C58" i="29"/>
  <c r="B58" i="29"/>
  <c r="K57" i="29"/>
  <c r="G57" i="29"/>
  <c r="F57" i="29"/>
  <c r="E57" i="29"/>
  <c r="D57" i="29"/>
  <c r="C57" i="29"/>
  <c r="B57" i="29"/>
  <c r="K56" i="29"/>
  <c r="G56" i="29"/>
  <c r="F56" i="29"/>
  <c r="E56" i="29"/>
  <c r="D56" i="29"/>
  <c r="C56" i="29"/>
  <c r="B56" i="29"/>
  <c r="K54" i="29"/>
  <c r="G54" i="29"/>
  <c r="F54" i="29"/>
  <c r="E54" i="29"/>
  <c r="D54" i="29"/>
  <c r="C54" i="29"/>
  <c r="B54" i="29"/>
  <c r="K53" i="29"/>
  <c r="G53" i="29"/>
  <c r="F53" i="29"/>
  <c r="E53" i="29"/>
  <c r="D53" i="29"/>
  <c r="C53" i="29"/>
  <c r="B53" i="29"/>
  <c r="K52" i="29"/>
  <c r="G52" i="29"/>
  <c r="F52" i="29"/>
  <c r="E52" i="29"/>
  <c r="D52" i="29"/>
  <c r="C52" i="29"/>
  <c r="B52" i="29"/>
  <c r="K50" i="29"/>
  <c r="G50" i="29"/>
  <c r="F50" i="29"/>
  <c r="E50" i="29"/>
  <c r="D50" i="29"/>
  <c r="C50" i="29"/>
  <c r="B50" i="29"/>
  <c r="K49" i="29"/>
  <c r="G49" i="29"/>
  <c r="F49" i="29"/>
  <c r="E49" i="29"/>
  <c r="D49" i="29"/>
  <c r="C49" i="29"/>
  <c r="B49" i="29"/>
  <c r="K48" i="29"/>
  <c r="G48" i="29"/>
  <c r="F48" i="29"/>
  <c r="E48" i="29"/>
  <c r="D48" i="29"/>
  <c r="C48" i="29"/>
  <c r="B48" i="29"/>
  <c r="K46" i="29"/>
  <c r="G46" i="29"/>
  <c r="F46" i="29"/>
  <c r="E46" i="29"/>
  <c r="D46" i="29"/>
  <c r="C46" i="29"/>
  <c r="B46" i="29"/>
  <c r="K45" i="29"/>
  <c r="G45" i="29"/>
  <c r="F45" i="29"/>
  <c r="E45" i="29"/>
  <c r="D45" i="29"/>
  <c r="C45" i="29"/>
  <c r="B45" i="29"/>
  <c r="K44" i="29"/>
  <c r="G44" i="29"/>
  <c r="F44" i="29"/>
  <c r="E44" i="29"/>
  <c r="D44" i="29"/>
  <c r="C44" i="29"/>
  <c r="B44" i="29"/>
  <c r="G42" i="29"/>
  <c r="F42" i="29"/>
  <c r="E42" i="29"/>
  <c r="D42" i="29"/>
  <c r="C42" i="29"/>
  <c r="B42" i="29"/>
  <c r="G41" i="29"/>
  <c r="F41" i="29"/>
  <c r="E41" i="29"/>
  <c r="D41" i="29"/>
  <c r="C41" i="29"/>
  <c r="B41" i="29"/>
  <c r="G40" i="29"/>
  <c r="F40" i="29"/>
  <c r="E40" i="29"/>
  <c r="D40" i="29"/>
  <c r="C40" i="29"/>
  <c r="B40" i="29"/>
  <c r="G38" i="29"/>
  <c r="F38" i="29"/>
  <c r="E38" i="29"/>
  <c r="D38" i="29"/>
  <c r="C38" i="29"/>
  <c r="B38" i="29"/>
  <c r="G37" i="29"/>
  <c r="F37" i="29"/>
  <c r="E37" i="29"/>
  <c r="D37" i="29"/>
  <c r="C37" i="29"/>
  <c r="B37" i="29"/>
  <c r="G36" i="29"/>
  <c r="F36" i="29"/>
  <c r="E36" i="29"/>
  <c r="D36" i="29"/>
  <c r="B36" i="29"/>
  <c r="A33" i="7" l="1" a="1"/>
  <c r="A33" i="7" s="1"/>
  <c r="A41" i="7" a="1"/>
  <c r="A41" i="7" s="1"/>
  <c r="A33" i="2" a="1"/>
  <c r="A33" i="2" s="1"/>
  <c r="A45" i="7" a="1"/>
  <c r="A45" i="7" s="1"/>
  <c r="A29" i="7" a="1"/>
  <c r="A29" i="7" s="1"/>
  <c r="A37" i="7" a="1"/>
  <c r="A37" i="7" s="1"/>
  <c r="A37" i="2" a="1"/>
  <c r="A37" i="2" s="1"/>
  <c r="F126" i="15" a="1"/>
  <c r="F126" i="15" s="1"/>
  <c r="F121" i="15" a="1"/>
  <c r="F121" i="15" s="1"/>
  <c r="F102" i="15" a="1"/>
  <c r="F102" i="15" s="1"/>
  <c r="F97" i="15" a="1"/>
  <c r="F97" i="15" s="1"/>
  <c r="F80" i="15" a="1"/>
  <c r="F80" i="15" s="1"/>
  <c r="F78" i="15" a="1"/>
  <c r="F78" i="15" s="1"/>
  <c r="F64" i="15" a="1"/>
  <c r="F64" i="15" s="1"/>
  <c r="F60" i="15" a="1"/>
  <c r="F60" i="15" s="1"/>
  <c r="F48" i="15" a="1"/>
  <c r="F48" i="15" s="1"/>
  <c r="F42" i="15" a="1"/>
  <c r="F42" i="15" s="1"/>
  <c r="F30" i="15" a="1"/>
  <c r="F30" i="15" s="1"/>
  <c r="F16" i="15" a="1"/>
  <c r="F16" i="15" s="1"/>
  <c r="F6" i="15" a="1"/>
  <c r="F6" i="15" s="1"/>
  <c r="L21" i="3" a="1"/>
  <c r="L21" i="3" s="1"/>
  <c r="K21" i="3" a="1"/>
  <c r="K21" i="3" s="1"/>
  <c r="J21" i="3" a="1"/>
  <c r="J21" i="3" s="1"/>
  <c r="B57" i="7"/>
  <c r="L51" i="7"/>
  <c r="K51" i="7"/>
  <c r="J51" i="7"/>
  <c r="I51" i="7"/>
  <c r="H51" i="7"/>
  <c r="G51" i="7"/>
  <c r="F51" i="7"/>
  <c r="E51" i="7"/>
  <c r="D51" i="7"/>
  <c r="L50" i="7"/>
  <c r="K50" i="7"/>
  <c r="J50" i="7"/>
  <c r="I50" i="7"/>
  <c r="H50" i="7"/>
  <c r="G50" i="7"/>
  <c r="F50" i="7"/>
  <c r="E50" i="7"/>
  <c r="D50" i="7"/>
  <c r="J15" i="7"/>
  <c r="D15" i="7"/>
  <c r="B15" i="7"/>
  <c r="J14" i="7"/>
  <c r="E14" i="7"/>
  <c r="D14" i="7"/>
  <c r="B14" i="7"/>
  <c r="J13" i="7"/>
  <c r="J12" i="7"/>
  <c r="B12" i="7"/>
  <c r="J11" i="7"/>
  <c r="B11" i="7"/>
  <c r="B10" i="7"/>
  <c r="B9" i="7"/>
  <c r="B8" i="7"/>
  <c r="B7" i="7"/>
  <c r="B6" i="7"/>
  <c r="A59" i="2"/>
  <c r="A59" i="7" s="1"/>
  <c r="B57" i="2"/>
  <c r="A52" i="2"/>
  <c r="A52" i="7" s="1"/>
  <c r="L51" i="2"/>
  <c r="K51" i="2"/>
  <c r="J51" i="2"/>
  <c r="I51" i="2"/>
  <c r="H51" i="2"/>
  <c r="G51" i="2"/>
  <c r="F51" i="2"/>
  <c r="E51" i="2"/>
  <c r="D51" i="2"/>
  <c r="L50" i="2"/>
  <c r="K50" i="2"/>
  <c r="J50" i="2"/>
  <c r="I50" i="2"/>
  <c r="H50" i="2"/>
  <c r="G50" i="2"/>
  <c r="F50" i="2"/>
  <c r="E50" i="2"/>
  <c r="D50" i="2"/>
  <c r="J15" i="2"/>
  <c r="D15" i="2"/>
  <c r="B15" i="2"/>
  <c r="J14" i="2"/>
  <c r="E14" i="2"/>
  <c r="D14" i="2"/>
  <c r="B14" i="2"/>
  <c r="J13" i="2"/>
  <c r="J12" i="2"/>
  <c r="B12" i="2"/>
  <c r="J11" i="2"/>
  <c r="B11" i="2"/>
  <c r="B10" i="2"/>
  <c r="B9" i="2"/>
  <c r="B8" i="2"/>
  <c r="B7" i="2"/>
  <c r="B6" i="2"/>
  <c r="Z44" i="1"/>
  <c r="AA44" i="1" s="1"/>
  <c r="Y44" i="1"/>
  <c r="X44" i="1"/>
  <c r="W44" i="1"/>
  <c r="H44" i="1"/>
  <c r="Z43" i="1"/>
  <c r="AA43" i="1" s="1"/>
  <c r="Y43" i="1"/>
  <c r="X43" i="1"/>
  <c r="W43" i="1"/>
  <c r="H43" i="1"/>
  <c r="Z42" i="1"/>
  <c r="AA42" i="1" s="1"/>
  <c r="Y42" i="1"/>
  <c r="X42" i="1"/>
  <c r="W42" i="1"/>
  <c r="Z41" i="1"/>
  <c r="Y41" i="1"/>
  <c r="X41" i="1"/>
  <c r="W41" i="1"/>
  <c r="Z40" i="1"/>
  <c r="AA40" i="1" s="1"/>
  <c r="Y40" i="1"/>
  <c r="X40" i="1"/>
  <c r="W40" i="1"/>
  <c r="H40" i="1"/>
  <c r="Z39" i="1"/>
  <c r="AA39" i="1" s="1"/>
  <c r="Y39" i="1"/>
  <c r="X39" i="1"/>
  <c r="W39" i="1"/>
  <c r="H39" i="1"/>
  <c r="A39" i="1"/>
  <c r="AI39" i="1" s="1"/>
  <c r="Z38" i="1"/>
  <c r="AA38" i="1" s="1"/>
  <c r="Y38" i="1"/>
  <c r="X38" i="1"/>
  <c r="W38" i="1"/>
  <c r="Z37" i="1"/>
  <c r="Y37" i="1"/>
  <c r="X37" i="1"/>
  <c r="W37" i="1"/>
  <c r="Z36" i="1"/>
  <c r="AA36" i="1" s="1"/>
  <c r="Y36" i="1"/>
  <c r="X36" i="1"/>
  <c r="W36" i="1"/>
  <c r="H36" i="1"/>
  <c r="Z35" i="1"/>
  <c r="AA35" i="1" s="1"/>
  <c r="Y35" i="1"/>
  <c r="X35" i="1"/>
  <c r="W35" i="1"/>
  <c r="H35" i="1"/>
  <c r="Z34" i="1"/>
  <c r="AA34" i="1" s="1"/>
  <c r="Y34" i="1"/>
  <c r="X34" i="1"/>
  <c r="W34" i="1"/>
  <c r="Z33" i="1"/>
  <c r="Y33" i="1"/>
  <c r="X33" i="1"/>
  <c r="W33" i="1"/>
  <c r="Z32" i="1"/>
  <c r="AA32" i="1" s="1"/>
  <c r="Y32" i="1"/>
  <c r="X32" i="1"/>
  <c r="W32" i="1"/>
  <c r="H32" i="1"/>
  <c r="Z31" i="1"/>
  <c r="AA31" i="1" s="1"/>
  <c r="Y31" i="1"/>
  <c r="X31" i="1"/>
  <c r="W31" i="1"/>
  <c r="H31" i="1"/>
  <c r="Z30" i="1"/>
  <c r="AA30" i="1" s="1"/>
  <c r="Y30" i="1"/>
  <c r="X30" i="1"/>
  <c r="W30" i="1"/>
  <c r="Z29" i="1"/>
  <c r="Y29" i="1"/>
  <c r="X29" i="1"/>
  <c r="W29" i="1"/>
  <c r="Z28" i="1"/>
  <c r="AA28" i="1" s="1"/>
  <c r="Y28" i="1"/>
  <c r="X28" i="1"/>
  <c r="W28" i="1"/>
  <c r="H28" i="1"/>
  <c r="Z27" i="1"/>
  <c r="AA27" i="1" s="1"/>
  <c r="Y27" i="1"/>
  <c r="X27" i="1"/>
  <c r="W27" i="1"/>
  <c r="H27" i="1"/>
  <c r="Z26" i="1"/>
  <c r="AA26" i="1" s="1"/>
  <c r="Y26" i="1"/>
  <c r="X26" i="1"/>
  <c r="W26" i="1"/>
  <c r="Z25" i="1"/>
  <c r="Y25" i="1"/>
  <c r="X25" i="1"/>
  <c r="W25" i="1"/>
  <c r="X24" i="1"/>
  <c r="W24" i="1"/>
  <c r="H24" i="1"/>
  <c r="X23" i="1"/>
  <c r="W23" i="1"/>
  <c r="Z23" i="1" s="1"/>
  <c r="H23" i="1"/>
  <c r="X22" i="1"/>
  <c r="W22" i="1"/>
  <c r="AC20" i="1"/>
  <c r="AB20" i="1"/>
  <c r="X20" i="1"/>
  <c r="W20" i="1"/>
  <c r="H20" i="1"/>
  <c r="AC19" i="1"/>
  <c r="AB19" i="1"/>
  <c r="X19" i="1"/>
  <c r="W19" i="1"/>
  <c r="H19" i="1"/>
  <c r="AC18" i="1"/>
  <c r="AB18" i="1"/>
  <c r="X18" i="1"/>
  <c r="W18" i="1"/>
  <c r="J11" i="1"/>
  <c r="C17" i="7" s="1"/>
  <c r="B13" i="7"/>
  <c r="K6" i="1"/>
  <c r="K5" i="1"/>
  <c r="K4" i="1"/>
  <c r="P39" i="1" l="1"/>
  <c r="I57" i="29" s="1"/>
  <c r="Y23" i="1"/>
  <c r="H11" i="29" s="1"/>
  <c r="AA23" i="1"/>
  <c r="I11" i="29"/>
  <c r="AG38" i="1"/>
  <c r="AE38" i="1" s="1"/>
  <c r="AH38" i="1"/>
  <c r="AF38" i="1" s="1"/>
  <c r="AH31" i="1"/>
  <c r="AF31" i="1" s="1"/>
  <c r="AG31" i="1"/>
  <c r="AE31" i="1" s="1"/>
  <c r="AH40" i="1"/>
  <c r="AF40" i="1" s="1"/>
  <c r="AG40" i="1"/>
  <c r="AE40" i="1" s="1"/>
  <c r="AG27" i="1"/>
  <c r="AE27" i="1" s="1"/>
  <c r="AH27" i="1"/>
  <c r="AF27" i="1" s="1"/>
  <c r="AH24" i="1"/>
  <c r="AF24" i="1" s="1"/>
  <c r="AG24" i="1"/>
  <c r="AE24" i="1" s="1"/>
  <c r="O34" i="1"/>
  <c r="H52" i="29" s="1"/>
  <c r="AG34" i="1"/>
  <c r="AE34" i="1" s="1"/>
  <c r="AH34" i="1"/>
  <c r="AF34" i="1" s="1"/>
  <c r="AG22" i="1"/>
  <c r="AE22" i="1" s="1"/>
  <c r="AH22" i="1"/>
  <c r="AF22" i="1" s="1"/>
  <c r="AG43" i="1"/>
  <c r="AE43" i="1" s="1"/>
  <c r="AH43" i="1"/>
  <c r="AF43" i="1" s="1"/>
  <c r="AG42" i="1"/>
  <c r="AE42" i="1" s="1"/>
  <c r="AH42" i="1"/>
  <c r="AF42" i="1" s="1"/>
  <c r="AH32" i="1"/>
  <c r="AF32" i="1" s="1"/>
  <c r="AG32" i="1"/>
  <c r="AE32" i="1" s="1"/>
  <c r="A36" i="1"/>
  <c r="AI36" i="1" s="1"/>
  <c r="AG36" i="1"/>
  <c r="AE36" i="1" s="1"/>
  <c r="AH36" i="1"/>
  <c r="AF36" i="1" s="1"/>
  <c r="AG30" i="1"/>
  <c r="AE30" i="1" s="1"/>
  <c r="AH30" i="1"/>
  <c r="AF30" i="1" s="1"/>
  <c r="O39" i="1"/>
  <c r="H57" i="29" s="1"/>
  <c r="AG39" i="1"/>
  <c r="AE39" i="1" s="1"/>
  <c r="AH39" i="1"/>
  <c r="AF39" i="1" s="1"/>
  <c r="AG23" i="1"/>
  <c r="AE23" i="1" s="1"/>
  <c r="AH23" i="1"/>
  <c r="AF23" i="1" s="1"/>
  <c r="AG35" i="1"/>
  <c r="AE35" i="1" s="1"/>
  <c r="AH35" i="1"/>
  <c r="AF35" i="1" s="1"/>
  <c r="AG26" i="1"/>
  <c r="AE26" i="1" s="1"/>
  <c r="AH26" i="1"/>
  <c r="AF26" i="1" s="1"/>
  <c r="AG28" i="1"/>
  <c r="AE28" i="1" s="1"/>
  <c r="AH28" i="1"/>
  <c r="AF28" i="1" s="1"/>
  <c r="AG44" i="1"/>
  <c r="AE44" i="1" s="1"/>
  <c r="AH44" i="1"/>
  <c r="AF44" i="1" s="1"/>
  <c r="P27" i="1"/>
  <c r="I45" i="29" s="1"/>
  <c r="A23" i="1"/>
  <c r="AI23" i="1" s="1"/>
  <c r="P23" i="1"/>
  <c r="A26" i="1"/>
  <c r="AI26" i="1" s="1"/>
  <c r="P20" i="1"/>
  <c r="I38" i="29" s="1"/>
  <c r="AH20" i="1"/>
  <c r="AF20" i="1" s="1"/>
  <c r="AG20" i="1"/>
  <c r="AE20" i="1" s="1"/>
  <c r="AG19" i="1"/>
  <c r="AE19" i="1" s="1"/>
  <c r="AH19" i="1"/>
  <c r="AF19" i="1" s="1"/>
  <c r="AG18" i="1"/>
  <c r="AE18" i="1" s="1"/>
  <c r="AH18" i="1"/>
  <c r="AF18" i="1" s="1"/>
  <c r="A19" i="1"/>
  <c r="AI19" i="1" s="1"/>
  <c r="O26" i="1"/>
  <c r="F179" i="15" a="1"/>
  <c r="F179" i="15" s="1"/>
  <c r="F129" i="15" a="1"/>
  <c r="F129" i="15" s="1"/>
  <c r="F135" i="15" a="1"/>
  <c r="F135" i="15" s="1"/>
  <c r="F165" i="15" a="1"/>
  <c r="F165" i="15" s="1"/>
  <c r="F197" i="15" a="1"/>
  <c r="F197" i="15" s="1"/>
  <c r="F56" i="15" a="1"/>
  <c r="F56" i="15" s="1"/>
  <c r="F207" i="15" a="1"/>
  <c r="F207" i="15" s="1"/>
  <c r="F114" i="15" a="1"/>
  <c r="F114" i="15" s="1"/>
  <c r="F183" i="15" a="1"/>
  <c r="F183" i="15" s="1"/>
  <c r="F44" i="15" a="1"/>
  <c r="F44" i="15" s="1"/>
  <c r="F47" i="15" a="1"/>
  <c r="F47" i="15" s="1"/>
  <c r="A44" i="1"/>
  <c r="AI44" i="1" s="1"/>
  <c r="A22" i="1"/>
  <c r="AI22" i="1" s="1"/>
  <c r="O24" i="1"/>
  <c r="O31" i="1"/>
  <c r="O36" i="1"/>
  <c r="Y18" i="1"/>
  <c r="H6" i="29" s="1"/>
  <c r="Z18" i="1"/>
  <c r="O30" i="1"/>
  <c r="Q39" i="1"/>
  <c r="A40" i="1"/>
  <c r="AI40" i="1" s="1"/>
  <c r="F127" i="15" a="1"/>
  <c r="F127" i="15" s="1"/>
  <c r="B13" i="2"/>
  <c r="F202" i="15" a="1"/>
  <c r="F202" i="15" s="1"/>
  <c r="F23" i="15" a="1"/>
  <c r="F23" i="15" s="1"/>
  <c r="F224" i="15" a="1"/>
  <c r="F224" i="15" s="1"/>
  <c r="F141" i="15" a="1"/>
  <c r="F141" i="15" s="1"/>
  <c r="F5" i="15" a="1"/>
  <c r="F5" i="15" s="1"/>
  <c r="F108" i="15" a="1"/>
  <c r="F108" i="15" s="1"/>
  <c r="F35" i="15" a="1"/>
  <c r="F35" i="15" s="1"/>
  <c r="F63" i="15" a="1"/>
  <c r="F63" i="15" s="1"/>
  <c r="F146" i="15" a="1"/>
  <c r="F146" i="15" s="1"/>
  <c r="F154" i="15" a="1"/>
  <c r="F154" i="15" s="1"/>
  <c r="F228" i="15" a="1"/>
  <c r="F228" i="15" s="1"/>
  <c r="F223" i="15" a="1"/>
  <c r="F223" i="15" s="1"/>
  <c r="F221" i="15" a="1"/>
  <c r="F221" i="15" s="1"/>
  <c r="F174" i="15" a="1"/>
  <c r="F174" i="15" s="1"/>
  <c r="Z22" i="1"/>
  <c r="Y22" i="1"/>
  <c r="H10" i="29" s="1"/>
  <c r="Y20" i="1"/>
  <c r="H8" i="29" s="1"/>
  <c r="Z19" i="1"/>
  <c r="A24" i="1"/>
  <c r="AI24" i="1" s="1"/>
  <c r="O32" i="1"/>
  <c r="P35" i="1"/>
  <c r="I53" i="29" s="1"/>
  <c r="F111" i="15" a="1"/>
  <c r="F111" i="15" s="1"/>
  <c r="F169" i="15" a="1"/>
  <c r="F169" i="15" s="1"/>
  <c r="A30" i="1"/>
  <c r="AI30" i="1" s="1"/>
  <c r="F161" i="15" a="1"/>
  <c r="F161" i="15" s="1"/>
  <c r="O19" i="1"/>
  <c r="Z20" i="1"/>
  <c r="A31" i="1"/>
  <c r="AI31" i="1" s="1"/>
  <c r="F152" i="15" a="1"/>
  <c r="F152" i="15" s="1"/>
  <c r="F212" i="15" a="1"/>
  <c r="F212" i="15" s="1"/>
  <c r="F95" i="15" a="1"/>
  <c r="F95" i="15" s="1"/>
  <c r="A28" i="1"/>
  <c r="AI28" i="1" s="1"/>
  <c r="A38" i="1"/>
  <c r="AI38" i="1" s="1"/>
  <c r="F103" i="15" a="1"/>
  <c r="F103" i="15" s="1"/>
  <c r="F34" i="15" a="1"/>
  <c r="F34" i="15" s="1"/>
  <c r="F188" i="15" a="1"/>
  <c r="F188" i="15" s="1"/>
  <c r="O38" i="1"/>
  <c r="C17" i="2"/>
  <c r="F180" i="15" a="1"/>
  <c r="F180" i="15" s="1"/>
  <c r="F216" i="15" a="1"/>
  <c r="F216" i="15" s="1"/>
  <c r="O22" i="1"/>
  <c r="P31" i="1"/>
  <c r="I49" i="29" s="1"/>
  <c r="P19" i="1"/>
  <c r="I37" i="29" s="1"/>
  <c r="O23" i="1"/>
  <c r="Z24" i="1"/>
  <c r="O28" i="1"/>
  <c r="P38" i="1"/>
  <c r="I56" i="29" s="1"/>
  <c r="A43" i="1"/>
  <c r="AI43" i="1" s="1"/>
  <c r="F118" i="15" a="1"/>
  <c r="F118" i="15" s="1"/>
  <c r="F195" i="15" a="1"/>
  <c r="F195" i="15" s="1"/>
  <c r="F13" i="15" a="1"/>
  <c r="F13" i="15" s="1"/>
  <c r="F162" i="15" a="1"/>
  <c r="F162" i="15" s="1"/>
  <c r="F131" i="15" a="1"/>
  <c r="F131" i="15" s="1"/>
  <c r="F72" i="15" a="1"/>
  <c r="F72" i="15" s="1"/>
  <c r="F140" i="15" a="1"/>
  <c r="F140" i="15" s="1"/>
  <c r="F205" i="15" a="1"/>
  <c r="F205" i="15" s="1"/>
  <c r="F53" i="15" a="1"/>
  <c r="F53" i="15" s="1"/>
  <c r="F153" i="15" a="1"/>
  <c r="F153" i="15" s="1"/>
  <c r="F130" i="15" a="1"/>
  <c r="F130" i="15" s="1"/>
  <c r="F173" i="15" a="1"/>
  <c r="F173" i="15" s="1"/>
  <c r="F149" i="15" a="1"/>
  <c r="F149" i="15" s="1"/>
  <c r="A20" i="1"/>
  <c r="AI20" i="1" s="1"/>
  <c r="A27" i="1"/>
  <c r="AI27" i="1" s="1"/>
  <c r="A34" i="1"/>
  <c r="AI34" i="1" s="1"/>
  <c r="F220" i="15" a="1"/>
  <c r="F220" i="15" s="1"/>
  <c r="F166" i="15" a="1"/>
  <c r="F166" i="15" s="1"/>
  <c r="A32" i="1"/>
  <c r="AI32" i="1" s="1"/>
  <c r="A35" i="1"/>
  <c r="AI35" i="1" s="1"/>
  <c r="P43" i="1"/>
  <c r="I61" i="29" s="1"/>
  <c r="F164" i="15" a="1"/>
  <c r="F164" i="15" s="1"/>
  <c r="F110" i="15" a="1"/>
  <c r="F110" i="15" s="1"/>
  <c r="F150" i="15" a="1"/>
  <c r="F150" i="15" s="1"/>
  <c r="P18" i="1"/>
  <c r="I36" i="29" s="1"/>
  <c r="P26" i="1"/>
  <c r="I44" i="29" s="1"/>
  <c r="P34" i="1"/>
  <c r="I52" i="29" s="1"/>
  <c r="Y19" i="1"/>
  <c r="H7" i="29" s="1"/>
  <c r="P30" i="1"/>
  <c r="I48" i="29" s="1"/>
  <c r="O42" i="1"/>
  <c r="A18" i="1"/>
  <c r="AI18" i="1" s="1"/>
  <c r="O20" i="1"/>
  <c r="P42" i="1"/>
  <c r="I60" i="29" s="1"/>
  <c r="P24" i="1"/>
  <c r="L42" i="29" s="1"/>
  <c r="P28" i="1"/>
  <c r="I46" i="29" s="1"/>
  <c r="P32" i="1"/>
  <c r="I50" i="29" s="1"/>
  <c r="P36" i="1"/>
  <c r="I54" i="29" s="1"/>
  <c r="Y24" i="1"/>
  <c r="H12" i="29" s="1"/>
  <c r="P40" i="1"/>
  <c r="I58" i="29" s="1"/>
  <c r="P44" i="1"/>
  <c r="I62" i="29" s="1"/>
  <c r="P22" i="1"/>
  <c r="Q34" i="1"/>
  <c r="O40" i="1"/>
  <c r="A42" i="1"/>
  <c r="AI42" i="1" s="1"/>
  <c r="O44" i="1"/>
  <c r="O18" i="1"/>
  <c r="O27" i="1"/>
  <c r="O43" i="1"/>
  <c r="O35" i="1"/>
  <c r="F217" i="15" a="1"/>
  <c r="F217" i="15" s="1"/>
  <c r="F198" i="15" a="1"/>
  <c r="F198" i="15" s="1"/>
  <c r="F208" i="15" a="1"/>
  <c r="F208" i="15" s="1"/>
  <c r="F192" i="15" a="1"/>
  <c r="F192" i="15" s="1"/>
  <c r="F128" i="15" a="1"/>
  <c r="F128" i="15" s="1"/>
  <c r="F199" i="15" a="1"/>
  <c r="F199" i="15" s="1"/>
  <c r="I41" i="29" l="1"/>
  <c r="L41" i="29"/>
  <c r="I40" i="29"/>
  <c r="L40" i="29"/>
  <c r="I42" i="29"/>
  <c r="Q24" i="1"/>
  <c r="Q32" i="1"/>
  <c r="J50" i="29" s="1"/>
  <c r="Q30" i="1"/>
  <c r="J48" i="29" s="1"/>
  <c r="Q38" i="1"/>
  <c r="T38" i="1" s="1"/>
  <c r="Q40" i="1"/>
  <c r="T40" i="1" s="1"/>
  <c r="Q31" i="1"/>
  <c r="T31" i="1" s="1"/>
  <c r="Q43" i="1"/>
  <c r="J61" i="29" s="1"/>
  <c r="Q42" i="1"/>
  <c r="T42" i="1" s="1"/>
  <c r="T39" i="1"/>
  <c r="Q36" i="1"/>
  <c r="T36" i="1" s="1"/>
  <c r="Q44" i="1"/>
  <c r="T44" i="1" s="1"/>
  <c r="Q35" i="1"/>
  <c r="T35" i="1" s="1"/>
  <c r="T34" i="1"/>
  <c r="AA20" i="1"/>
  <c r="I8" i="29"/>
  <c r="AA19" i="1"/>
  <c r="J7" i="29" s="1"/>
  <c r="I7" i="29"/>
  <c r="I35" i="1"/>
  <c r="I43" i="1"/>
  <c r="I36" i="1"/>
  <c r="I34" i="1"/>
  <c r="I27" i="1"/>
  <c r="I40" i="1"/>
  <c r="J11" i="29"/>
  <c r="I23" i="1"/>
  <c r="I31" i="1"/>
  <c r="I42" i="1"/>
  <c r="I28" i="1"/>
  <c r="I44" i="1"/>
  <c r="I26" i="1"/>
  <c r="I30" i="1"/>
  <c r="I38" i="1"/>
  <c r="I39" i="1"/>
  <c r="I32" i="1"/>
  <c r="R40" i="1"/>
  <c r="R38" i="1"/>
  <c r="Q27" i="1"/>
  <c r="T27" i="1" s="1"/>
  <c r="R30" i="1"/>
  <c r="S39" i="1"/>
  <c r="Q26" i="1"/>
  <c r="Q23" i="1"/>
  <c r="R44" i="1"/>
  <c r="AA18" i="1"/>
  <c r="I18" i="1" s="1"/>
  <c r="I6" i="29"/>
  <c r="R43" i="1"/>
  <c r="R39" i="1"/>
  <c r="S34" i="1"/>
  <c r="R35" i="1"/>
  <c r="S28" i="1"/>
  <c r="R36" i="1"/>
  <c r="R32" i="1"/>
  <c r="J57" i="29"/>
  <c r="A41" i="2" s="1" a="1"/>
  <c r="A41" i="2" s="1"/>
  <c r="I12" i="29"/>
  <c r="AA24" i="1"/>
  <c r="I24" i="1" s="1"/>
  <c r="F7" i="15" a="1"/>
  <c r="F7" i="15" s="1"/>
  <c r="I10" i="29"/>
  <c r="AA22" i="1"/>
  <c r="F54" i="15" a="1"/>
  <c r="F54" i="15" s="1"/>
  <c r="R42" i="1"/>
  <c r="J52" i="29"/>
  <c r="R34" i="1"/>
  <c r="R31" i="1"/>
  <c r="Q20" i="1"/>
  <c r="R28" i="1"/>
  <c r="R27" i="1"/>
  <c r="R23" i="1"/>
  <c r="K41" i="29" s="1"/>
  <c r="R22" i="1"/>
  <c r="R24" i="1"/>
  <c r="R18" i="1"/>
  <c r="K6" i="29" s="1"/>
  <c r="R26" i="1"/>
  <c r="F232" i="15" a="1"/>
  <c r="F232" i="15" s="1"/>
  <c r="F204" i="15" a="1"/>
  <c r="F204" i="15" s="1"/>
  <c r="F182" i="15" a="1"/>
  <c r="F182" i="15" s="1"/>
  <c r="R19" i="1"/>
  <c r="H38" i="29"/>
  <c r="S20" i="1"/>
  <c r="H36" i="29"/>
  <c r="S18" i="1"/>
  <c r="H37" i="29"/>
  <c r="S19" i="1"/>
  <c r="R20" i="1"/>
  <c r="F225" i="15" a="1"/>
  <c r="F225" i="15" s="1"/>
  <c r="H50" i="29"/>
  <c r="S32" i="1"/>
  <c r="H54" i="29"/>
  <c r="S36" i="1"/>
  <c r="H41" i="29"/>
  <c r="S23" i="1"/>
  <c r="H61" i="29"/>
  <c r="S43" i="1"/>
  <c r="H56" i="29"/>
  <c r="S38" i="1"/>
  <c r="H45" i="29"/>
  <c r="S27" i="1"/>
  <c r="H42" i="29"/>
  <c r="S24" i="1"/>
  <c r="H44" i="29"/>
  <c r="S26" i="1"/>
  <c r="H62" i="29"/>
  <c r="S44" i="1"/>
  <c r="H49" i="29"/>
  <c r="S31" i="1"/>
  <c r="H40" i="29"/>
  <c r="S22" i="1"/>
  <c r="H60" i="29"/>
  <c r="S42" i="1"/>
  <c r="H53" i="29"/>
  <c r="S35" i="1"/>
  <c r="H58" i="29"/>
  <c r="S40" i="1"/>
  <c r="H48" i="29"/>
  <c r="S30" i="1"/>
  <c r="F213" i="15" a="1"/>
  <c r="F213" i="15" s="1"/>
  <c r="F43" i="15" a="1"/>
  <c r="F43" i="15" s="1"/>
  <c r="F134" i="15" a="1"/>
  <c r="F134" i="15" s="1"/>
  <c r="F158" i="15" a="1"/>
  <c r="F158" i="15" s="1"/>
  <c r="F206" i="15" a="1"/>
  <c r="F206" i="15" s="1"/>
  <c r="F45" i="15" a="1"/>
  <c r="F45" i="15" s="1"/>
  <c r="F55" i="15" a="1"/>
  <c r="F55" i="15" s="1"/>
  <c r="F109" i="15" a="1"/>
  <c r="F109" i="15" s="1"/>
  <c r="F116" i="15" a="1"/>
  <c r="F116" i="15" s="1"/>
  <c r="F46" i="15" a="1"/>
  <c r="F46" i="15" s="1"/>
  <c r="K42" i="29"/>
  <c r="K12" i="29"/>
  <c r="H46" i="29"/>
  <c r="F98" i="15" a="1"/>
  <c r="F98" i="15" s="1"/>
  <c r="F226" i="15" a="1"/>
  <c r="F226" i="15" s="1"/>
  <c r="F29" i="15" a="1"/>
  <c r="F29" i="15" s="1"/>
  <c r="F101" i="15" a="1"/>
  <c r="F101" i="15" s="1"/>
  <c r="F73" i="15" a="1"/>
  <c r="F73" i="15" s="1"/>
  <c r="F117" i="15" a="1"/>
  <c r="F117" i="15" s="1"/>
  <c r="F181" i="15" a="1"/>
  <c r="F181" i="15" s="1"/>
  <c r="F201" i="15" a="1"/>
  <c r="F201" i="15" s="1"/>
  <c r="F222" i="15" a="1"/>
  <c r="F222" i="15" s="1"/>
  <c r="F151" i="15" a="1"/>
  <c r="F151" i="15" s="1"/>
  <c r="F22" i="15" a="1"/>
  <c r="F22" i="15" s="1"/>
  <c r="F200" i="15" a="1"/>
  <c r="F200" i="15" s="1"/>
  <c r="F21" i="15" a="1"/>
  <c r="F21" i="15" s="1"/>
  <c r="F81" i="15" a="1"/>
  <c r="F81" i="15" s="1"/>
  <c r="F83" i="15" a="1"/>
  <c r="F83" i="15" s="1"/>
  <c r="F229" i="15" a="1"/>
  <c r="F229" i="15" s="1"/>
  <c r="F115" i="15" a="1"/>
  <c r="F115" i="15" s="1"/>
  <c r="F85" i="15" a="1"/>
  <c r="F85" i="15" s="1"/>
  <c r="F94" i="15" a="1"/>
  <c r="F94" i="15" s="1"/>
  <c r="F26" i="15" a="1"/>
  <c r="F26" i="15" s="1"/>
  <c r="F2" i="15" a="1"/>
  <c r="F2" i="15" s="1"/>
  <c r="F15" i="15" a="1"/>
  <c r="F15" i="15" s="1"/>
  <c r="F203" i="15" a="1"/>
  <c r="F203" i="15" s="1"/>
  <c r="F33" i="15" a="1"/>
  <c r="F33" i="15" s="1"/>
  <c r="F32" i="15" a="1"/>
  <c r="F32" i="15" s="1"/>
  <c r="F93" i="15" a="1"/>
  <c r="F93" i="15" s="1"/>
  <c r="F92" i="15" a="1"/>
  <c r="F92" i="15" s="1"/>
  <c r="F74" i="15" a="1"/>
  <c r="F74" i="15" s="1"/>
  <c r="F196" i="15" a="1"/>
  <c r="F196" i="15" s="1"/>
  <c r="F87" i="15" a="1"/>
  <c r="F87" i="15" s="1"/>
  <c r="F163" i="15" a="1"/>
  <c r="F163" i="15" s="1"/>
  <c r="F68" i="15" a="1"/>
  <c r="F68" i="15" s="1"/>
  <c r="F96" i="15" a="1"/>
  <c r="F96" i="15" s="1"/>
  <c r="F194" i="15" a="1"/>
  <c r="F194" i="15" s="1"/>
  <c r="F193" i="15" a="1"/>
  <c r="F193" i="15" s="1"/>
  <c r="F219" i="15" a="1"/>
  <c r="F219" i="15" s="1"/>
  <c r="F218" i="15" a="1"/>
  <c r="F218" i="15" s="1"/>
  <c r="Q19" i="1"/>
  <c r="T19" i="1" s="1"/>
  <c r="F187" i="15" a="1"/>
  <c r="F187" i="15" s="1"/>
  <c r="F186" i="15" a="1"/>
  <c r="F186" i="15" s="1"/>
  <c r="F59" i="15" a="1"/>
  <c r="F59" i="15" s="1"/>
  <c r="F70" i="15" a="1"/>
  <c r="F70" i="15" s="1"/>
  <c r="F69" i="15" a="1"/>
  <c r="F69" i="15" s="1"/>
  <c r="F105" i="15" a="1"/>
  <c r="F105" i="15" s="1"/>
  <c r="F104" i="15" a="1"/>
  <c r="F104" i="15" s="1"/>
  <c r="F50" i="15" a="1"/>
  <c r="F50" i="15" s="1"/>
  <c r="F49" i="15" a="1"/>
  <c r="F49" i="15" s="1"/>
  <c r="F14" i="15" a="1"/>
  <c r="F14" i="15" s="1"/>
  <c r="F160" i="15" a="1"/>
  <c r="F160" i="15" s="1"/>
  <c r="F159" i="15" a="1"/>
  <c r="F159" i="15" s="1"/>
  <c r="F184" i="15" a="1"/>
  <c r="F184" i="15" s="1"/>
  <c r="F185" i="15" a="1"/>
  <c r="F185" i="15" s="1"/>
  <c r="F178" i="15" a="1"/>
  <c r="F178" i="15" s="1"/>
  <c r="F177" i="15" a="1"/>
  <c r="F177" i="15" s="1"/>
  <c r="F18" i="15" a="1"/>
  <c r="F18" i="15" s="1"/>
  <c r="F17" i="15" a="1"/>
  <c r="F17" i="15" s="1"/>
  <c r="Q18" i="1"/>
  <c r="T18" i="1" s="1"/>
  <c r="F176" i="15" a="1"/>
  <c r="F176" i="15" s="1"/>
  <c r="F175" i="15" a="1"/>
  <c r="F175" i="15" s="1"/>
  <c r="F41" i="15" a="1"/>
  <c r="F41" i="15" s="1"/>
  <c r="F40" i="15" a="1"/>
  <c r="F40" i="15" s="1"/>
  <c r="F36" i="15" a="1"/>
  <c r="F36" i="15" s="1"/>
  <c r="F148" i="15" a="1"/>
  <c r="F148" i="15" s="1"/>
  <c r="F147" i="15" a="1"/>
  <c r="F147" i="15" s="1"/>
  <c r="F137" i="15" a="1"/>
  <c r="F137" i="15" s="1"/>
  <c r="F136" i="15" a="1"/>
  <c r="F136" i="15" s="1"/>
  <c r="F100" i="15" a="1"/>
  <c r="F100" i="15" s="1"/>
  <c r="F99" i="15" a="1"/>
  <c r="F99" i="15" s="1"/>
  <c r="F62" i="15" a="1"/>
  <c r="F62" i="15" s="1"/>
  <c r="F61" i="15" a="1"/>
  <c r="F61" i="15" s="1"/>
  <c r="F214" i="15" a="1"/>
  <c r="F214" i="15" s="1"/>
  <c r="F215" i="15" a="1"/>
  <c r="F215" i="15" s="1"/>
  <c r="F155" i="15" a="1"/>
  <c r="F155" i="15" s="1"/>
  <c r="F156" i="15" a="1"/>
  <c r="F156" i="15" s="1"/>
  <c r="F157" i="15" a="1"/>
  <c r="F157" i="15" s="1"/>
  <c r="F119" i="15" a="1"/>
  <c r="F119" i="15" s="1"/>
  <c r="F120" i="15" a="1"/>
  <c r="F120" i="15" s="1"/>
  <c r="F91" i="15" a="1"/>
  <c r="F91" i="15" s="1"/>
  <c r="F90" i="15" a="1"/>
  <c r="F90" i="15" s="1"/>
  <c r="F79" i="15" a="1"/>
  <c r="F79" i="15" s="1"/>
  <c r="F31" i="15" a="1"/>
  <c r="F31" i="15" s="1"/>
  <c r="F71" i="15" a="1"/>
  <c r="F71" i="15" s="1"/>
  <c r="F123" i="15" a="1"/>
  <c r="F123" i="15" s="1"/>
  <c r="F122" i="15" a="1"/>
  <c r="F122" i="15" s="1"/>
  <c r="F132" i="15" a="1"/>
  <c r="F132" i="15" s="1"/>
  <c r="F133" i="15" a="1"/>
  <c r="F133" i="15" s="1"/>
  <c r="F227" i="15" a="1"/>
  <c r="F227" i="15" s="1"/>
  <c r="F82" i="15" a="1"/>
  <c r="F82" i="15" s="1"/>
  <c r="F113" i="15" a="1"/>
  <c r="F113" i="15" s="1"/>
  <c r="F112" i="15" a="1"/>
  <c r="F112" i="15" s="1"/>
  <c r="F191" i="15" a="1"/>
  <c r="F191" i="15" s="1"/>
  <c r="F190" i="15" a="1"/>
  <c r="F190" i="15" s="1"/>
  <c r="F189" i="15" a="1"/>
  <c r="F189" i="15" s="1"/>
  <c r="F231" i="15" a="1"/>
  <c r="F231" i="15" s="1"/>
  <c r="F230" i="15" a="1"/>
  <c r="F230" i="15" s="1"/>
  <c r="F125" i="15" a="1"/>
  <c r="F125" i="15" s="1"/>
  <c r="F124" i="15" a="1"/>
  <c r="F124" i="15" s="1"/>
  <c r="F139" i="15" a="1"/>
  <c r="F139" i="15" s="1"/>
  <c r="F138" i="15" a="1"/>
  <c r="F138" i="15" s="1"/>
  <c r="F88" i="15" a="1"/>
  <c r="F88" i="15" s="1"/>
  <c r="F107" i="15" a="1"/>
  <c r="F107" i="15" s="1"/>
  <c r="F106" i="15" a="1"/>
  <c r="F106" i="15" s="1"/>
  <c r="F145" i="15" a="1"/>
  <c r="F145" i="15" s="1"/>
  <c r="F20" i="15" a="1"/>
  <c r="F20" i="15" s="1"/>
  <c r="F19" i="15" a="1"/>
  <c r="F19" i="15" s="1"/>
  <c r="F144" i="15" a="1"/>
  <c r="F144" i="15" s="1"/>
  <c r="F143" i="15" a="1"/>
  <c r="F143" i="15" s="1"/>
  <c r="F142" i="15" a="1"/>
  <c r="F142" i="15" s="1"/>
  <c r="F39" i="15" a="1"/>
  <c r="F39" i="15" s="1"/>
  <c r="F37" i="15" a="1"/>
  <c r="F37" i="15" s="1"/>
  <c r="F8" i="15" a="1"/>
  <c r="F8" i="15" s="1"/>
  <c r="F9" i="15" a="1"/>
  <c r="F9" i="15" s="1"/>
  <c r="F12" i="15" a="1"/>
  <c r="F12" i="15" s="1"/>
  <c r="F11" i="15" a="1"/>
  <c r="F11" i="15" s="1"/>
  <c r="F10" i="15" a="1"/>
  <c r="F10" i="15" s="1"/>
  <c r="F76" i="15" a="1"/>
  <c r="F76" i="15" s="1"/>
  <c r="F77" i="15" a="1"/>
  <c r="F77" i="15" s="1"/>
  <c r="F75" i="15" a="1"/>
  <c r="F75" i="15" s="1"/>
  <c r="F58" i="15" a="1"/>
  <c r="F58" i="15" s="1"/>
  <c r="F57" i="15" a="1"/>
  <c r="F57" i="15" s="1"/>
  <c r="F25" i="15" a="1"/>
  <c r="F25" i="15" s="1"/>
  <c r="F24" i="15" a="1"/>
  <c r="F24" i="15" s="1"/>
  <c r="F52" i="15" a="1"/>
  <c r="F52" i="15" s="1"/>
  <c r="F51" i="15" a="1"/>
  <c r="F51" i="15" s="1"/>
  <c r="F38" i="15" a="1"/>
  <c r="F38" i="15" s="1"/>
  <c r="Q28" i="1"/>
  <c r="T28" i="1" s="1"/>
  <c r="F89" i="15" a="1"/>
  <c r="F89" i="15" s="1"/>
  <c r="F3" i="15" a="1"/>
  <c r="F3" i="15" s="1"/>
  <c r="F4" i="15" a="1"/>
  <c r="F4" i="15" s="1"/>
  <c r="F28" i="15" a="1"/>
  <c r="F28" i="15" s="1"/>
  <c r="F27" i="15" a="1"/>
  <c r="F27" i="15" s="1"/>
  <c r="F67" i="15" a="1"/>
  <c r="F67" i="15" s="1"/>
  <c r="F66" i="15" a="1"/>
  <c r="F66" i="15" s="1"/>
  <c r="F65" i="15" a="1"/>
  <c r="F65" i="15" s="1"/>
  <c r="F211" i="15" a="1"/>
  <c r="F211" i="15" s="1"/>
  <c r="F209" i="15" a="1"/>
  <c r="F209" i="15" s="1"/>
  <c r="F210" i="15" a="1"/>
  <c r="F210" i="15" s="1"/>
  <c r="T24" i="1"/>
  <c r="F84" i="15" a="1"/>
  <c r="F84" i="15" s="1"/>
  <c r="F168" i="15" a="1"/>
  <c r="F168" i="15" s="1"/>
  <c r="F167" i="15" a="1"/>
  <c r="F167" i="15" s="1"/>
  <c r="F172" i="15" a="1"/>
  <c r="F172" i="15" s="1"/>
  <c r="F171" i="15" a="1"/>
  <c r="F171" i="15" s="1"/>
  <c r="F170" i="15" a="1"/>
  <c r="F170" i="15" s="1"/>
  <c r="Q22" i="1"/>
  <c r="T22" i="1" s="1"/>
  <c r="F86" i="15" a="1"/>
  <c r="F86" i="15" s="1"/>
  <c r="I22" i="1" l="1"/>
  <c r="J10" i="29"/>
  <c r="I19" i="1"/>
  <c r="J60" i="29"/>
  <c r="A45" i="2" s="1" a="1"/>
  <c r="A45" i="2" s="1"/>
  <c r="T30" i="1"/>
  <c r="T32" i="1"/>
  <c r="J54" i="29"/>
  <c r="J58" i="29"/>
  <c r="J49" i="29"/>
  <c r="J56" i="29"/>
  <c r="J62" i="29"/>
  <c r="T43" i="1"/>
  <c r="J53" i="29"/>
  <c r="I20" i="1"/>
  <c r="J8" i="29"/>
  <c r="J41" i="29"/>
  <c r="T23" i="1"/>
  <c r="J44" i="29"/>
  <c r="A29" i="2" s="1" a="1"/>
  <c r="A29" i="2" s="1"/>
  <c r="T26" i="1"/>
  <c r="J38" i="29"/>
  <c r="T20" i="1"/>
  <c r="J45" i="29"/>
  <c r="J12" i="29"/>
  <c r="J6" i="29"/>
  <c r="K38" i="29"/>
  <c r="J42" i="29"/>
  <c r="J46" i="29"/>
  <c r="J40" i="29"/>
  <c r="J37" i="29"/>
  <c r="J36" i="29"/>
  <c r="K37" i="29"/>
  <c r="K36" i="29"/>
  <c r="K10" i="29"/>
  <c r="A25" i="7" s="1" a="1"/>
  <c r="A25" i="7" s="1"/>
  <c r="K40" i="29"/>
  <c r="I21" i="3" a="1"/>
  <c r="I21" i="3" s="1"/>
  <c r="A25" i="2" l="1" a="1"/>
  <c r="A25" i="2" s="1"/>
  <c r="A21" i="2" a="1"/>
  <c r="A21" i="2" s="1"/>
  <c r="A21" i="7" a="1"/>
  <c r="A21"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8211570-FDC2-4CFB-A5DA-79B0F74BB0E2}" odcFile="C:\Users\JGI\Downloads\ClientAssets_GetAssetByAssetId (1).odc" keepAlive="1" name="Query - ClientAssets_GetAssetByAssetId" description="Connection to the 'ClientAssets_GetAssetByAssetId' query in the workbook." type="5" refreshedVersion="8" background="1" saveData="1">
    <dbPr connection="Provider=Microsoft.Mashup.OleDb.1;Data Source=$Workbook$;Location=ClientAssets_GetAssetByAssetId;Extended Properties=&quot;&quot;" command="SELECT * FROM [ClientAssets_GetAssetByAssetId]"/>
  </connection>
  <connection id="2" xr16:uid="{AA1811D6-AE2F-405D-A2B0-FDAC52EED1EE}" keepAlive="1" name="Query - ServiceOrderItems_GetWorkItems" description="Connection to the 'ServiceOrderItems_GetWorkItems' query in the workbook." type="5" refreshedVersion="8" background="1" saveData="1">
    <dbPr connection="Provider=Microsoft.Mashup.OleDb.1;Data Source=$Workbook$;Location=ServiceOrderItems_GetWorkItems;Extended Properties=&quot;&quot;" command="SELECT * FROM [ServiceOrderItems_GetWorkItems]"/>
  </connection>
  <connection id="3" xr16:uid="{EAE528C8-D2EB-4C88-9A39-D191BFBC68BF}" keepAlive="1" name="Query - Unc" description="Connection to the 'Unc' query in the workbook." type="5" refreshedVersion="8" background="1" saveData="1">
    <dbPr connection="Provider=Microsoft.Mashup.OleDb.1;Data Source=$Workbook$;Location=Unc;Extended Properties=&quot;&quot;" command="SELECT * FROM [Unc]"/>
  </connection>
  <connection id="4" xr16:uid="{555B0ACB-2040-48FD-BF7C-7F128BF9CD9C}" keepAlive="1" name="Query - UNCERTAINTY" description="Connection to the 'UNCERTAINTY' query in the workbook." type="5" refreshedVersion="8" background="1" saveData="1">
    <dbPr connection="Provider=Microsoft.Mashup.OleDb.1;Data Source=$Workbook$;Location=UNCERTAINTY;Extended Properties=&quot;&quot;" command="SELECT * FROM [UNCERTAINT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<sst xmlns="http://schemas.openxmlformats.org/spreadsheetml/2006/main" count="1519" uniqueCount="979">
  <si>
    <t>Johnson Gage &amp; Inspection, Inc.</t>
  </si>
  <si>
    <t>STEPS</t>
  </si>
  <si>
    <t>Unlock: jgi</t>
  </si>
  <si>
    <t>Hardness Tester Calibration and Service Worksheet</t>
  </si>
  <si>
    <t>1. Save this file under the Order Number!</t>
  </si>
  <si>
    <t>CHECKS</t>
  </si>
  <si>
    <t>Select 1</t>
  </si>
  <si>
    <t xml:space="preserve">Report No:  </t>
  </si>
  <si>
    <t>Customer PO:</t>
  </si>
  <si>
    <t xml:space="preserve">Condition: </t>
  </si>
  <si>
    <t>Used</t>
  </si>
  <si>
    <t>2. Complete Heading, thru Scales and Indenters</t>
  </si>
  <si>
    <t>Visual Inspection</t>
  </si>
  <si>
    <t xml:space="preserve">Customer:  </t>
  </si>
  <si>
    <t>Address1:</t>
  </si>
  <si>
    <t>3. Perform AF readings (2 ranges per scale)</t>
  </si>
  <si>
    <t>Anvil Seat Level</t>
  </si>
  <si>
    <t xml:space="preserve">Item:  </t>
  </si>
  <si>
    <t>Address2:</t>
  </si>
  <si>
    <t xml:space="preserve">Inspector:  </t>
  </si>
  <si>
    <t>4. Do cleaning, checks and adjustments</t>
  </si>
  <si>
    <t>Penetrator/Screw Alignment</t>
  </si>
  <si>
    <t xml:space="preserve">Unit Number:  </t>
  </si>
  <si>
    <t>Phone No.:</t>
  </si>
  <si>
    <t xml:space="preserve"> </t>
  </si>
  <si>
    <t xml:space="preserve">Date Calibrated:  </t>
  </si>
  <si>
    <t>5. Perform Full Test readings</t>
  </si>
  <si>
    <t>Dashpot Oil</t>
  </si>
  <si>
    <t>Manufacturer:</t>
  </si>
  <si>
    <t>Model No.:</t>
  </si>
  <si>
    <t xml:space="preserve">Recalibration Date:  </t>
  </si>
  <si>
    <t>6. Select Comments and Results</t>
  </si>
  <si>
    <t>Dwell Time (report actual value):</t>
  </si>
  <si>
    <t xml:space="preserve">Serial Number:  </t>
  </si>
  <si>
    <t xml:space="preserve">Temperature:  </t>
  </si>
  <si>
    <t>7. Click "Insert Comments" button</t>
  </si>
  <si>
    <t>Index Screw Setting</t>
  </si>
  <si>
    <t xml:space="preserve">Location:  </t>
  </si>
  <si>
    <t>On Site?</t>
  </si>
  <si>
    <t xml:space="preserve">Relative Humidity:  </t>
  </si>
  <si>
    <t>8. Check Cert comments and edit as needed</t>
  </si>
  <si>
    <t>*******************************************************************************************************************</t>
  </si>
  <si>
    <t>ADJUSTMENTS</t>
  </si>
  <si>
    <t>Portable Tester?:</t>
  </si>
  <si>
    <t>Controlling Specification:</t>
  </si>
  <si>
    <t xml:space="preserve">Calibration/InspectionProcedure:  </t>
  </si>
  <si>
    <t>WP301889</t>
  </si>
  <si>
    <t xml:space="preserve">Tolerance Source:  </t>
  </si>
  <si>
    <t>Specification</t>
  </si>
  <si>
    <t>List scales tested, in desired order:</t>
  </si>
  <si>
    <t>Dwell Time (Value AL):</t>
  </si>
  <si>
    <t>List indenter S/Ns for each scale:</t>
  </si>
  <si>
    <t>Test Blocks</t>
  </si>
  <si>
    <t>Serial Number</t>
  </si>
  <si>
    <t>AF Test 1</t>
  </si>
  <si>
    <t>AF Test 2</t>
  </si>
  <si>
    <t>Test 1</t>
  </si>
  <si>
    <t>Test 2</t>
  </si>
  <si>
    <t>Test 3</t>
  </si>
  <si>
    <t>Test 4</t>
  </si>
  <si>
    <t>Test 5</t>
  </si>
  <si>
    <t>Repeatability</t>
  </si>
  <si>
    <t>Average</t>
  </si>
  <si>
    <t>Error</t>
  </si>
  <si>
    <t>Tol. (R)/(E)</t>
  </si>
  <si>
    <t>Scale</t>
  </si>
  <si>
    <t>Value</t>
  </si>
  <si>
    <t>As-Found Readings</t>
  </si>
  <si>
    <t>Full Test Readings</t>
  </si>
  <si>
    <t>(R)</t>
  </si>
  <si>
    <t>(E)</t>
  </si>
  <si>
    <t>Unc. AF</t>
  </si>
  <si>
    <t>AF Max</t>
  </si>
  <si>
    <t>AF Min</t>
  </si>
  <si>
    <t>AF Rpt</t>
  </si>
  <si>
    <t>AF Avg</t>
  </si>
  <si>
    <t>AF Error</t>
  </si>
  <si>
    <t>Max</t>
  </si>
  <si>
    <t>Min</t>
  </si>
  <si>
    <t>Repeat (Text)</t>
  </si>
  <si>
    <t>Error (Text)</t>
  </si>
  <si>
    <t>Repeat</t>
  </si>
  <si>
    <t>In Range</t>
  </si>
  <si>
    <t>Comments AF:</t>
  </si>
  <si>
    <t>Results AF:</t>
  </si>
  <si>
    <t>Comments AL:</t>
  </si>
  <si>
    <t>Results AL:</t>
  </si>
  <si>
    <t>Johnson Gage and Inspection, Inc.</t>
  </si>
  <si>
    <t>5920 W. 21st St. N., Wichita, KS  67205</t>
  </si>
  <si>
    <t>Phone 316.943.7532;  Fax 316.944.6256</t>
  </si>
  <si>
    <t xml:space="preserve">Report Number: </t>
  </si>
  <si>
    <t>Page 2 of 3</t>
  </si>
  <si>
    <t>Form 3018</t>
  </si>
  <si>
    <t xml:space="preserve">Customer: </t>
  </si>
  <si>
    <t>Rev. M 1-12-21</t>
  </si>
  <si>
    <t xml:space="preserve">Item: </t>
  </si>
  <si>
    <t xml:space="preserve">Unit Number: </t>
  </si>
  <si>
    <t>Mfer. And M/N:</t>
  </si>
  <si>
    <t xml:space="preserve">Serial Number: </t>
  </si>
  <si>
    <t xml:space="preserve">Location: </t>
  </si>
  <si>
    <t>***************************************************************************************************************************************</t>
  </si>
  <si>
    <t xml:space="preserve">Controlling Specification(s): </t>
  </si>
  <si>
    <t xml:space="preserve">JGI Calibration Procedure: </t>
  </si>
  <si>
    <t xml:space="preserve">Tolerance Source: </t>
  </si>
  <si>
    <t>Test Block</t>
  </si>
  <si>
    <t>Uncertainty</t>
  </si>
  <si>
    <t>Indenters used were as follows:</t>
  </si>
  <si>
    <t xml:space="preserve">Scale: </t>
  </si>
  <si>
    <t xml:space="preserve">S/N: </t>
  </si>
  <si>
    <t xml:space="preserve">Comments:  </t>
  </si>
  <si>
    <t>This unit was tested on the scales shown above, as specified by the customer.  Found in tolerance.  No adjustments were performed.</t>
  </si>
  <si>
    <t xml:space="preserve">Results: </t>
  </si>
  <si>
    <t>STANDARD TESTER FINE PRINT</t>
  </si>
  <si>
    <t>PORTABLE TESTER FINE PRINT</t>
  </si>
  <si>
    <t>FOUND IN TOLERANCE, NO ADJUSTMENTS PERFORMED</t>
  </si>
  <si>
    <t>FOUND IN TOLERANCE FOLLOWED BY MAINTENANCE ADJUSTMENT</t>
  </si>
  <si>
    <t>This unit was tested on the scales shown above, as specified by the customer.  Found in tolerance.  See page 3 for As Found results.  After adjustment of ____________ per manufacturer's instructions, the unit was retested with the above As Left Results.</t>
  </si>
  <si>
    <t>FOUND OUT OF TOLERANCE, BROUGHT INTO TOLERANCE WITHOUT CALIBRATION ADJUSTMENT</t>
  </si>
  <si>
    <t>This unit was tested on the scales shown above, as specified by the customer.  Found out of tolerance.  See page 3 for As Found results.  Brought into tolerance by ____________, in accordance with ASTM E 18-22, Sec. A1.4.9.4.  Unit is approved for use with no further testing.</t>
  </si>
  <si>
    <t>FOUND OUT OF TOLERANCE, BROUGHT INTO TOLERANCE BY CALIBRATION ADJUSTMENT</t>
  </si>
  <si>
    <t>Found out of tolerance.  Brought into tolerance by adjustment of ____________.  Note that per ASTM E18, a Direct Verification is required prior to release for service.</t>
  </si>
  <si>
    <t>FOUND OUT OF TOLERANCE, UNABLE TO BRING INTO TOLERANCE</t>
  </si>
  <si>
    <t>Found out of tolerance.  Unable to bring into tolerance.  Recommend repair.</t>
  </si>
  <si>
    <t>PORTABLE TESTER DISCLAIMER</t>
  </si>
  <si>
    <t>Note that the conformance of this unit to the tolerances of ASTM E18 does not mean that tests performed using this unit are equivalent to E18 tests.  See ASTM E110-14, Sec. 3.2 for details.</t>
  </si>
  <si>
    <t>This unit was tested on the scales shown above, as specified by the customer.  Found out of tolerance.  See page 3 for As-Found results.  Brought into tolerance by repositioning indicators per manufacturer's instructions.</t>
  </si>
  <si>
    <t>Report of Preliminary Testing</t>
  </si>
  <si>
    <t>Page 3 of 3</t>
  </si>
  <si>
    <t>FOUND IN TOLERANCE.  Proceeded with servicing and maintenance per manufacturer's instructions and/or JGI Written Procedure WP301889, followed by Indirect Verification.  See Page 2 for As-Left Results.</t>
  </si>
  <si>
    <t>FOUND IN TOLERANCE.  PROCEEDED</t>
  </si>
  <si>
    <t>FOUND OUT OF TOLERANCE.  UNABLE TO BRING INTO TOLERANCE.</t>
  </si>
  <si>
    <t>FOUND OUT OF TOLERANCE.  Unable to bring into tolerance.  Recommend repair.</t>
  </si>
  <si>
    <t>FOUND OUT OF TOLERANCE.  ADJUSTED IN.</t>
  </si>
  <si>
    <t>FOUND OUT OF TOLERANCE. Adjusted into tolerance.  See Page 2 for adjustments made and subsequent results.</t>
  </si>
  <si>
    <t>As Found</t>
  </si>
  <si>
    <t>Value (Formatted as text)</t>
  </si>
  <si>
    <t>As Left:</t>
  </si>
  <si>
    <t>Checks</t>
  </si>
  <si>
    <t>Condition</t>
  </si>
  <si>
    <t>Comments AL</t>
  </si>
  <si>
    <t>Results AL</t>
  </si>
  <si>
    <t>YES</t>
  </si>
  <si>
    <t>New</t>
  </si>
  <si>
    <t>Accepted</t>
  </si>
  <si>
    <t>NO</t>
  </si>
  <si>
    <t>N/A</t>
  </si>
  <si>
    <t>Rejected</t>
  </si>
  <si>
    <t>PORTABLE ONLY - FOUND OUT OF TOLERANCE, ADJUSTED IN</t>
  </si>
  <si>
    <t>Scales</t>
  </si>
  <si>
    <t>Comments AF</t>
  </si>
  <si>
    <t>Results AF</t>
  </si>
  <si>
    <t>Satisfactory</t>
  </si>
  <si>
    <t>See Page 2</t>
  </si>
  <si>
    <t>companyname</t>
  </si>
  <si>
    <t>Address1</t>
  </si>
  <si>
    <t>Address2</t>
  </si>
  <si>
    <t>Phone</t>
  </si>
  <si>
    <t>customer lookup</t>
  </si>
  <si>
    <t>Main Name</t>
  </si>
  <si>
    <t>Item_C</t>
  </si>
  <si>
    <t>Res</t>
  </si>
  <si>
    <t>Base</t>
  </si>
  <si>
    <t>Mult</t>
  </si>
  <si>
    <t>Base 2</t>
  </si>
  <si>
    <t>Mult 2</t>
  </si>
  <si>
    <t>Repeat Mult</t>
  </si>
  <si>
    <t>Meas Units</t>
  </si>
  <si>
    <t>Range</t>
  </si>
  <si>
    <t>Rockwell Indirect HRA &lt;70  R 0.1</t>
  </si>
  <si>
    <t>Rockwell Indirect</t>
  </si>
  <si>
    <t>HRA</t>
  </si>
  <si>
    <t>Rockwell Indirect HRA ≤70 and &lt;80  R 0.1</t>
  </si>
  <si>
    <t>Rockwell Indirect HRA ≥80  R 0.1</t>
  </si>
  <si>
    <t>Rockwell Indirect HRBW &lt;60  R 0.1</t>
  </si>
  <si>
    <t>HRBW</t>
  </si>
  <si>
    <t>Rockwell Indirect HRBW ≤60 and &lt;80  R 0.1</t>
  </si>
  <si>
    <t>Rockwell Indirect HRBW ≥80  R 0.1</t>
  </si>
  <si>
    <t>Rockwell Indirect HRC &lt;35  R 0.1</t>
  </si>
  <si>
    <t>HRC</t>
  </si>
  <si>
    <t>Rockwell Indirect HRC ≤35 and &lt;60  R 0.1</t>
  </si>
  <si>
    <t>Rockwell Indirect HRC ≥60  R 0.1</t>
  </si>
  <si>
    <t>Rockwell Indirect HREW &lt;84  R 0.1</t>
  </si>
  <si>
    <t>HREW</t>
  </si>
  <si>
    <t>Rockwell Indirect HREW ≤84 and &lt;93  R 0.1</t>
  </si>
  <si>
    <t>Rockwell Indirect HREW ≥93  R 0.1</t>
  </si>
  <si>
    <t>Rockwell Indirect HRFW &lt;80  R 0.1</t>
  </si>
  <si>
    <t>HRFW</t>
  </si>
  <si>
    <t>Rockwell Indirect HRFW ≤80 and &lt;94  R 0.1</t>
  </si>
  <si>
    <t>Rockwell Indirect HRFW ≥94  R 0.1</t>
  </si>
  <si>
    <t>Rockwell Indirect HRHW &lt;96  R 0.1</t>
  </si>
  <si>
    <t>HRHW</t>
  </si>
  <si>
    <t>Rockwell Indirect HRHW ≥96  R 0.1</t>
  </si>
  <si>
    <t>Rockwell Indirect HR15N &lt;78  R 0.1</t>
  </si>
  <si>
    <t>HR15N</t>
  </si>
  <si>
    <t>Rockwell Indirect HR15N ≤78 and &lt;90  R 0.1</t>
  </si>
  <si>
    <t>Rockwell Indirect HR15N ≥90  R 0.1</t>
  </si>
  <si>
    <t>Rockwell Indirect HR30N &lt;55  R 0.1</t>
  </si>
  <si>
    <t>HR30N</t>
  </si>
  <si>
    <t>Rockwell Indirect HR30N ≤55 and &lt;77  R 0.1</t>
  </si>
  <si>
    <t>Rockwell Indirect HR30N ≥77  R 0.1</t>
  </si>
  <si>
    <t>Rockwell Indirect HR45N &lt;37  R 0.1</t>
  </si>
  <si>
    <t>HR45N</t>
  </si>
  <si>
    <t>Rockwell Indirect HR45N ≤37 and &lt;66  R 0.1</t>
  </si>
  <si>
    <t>Rockwell Indirect HR45N ≥66  R 0.1</t>
  </si>
  <si>
    <t>Rockwell Indirect HR15TW &lt;81  R 0.1</t>
  </si>
  <si>
    <t>HR15TW</t>
  </si>
  <si>
    <t>Rockwell Indirect HR15TW ≤81 and &lt;87  R 0.1</t>
  </si>
  <si>
    <t>Rockwell Indirect HR15TW ≥87  R 0.1</t>
  </si>
  <si>
    <t>Rockwell Indirect HR30TW &lt;57  R 0.1</t>
  </si>
  <si>
    <t>HR30TW</t>
  </si>
  <si>
    <t>Rockwell Indirect HR30TW ≤57 and &lt;70  R 0.1</t>
  </si>
  <si>
    <t>Rockwell Indirect HR30TW ≥70  R 0.1</t>
  </si>
  <si>
    <t>Rockwell Indirect HR45TW &lt;33  R 0.1</t>
  </si>
  <si>
    <t>HR45TW</t>
  </si>
  <si>
    <t>Rockwell Indirect HR45TW ≤33 and &lt;53  R 0.1</t>
  </si>
  <si>
    <t>Rockwell Indirect HR45TW ≥53  R 0.1</t>
  </si>
  <si>
    <t>Rockwell Indirect HRMW ≤80 and &lt;91  R 0.1</t>
  </si>
  <si>
    <t>HRMW</t>
  </si>
  <si>
    <t>Rockwell Indirect HRMW ≥91  R 0.1</t>
  </si>
  <si>
    <t>Thresholds</t>
  </si>
  <si>
    <t>LOW</t>
  </si>
  <si>
    <t>MID</t>
  </si>
  <si>
    <t>HIGH</t>
  </si>
  <si>
    <t>Less Than</t>
  </si>
  <si>
    <t>Between</t>
  </si>
  <si>
    <t>Greater Than or Equal To</t>
  </si>
  <si>
    <t>Threshold1</t>
  </si>
  <si>
    <t>Threshold2</t>
  </si>
  <si>
    <t>no test</t>
  </si>
  <si>
    <t>addrline1</t>
  </si>
  <si>
    <t>addrline2</t>
  </si>
  <si>
    <t>phonenumber</t>
  </si>
  <si>
    <t>count</t>
  </si>
  <si>
    <t>FILTER</t>
  </si>
  <si>
    <t>companyid</t>
  </si>
  <si>
    <t>ACCURUS AEROSPACE WICHITA, LLC</t>
  </si>
  <si>
    <t>4011 E. 31 ST. SOUTH</t>
  </si>
  <si>
    <t>Wichita, KS 67210</t>
  </si>
  <si>
    <t>(316) 683-0266</t>
  </si>
  <si>
    <t>AERO-TECH ENGINEERING, INC.</t>
  </si>
  <si>
    <t>PO BOX 347</t>
  </si>
  <si>
    <t>Maize, KS 67101</t>
  </si>
  <si>
    <t>(316) 942-8604</t>
  </si>
  <si>
    <t>5555 N. 119th St. W.</t>
  </si>
  <si>
    <t>APEX ENGINEERING WICHITA DIV.</t>
  </si>
  <si>
    <t>1804 WEST 2ND STREET</t>
  </si>
  <si>
    <t>Wichita, KS 67203-5703</t>
  </si>
  <si>
    <t>(316) 262-1494</t>
  </si>
  <si>
    <t>AUTH-FLORENCE MANUFACTURING</t>
  </si>
  <si>
    <t>5935 CORPORATE DRIVE</t>
  </si>
  <si>
    <t>Manhattan, KS 66503</t>
  </si>
  <si>
    <t>(800) 275-1747</t>
  </si>
  <si>
    <t>AXIOM ENGINEERING INC.</t>
  </si>
  <si>
    <t>901 S. WEST STREET</t>
  </si>
  <si>
    <t>Wichita, KS 67213</t>
  </si>
  <si>
    <t>(316) 201-4717</t>
  </si>
  <si>
    <t>BODYCOTE THERMAL PROCESSING, INC.-McLEAN</t>
  </si>
  <si>
    <t>1019 S McLEAN BLVD</t>
  </si>
  <si>
    <t>(316) 943-3288</t>
  </si>
  <si>
    <t>(316) 267-0239</t>
  </si>
  <si>
    <t>BODYCOTE THERMAL PROCESSING, INC.-WEST</t>
  </si>
  <si>
    <t>1009 S WEST STREET</t>
  </si>
  <si>
    <t>12750 MERIT DRIVE, SUITE 1400</t>
  </si>
  <si>
    <t>Dallas, TX 75251</t>
  </si>
  <si>
    <t>(214) 904-2462</t>
  </si>
  <si>
    <t>BRUNSON INSTRUMENT CO.</t>
  </si>
  <si>
    <t>8000 E 23RD STREET</t>
  </si>
  <si>
    <t>Kansas City, MO 64129</t>
  </si>
  <si>
    <t>(816) 483-3187</t>
  </si>
  <si>
    <t>CE MACHINE CO.</t>
  </si>
  <si>
    <t>1741 S. HOOVER CT</t>
  </si>
  <si>
    <t>Wichita, KS 67209</t>
  </si>
  <si>
    <t>(316) 942-0411</t>
  </si>
  <si>
    <t>CHROME PLUS INT'L - WICHITA</t>
  </si>
  <si>
    <t>3939 W 29TH ST S</t>
  </si>
  <si>
    <t>Wichita, KS 67217</t>
  </si>
  <si>
    <t>(316) 944-3600</t>
  </si>
  <si>
    <t>CLARK MANUFACTURING</t>
  </si>
  <si>
    <t xml:space="preserve">,  </t>
  </si>
  <si>
    <t>COX MACHINE, INC - HARPER DIV</t>
  </si>
  <si>
    <t>949 N. HIGHWAY 14</t>
  </si>
  <si>
    <t>Harper, KS 67058</t>
  </si>
  <si>
    <t>(316) 943-1342</t>
  </si>
  <si>
    <t>5338 W. 21ST N., SUITE 100</t>
  </si>
  <si>
    <t>Wichita, KS 67205</t>
  </si>
  <si>
    <t>CROSS MANUFACTURING - HAYS DIVISION</t>
  </si>
  <si>
    <t>11011 KING STREET, SUITE 210</t>
  </si>
  <si>
    <t>Overland Park, KS 66210</t>
  </si>
  <si>
    <t>(785) 625-2585</t>
  </si>
  <si>
    <t>901 CANTERBURY DRIVE</t>
  </si>
  <si>
    <t>Hays, KS 67601</t>
  </si>
  <si>
    <t>CROSS MFG., INC. LEWIS DIVISION</t>
  </si>
  <si>
    <t>100 JAMES H. CROSS BLVD.</t>
  </si>
  <si>
    <t>Lewis, KS 67552</t>
  </si>
  <si>
    <t>(620) 324-5525</t>
  </si>
  <si>
    <t>DIVERSIFIED SERVICES</t>
  </si>
  <si>
    <t>27 CLARK AVE, IND. PARK #2</t>
  </si>
  <si>
    <t>Wellington, KS 67152</t>
  </si>
  <si>
    <t>(620) 326-7655</t>
  </si>
  <si>
    <t>(316) 262-2448</t>
  </si>
  <si>
    <t>D-J ENGINEERING, INC.</t>
  </si>
  <si>
    <t>219 W. SIXTH</t>
  </si>
  <si>
    <t>Augusta, KS 67010-0278</t>
  </si>
  <si>
    <t>(316) 775-1212</t>
  </si>
  <si>
    <t>PO BOX 278</t>
  </si>
  <si>
    <t>D-J EXTRUDING</t>
  </si>
  <si>
    <t>723 E. SPRING</t>
  </si>
  <si>
    <t>Conway Springs, KS 67031</t>
  </si>
  <si>
    <t>(620) 456-3121</t>
  </si>
  <si>
    <t>DYNAMIC N/C L.L.C.</t>
  </si>
  <si>
    <t>16531 SOUTHWEST 190th ROAD</t>
  </si>
  <si>
    <t>Rose Hill, KS 67133</t>
  </si>
  <si>
    <t>(316) 712-5028</t>
  </si>
  <si>
    <t>ELECTRO-METHODS, INC.</t>
  </si>
  <si>
    <t>FIGEAC AERO</t>
  </si>
  <si>
    <t>9313 EAST 39TH STREET NORTH</t>
  </si>
  <si>
    <t>Wichita, KS 67226</t>
  </si>
  <si>
    <t>(316) 634-2500</t>
  </si>
  <si>
    <t>FREEMAN COMPANY</t>
  </si>
  <si>
    <t>PO BOX 57</t>
  </si>
  <si>
    <t>Yankton, SD 57078</t>
  </si>
  <si>
    <t>(800) 843-6807</t>
  </si>
  <si>
    <t>2008 E Highway 50</t>
  </si>
  <si>
    <t>GABRIEL NATOLITANO</t>
  </si>
  <si>
    <t>GARMIN</t>
  </si>
  <si>
    <t>1200 E 151ST ST</t>
  </si>
  <si>
    <t>Olathe, KS 66062</t>
  </si>
  <si>
    <t>(913) 440-2265</t>
  </si>
  <si>
    <t>GKN PRECISION MACHINING, INC.</t>
  </si>
  <si>
    <t>429 N WEST ROAD</t>
  </si>
  <si>
    <t>Wellington, KS 67152-8047</t>
  </si>
  <si>
    <t>(620) 326-5952</t>
  </si>
  <si>
    <t>GLOBE ENGINEERING CO.</t>
  </si>
  <si>
    <t>1539 S. ST. PAUL</t>
  </si>
  <si>
    <t>Wichita, KS 67277</t>
  </si>
  <si>
    <t>(316) 943-1266</t>
  </si>
  <si>
    <t>PO BOX 12407</t>
  </si>
  <si>
    <t>(316) 943-1269</t>
  </si>
  <si>
    <t>HARLOW AEROSTRUCTURES LLC</t>
  </si>
  <si>
    <t>PO BOX 304</t>
  </si>
  <si>
    <t>Wichita, KS 67201-0304</t>
  </si>
  <si>
    <t>(316) 265-5268</t>
  </si>
  <si>
    <t>1501 S. MCLEAN</t>
  </si>
  <si>
    <t>Wichita, KS 67213-4303</t>
  </si>
  <si>
    <t>JOHNSON GAGE &amp; INSPECTION, INC.</t>
  </si>
  <si>
    <t>KANSAS GUN DRILLING, INC.</t>
  </si>
  <si>
    <t>2204 W. HARRY CT.</t>
  </si>
  <si>
    <t>(316) 943-4241</t>
  </si>
  <si>
    <t>(316) 744-1083</t>
  </si>
  <si>
    <t>KISER MANUFACTURING CO., INC.</t>
  </si>
  <si>
    <t>PO BOX 315</t>
  </si>
  <si>
    <t>Argonia, KS 67004</t>
  </si>
  <si>
    <t>(620) 435-6981</t>
  </si>
  <si>
    <t>601 E US 160</t>
  </si>
  <si>
    <t>KOCH-GLITSCH LP</t>
  </si>
  <si>
    <t>4111 EAST 37TH STREET NORTH</t>
  </si>
  <si>
    <t>Wichita, KS 67220</t>
  </si>
  <si>
    <t>(316) 828-3816</t>
  </si>
  <si>
    <t>LIGHTNING AEROSPACE LLC</t>
  </si>
  <si>
    <t>6650 N BROADWAY</t>
  </si>
  <si>
    <t>Wichita, KS 67219</t>
  </si>
  <si>
    <t>(316) 295-4670</t>
  </si>
  <si>
    <t>LMI AEROSPACE HILLSIDE</t>
  </si>
  <si>
    <t>2853 S HILLSIDE</t>
  </si>
  <si>
    <t>Wichita, KS 67216</t>
  </si>
  <si>
    <t>(316) 682-4551 X102</t>
  </si>
  <si>
    <t>(316) 682-4551</t>
  </si>
  <si>
    <t>LYONS MANUFACTURING</t>
  </si>
  <si>
    <t>711 E MAIN</t>
  </si>
  <si>
    <t>Lyons, KS 67554</t>
  </si>
  <si>
    <t>(620) 257-2331</t>
  </si>
  <si>
    <t>MAYNARD INC. - WICHITA DIV.</t>
  </si>
  <si>
    <t>7125 S. MCGUIRE ST.</t>
  </si>
  <si>
    <t>Fayetteville, AR 72704</t>
  </si>
  <si>
    <t>4422 W. WALKER ST.</t>
  </si>
  <si>
    <t>Wichita, KS 67209-2657</t>
  </si>
  <si>
    <t>(316) 941-9490</t>
  </si>
  <si>
    <t>MFCO HEAT TREAT - HARRY LOCATION</t>
  </si>
  <si>
    <t>701 E. MURDOCK</t>
  </si>
  <si>
    <t>Wichita, KS 67214</t>
  </si>
  <si>
    <t>(316) 440-0990</t>
  </si>
  <si>
    <t>1630 W. HARRY</t>
  </si>
  <si>
    <t>MFCO-Aluminum Heat Treatment- Murdock</t>
  </si>
  <si>
    <t>701 EAST MURDOCK</t>
  </si>
  <si>
    <t>Michael Moore</t>
  </si>
  <si>
    <t>1137 Avenue N</t>
  </si>
  <si>
    <t>(614) 203-3315</t>
  </si>
  <si>
    <t>MILLING PRECISION TOOL</t>
  </si>
  <si>
    <t>PO BOX 3490</t>
  </si>
  <si>
    <t>Wichita, KS 67201-3490</t>
  </si>
  <si>
    <t>(316) 265-0973</t>
  </si>
  <si>
    <t>4225 W 31ST ST. SOUTH</t>
  </si>
  <si>
    <t>NIAR WERX MRO</t>
  </si>
  <si>
    <t>4174 S OLIVER, Building 140H</t>
  </si>
  <si>
    <t>NWI KANSAS CITY LLC</t>
  </si>
  <si>
    <t>NWI WICHITA LLC</t>
  </si>
  <si>
    <t>PO BOX 1278</t>
  </si>
  <si>
    <t>Thomasville, GA 31799</t>
  </si>
  <si>
    <t>(316) 942-0432</t>
  </si>
  <si>
    <t>3258 S HOOVER</t>
  </si>
  <si>
    <t>5545 N MILL HEIGHTS DRIVE</t>
  </si>
  <si>
    <t>OMNI AEROSPACE - WICHITA DIVISION</t>
  </si>
  <si>
    <t>3130 W. PAWNEE</t>
  </si>
  <si>
    <t>(316) 927-2700</t>
  </si>
  <si>
    <t>ORIZON AEROSTRUCTURES PROCESSING</t>
  </si>
  <si>
    <t>2526 W. 21st STREET</t>
  </si>
  <si>
    <t>Chanute, KS 66720</t>
  </si>
  <si>
    <t>(620) 305-2400</t>
  </si>
  <si>
    <t>PERFEKTA, INC.</t>
  </si>
  <si>
    <t>480 E 21st N</t>
  </si>
  <si>
    <t>(316) 263-2056</t>
  </si>
  <si>
    <t>PRECISION PRODUCTS</t>
  </si>
  <si>
    <t>2524 S LEONINE</t>
  </si>
  <si>
    <t>(316) 943-1314</t>
  </si>
  <si>
    <t>PRECISION TOOL IMPROVEMENTS CO.</t>
  </si>
  <si>
    <t>1000 EMERSON</t>
  </si>
  <si>
    <t>Wichita, KS 67212</t>
  </si>
  <si>
    <t>(316) 209-7261</t>
  </si>
  <si>
    <t>PRODUCT MANUFACTURING CORPORATION</t>
  </si>
  <si>
    <t>4425 W MAY ST., BLDG A</t>
  </si>
  <si>
    <t>(316) 942-7931</t>
  </si>
  <si>
    <t>PRODUCT MANUFACTURING CORPORATION - PARK CITY</t>
  </si>
  <si>
    <t>5615 N BROADWAY</t>
  </si>
  <si>
    <t>(316) 838-3970</t>
  </si>
  <si>
    <t>5725 N BROADWAY</t>
  </si>
  <si>
    <t>4425 W MAY STREET, BUILDING A</t>
  </si>
  <si>
    <t>(316) 651-7808</t>
  </si>
  <si>
    <t>PRYER AEROSPACE</t>
  </si>
  <si>
    <t>2230 N. SHERIDAN RD.</t>
  </si>
  <si>
    <t>Tulsa, OK 74115</t>
  </si>
  <si>
    <t>(918) 835-8885</t>
  </si>
  <si>
    <t>S&amp;S MANUFACTURING, INC</t>
  </si>
  <si>
    <t>2661 W. ESTHNER</t>
  </si>
  <si>
    <t>(316) 200-5832</t>
  </si>
  <si>
    <t>SULLIVAN PRECISION METAL FINISHING</t>
  </si>
  <si>
    <t>TAKAKO AMERICA CO., INC</t>
  </si>
  <si>
    <t>715 COREY ROAD</t>
  </si>
  <si>
    <t>Hutchinson, KS 67501</t>
  </si>
  <si>
    <t>(620) 663-1790</t>
  </si>
  <si>
    <t>TECT AEROSPACE WELLINGTON</t>
  </si>
  <si>
    <t>1211 OLD ALBANY ROAD</t>
  </si>
  <si>
    <t>Thomasville, GA 31792</t>
  </si>
  <si>
    <t>(620) 359-5000</t>
  </si>
  <si>
    <t>1515 N A ST</t>
  </si>
  <si>
    <t>TEXTRON AVIATION INC.</t>
  </si>
  <si>
    <t xml:space="preserve">2 CESSNA BLVD,   </t>
  </si>
  <si>
    <t>Wichita, KS 67215</t>
  </si>
  <si>
    <t>(316) 347-0639</t>
  </si>
  <si>
    <t>5800 E PAWNEE</t>
  </si>
  <si>
    <t>Wichita, KS 67218</t>
  </si>
  <si>
    <t>9709 E CENTRAL</t>
  </si>
  <si>
    <t>Wichita, KS 67201</t>
  </si>
  <si>
    <t>1 CESSNA BLVD</t>
  </si>
  <si>
    <t>14115 RUSS MEYER BLVD</t>
  </si>
  <si>
    <t>Independence, KS 67301</t>
  </si>
  <si>
    <t>1643 S MAIZE ROAD</t>
  </si>
  <si>
    <t>THE BRADBURY COMPANY</t>
  </si>
  <si>
    <t>1200 E COLE</t>
  </si>
  <si>
    <t>Moundridge, KS 67107</t>
  </si>
  <si>
    <t>(800) 397-6394</t>
  </si>
  <si>
    <t>(620) 345-6394</t>
  </si>
  <si>
    <t>THYSSENKRUPP AEROSPACE - TMX</t>
  </si>
  <si>
    <t>6811 SOUTH 204 STREET SUITE 350</t>
  </si>
  <si>
    <t>Kent, WA 98032</t>
  </si>
  <si>
    <t>(316) 681-6779</t>
  </si>
  <si>
    <t>6151 N PROSPECT RD</t>
  </si>
  <si>
    <t>Park City, KS 67204</t>
  </si>
  <si>
    <t>TURBOCHARGER SOLUTIONS</t>
  </si>
  <si>
    <t>1648 W. MAGNOLIA RD.</t>
  </si>
  <si>
    <t>Salina, KS 67401</t>
  </si>
  <si>
    <t>(785) 822-8177</t>
  </si>
  <si>
    <t>UNITED MACHINE COMPANY</t>
  </si>
  <si>
    <t>602 N HYDRAULIC</t>
  </si>
  <si>
    <t>(316) 264-3367</t>
  </si>
  <si>
    <t>VANAM TOOL &amp; ENGINEERING</t>
  </si>
  <si>
    <t>5025 EASTON ROAD</t>
  </si>
  <si>
    <t>St. Joseph, MO 64507</t>
  </si>
  <si>
    <t>(816) 233-6622</t>
  </si>
  <si>
    <t>WALDEN'S MACHINE, LLC</t>
  </si>
  <si>
    <t>3030 N. ERIE</t>
  </si>
  <si>
    <t>(918) 836-6317</t>
  </si>
  <si>
    <t>WESCON CONTROLS</t>
  </si>
  <si>
    <t>2533 S. WEST ST.</t>
  </si>
  <si>
    <t>(316) 239-3259</t>
  </si>
  <si>
    <t>WICHITA AEROSPACE SPARES, INC.</t>
  </si>
  <si>
    <t>4626 W. MAY ST., BUILDING D</t>
  </si>
  <si>
    <t>(316) 219-5862</t>
  </si>
  <si>
    <t>Park City, KS 67219</t>
  </si>
  <si>
    <t>WICHITA MACHINE PRODUCTS</t>
  </si>
  <si>
    <t>3801 W 47th St S</t>
  </si>
  <si>
    <t>(316) 522-7401</t>
  </si>
  <si>
    <t>ZYXAXIS INC.</t>
  </si>
  <si>
    <t>3P PROCESSING, INC.</t>
  </si>
  <si>
    <t>1702 S. KNIGHT</t>
  </si>
  <si>
    <t>(316) 943-0731</t>
  </si>
  <si>
    <t>AAR COMPONENT SERVICES - WELLINGTON</t>
  </si>
  <si>
    <t>411 N. WEST ROAD</t>
  </si>
  <si>
    <t>(620) 326-5761</t>
  </si>
  <si>
    <t>P.O. BOX 844415</t>
  </si>
  <si>
    <t>Boston, MA 02284-4408</t>
  </si>
  <si>
    <t>ABSOLUTE DIMENSIONS</t>
  </si>
  <si>
    <t>1970 S West St, Suite 385</t>
  </si>
  <si>
    <t>3838 W. MAY ST.</t>
  </si>
  <si>
    <t>(316) 944-2211</t>
  </si>
  <si>
    <t>ADVANCED WELDING TECHNOLOGIES</t>
  </si>
  <si>
    <t>2020 W. 2nd St.</t>
  </si>
  <si>
    <t>Wichita, KS 67203</t>
  </si>
  <si>
    <t>(316) 262-3490</t>
  </si>
  <si>
    <t>AERO METAL FORMS, INC.</t>
  </si>
  <si>
    <t>2649 ESTHNER COURT</t>
  </si>
  <si>
    <t>AEROSPACE TURBINE ROTABLES, INC.</t>
  </si>
  <si>
    <t>1919 E NORTHERN ST</t>
  </si>
  <si>
    <t>(316) 943-6100</t>
  </si>
  <si>
    <t>ALBERTSON &amp; HEIN, INC.</t>
  </si>
  <si>
    <t>3617 WALKER</t>
  </si>
  <si>
    <t>(316) 943-7441</t>
  </si>
  <si>
    <t>AMETEK ADVANCED INDUSTRIES, INC.</t>
  </si>
  <si>
    <t>4550 SOUTHEAST BOULEVARD</t>
  </si>
  <si>
    <t>(316) 522-0424</t>
  </si>
  <si>
    <t>215 KEITH VALLEY RD</t>
  </si>
  <si>
    <t>Horsham, PA 19044-1408</t>
  </si>
  <si>
    <t>AMETEK B &amp; S AIRCRAFT PARTS &amp; ACC., INC.</t>
  </si>
  <si>
    <t>1414 S. MOSLEY</t>
  </si>
  <si>
    <t>Wichita, KS 67211-3387</t>
  </si>
  <si>
    <t>(316) 264-2397</t>
  </si>
  <si>
    <t>AMI METALS, INC. - TX DIVISION</t>
  </si>
  <si>
    <t>586 N. BEACH ST.</t>
  </si>
  <si>
    <t>Fort Worth, TX 76111</t>
  </si>
  <si>
    <t>(817) 831-9586</t>
  </si>
  <si>
    <t>AMI METALS, INC. - WA DIVISION</t>
  </si>
  <si>
    <t>301 N Haven St.</t>
  </si>
  <si>
    <t>Spokane, WA 99202-3808</t>
  </si>
  <si>
    <t>(800) 678-6061</t>
  </si>
  <si>
    <t>Spokane, WA 99202</t>
  </si>
  <si>
    <t>AMI METALS, INC. - WICHITA DIVISION</t>
  </si>
  <si>
    <t>2300 S. HOOVER</t>
  </si>
  <si>
    <t>(316) 945-7771</t>
  </si>
  <si>
    <t>APEX COMPOSITES - OKLAHOMA DIV.</t>
  </si>
  <si>
    <t>414 CHAMBER LOOP</t>
  </si>
  <si>
    <t>Ada, OK 74821</t>
  </si>
  <si>
    <t>(580) 436-6444</t>
  </si>
  <si>
    <t>B &amp; B AIRPARTS, INC.</t>
  </si>
  <si>
    <t>1831 S. HOOVER CT.</t>
  </si>
  <si>
    <t>(316) 946-0300</t>
  </si>
  <si>
    <t>BODYCOTE THERMAL PROCESSING, INC.-TULSA</t>
  </si>
  <si>
    <t>4208 S. 74TH EAST AVENUE</t>
  </si>
  <si>
    <t>Tulsa, OK 74145</t>
  </si>
  <si>
    <t>(918) 884-8519</t>
  </si>
  <si>
    <t>(800) 258-5066</t>
  </si>
  <si>
    <t>BODYCOTE THERMAL PROCESSING, INC-PINE ST</t>
  </si>
  <si>
    <t>1520 N. 170TH EAST AVENUE</t>
  </si>
  <si>
    <t>Tulsa, OK 74116</t>
  </si>
  <si>
    <t>(918) 627-7324</t>
  </si>
  <si>
    <t>BRALCO METALS</t>
  </si>
  <si>
    <t>2750 S. ROCK ROAD</t>
  </si>
  <si>
    <t>(316) 838-9351</t>
  </si>
  <si>
    <t>BRIJ SYSTEMS, LLC</t>
  </si>
  <si>
    <t>700 E. 10TH ST. N.</t>
  </si>
  <si>
    <t>(316) 262-6969</t>
  </si>
  <si>
    <t>BRYTAM MANUFACTURING</t>
  </si>
  <si>
    <t>229 S. WATER ST.</t>
  </si>
  <si>
    <t>Derby, KS 67037-1514</t>
  </si>
  <si>
    <t>(316) 788-3300</t>
  </si>
  <si>
    <t>CAPPS MANUFACTURING INC.</t>
  </si>
  <si>
    <t>2121 S. EDWARDS</t>
  </si>
  <si>
    <t>(316) 942-9351</t>
  </si>
  <si>
    <t>CARLSON COMPANY, INC.</t>
  </si>
  <si>
    <t>6045 N. BROADWAY</t>
  </si>
  <si>
    <t>(316) 744-0481</t>
  </si>
  <si>
    <t>CASTLE METALS</t>
  </si>
  <si>
    <t>3050 S. HYDRAULIC</t>
  </si>
  <si>
    <t>(316) 522-5900</t>
  </si>
  <si>
    <t>CECO, INC.</t>
  </si>
  <si>
    <t>PO BOX 2216</t>
  </si>
  <si>
    <t>(316) 942-7431</t>
  </si>
  <si>
    <t>4125 W. PAWNEE</t>
  </si>
  <si>
    <t>CENTER INDUSTRIES CORP.</t>
  </si>
  <si>
    <t>PO BOX 17364</t>
  </si>
  <si>
    <t>Wichita, KS 67217-0364</t>
  </si>
  <si>
    <t>(316) 942-8255</t>
  </si>
  <si>
    <t>2505 S. CUSTER</t>
  </si>
  <si>
    <t>CENTURION MANUFACTURING</t>
  </si>
  <si>
    <t>PO BOX 306</t>
  </si>
  <si>
    <t>Benton, KS 67017</t>
  </si>
  <si>
    <t>(316) 778-2114</t>
  </si>
  <si>
    <t>701A N MAIN ST</t>
  </si>
  <si>
    <t>CHARLES ENGINEERING</t>
  </si>
  <si>
    <t>PO BOX 369</t>
  </si>
  <si>
    <t>Clearwater, KS 67026</t>
  </si>
  <si>
    <t>(620) 584-2381</t>
  </si>
  <si>
    <t>10400 S. 119TH ST. WEST</t>
  </si>
  <si>
    <t>CHEYENNE MANUFACTURING INC.</t>
  </si>
  <si>
    <t>3713 W. 30TH ST. S.</t>
  </si>
  <si>
    <t>(316) 942-7665</t>
  </si>
  <si>
    <t>CMT INC</t>
  </si>
  <si>
    <t>7152 CENTRAL AVENUE</t>
  </si>
  <si>
    <t>Hot Springs, AR 71913</t>
  </si>
  <si>
    <t>(501) 525-0268</t>
  </si>
  <si>
    <t>CNH AMERICA L.L.C. - CALIBRATION LAB</t>
  </si>
  <si>
    <t>3301 S. HOOVER ROAD</t>
  </si>
  <si>
    <t>(316) 941-2272</t>
  </si>
  <si>
    <t>PO BOX 3100</t>
  </si>
  <si>
    <t>Lancaster, PA 17604-3100</t>
  </si>
  <si>
    <t>(316) 945-0111</t>
  </si>
  <si>
    <t>COFFEYVILLE SEKTAM, INC.</t>
  </si>
  <si>
    <t>509 N. CLINE RD.</t>
  </si>
  <si>
    <t>Coffeyville, KS 67337</t>
  </si>
  <si>
    <t>(620) 251-3880</t>
  </si>
  <si>
    <t>COMPLEXX MACHINING</t>
  </si>
  <si>
    <t>3525 W ESTHNER</t>
  </si>
  <si>
    <t>(316) 260-3690</t>
  </si>
  <si>
    <t>COX MACHINE, INC - WICHITA DIV</t>
  </si>
  <si>
    <t>(316) 722-5838</t>
  </si>
  <si>
    <t>D &amp; D MACHINE, INC.</t>
  </si>
  <si>
    <t>1714 S BAEHR</t>
  </si>
  <si>
    <t>(316) 269-1553</t>
  </si>
  <si>
    <t>D &amp; S MANUFACTURING</t>
  </si>
  <si>
    <t>319 S. OAK ST.</t>
  </si>
  <si>
    <t>(316) 685-5337</t>
  </si>
  <si>
    <t>D-J AEROSPACE, INC. PHILIPPINES</t>
  </si>
  <si>
    <t>D-J Aerospace, Inc., #12 Aim High Corner Commitment Street</t>
  </si>
  <si>
    <t>Subic Bay Freeport Zone,  67010</t>
  </si>
  <si>
    <t>DL DYNAMIC LLC</t>
  </si>
  <si>
    <t>4224 ESTHNER ST</t>
  </si>
  <si>
    <t>(316) 942-6547</t>
  </si>
  <si>
    <t>ELECTROMECH TECHNOLOGIES</t>
  </si>
  <si>
    <t>2600 SOUTH CUSTER</t>
  </si>
  <si>
    <t>Wichita, KS 67217-9960</t>
  </si>
  <si>
    <t>(316) 941-0400</t>
  </si>
  <si>
    <t>ELEMENT WICHITA</t>
  </si>
  <si>
    <t>2125 E KATELLA AVE, SUITE 250</t>
  </si>
  <si>
    <t>Anaheim, CA 92806</t>
  </si>
  <si>
    <t>(316) 832-1600</t>
  </si>
  <si>
    <t>7447 W. 33RD ST. N.</t>
  </si>
  <si>
    <t>(714) 450-9100</t>
  </si>
  <si>
    <t>ETEZAZI INDUSTRIES</t>
  </si>
  <si>
    <t>2952 N. ARKANSAS AVE</t>
  </si>
  <si>
    <t>Wichita, KS 67204</t>
  </si>
  <si>
    <t>(316) 831-9937</t>
  </si>
  <si>
    <t>EXACTA AEROSPACE, INC.</t>
  </si>
  <si>
    <t>4200 W. HARRY</t>
  </si>
  <si>
    <t>Wichita, KS 67209-2730</t>
  </si>
  <si>
    <t>(316) 941-4200</t>
  </si>
  <si>
    <t>EXCEL INDUSTRIES</t>
  </si>
  <si>
    <t>200 S RIDGE RD</t>
  </si>
  <si>
    <t>Hesston, KS 67062</t>
  </si>
  <si>
    <t>(620) 327-4911</t>
  </si>
  <si>
    <t>FASTENAIR, LLC</t>
  </si>
  <si>
    <t>10800 E. CENTRAL</t>
  </si>
  <si>
    <t>Wichita, KS 67206</t>
  </si>
  <si>
    <t>(316) 684-2875</t>
  </si>
  <si>
    <t>FMW INC.</t>
  </si>
  <si>
    <t>7016 PUEBLO SUITE A</t>
  </si>
  <si>
    <t>(316) 943-4217</t>
  </si>
  <si>
    <t>GODDARD MACHINE</t>
  </si>
  <si>
    <t>1738 N. MOSLEY</t>
  </si>
  <si>
    <t>(316) 838-1381</t>
  </si>
  <si>
    <t>H &amp; R PARTS CO., INC.</t>
  </si>
  <si>
    <t>3066 S. HOOVER</t>
  </si>
  <si>
    <t>Wichita, KS 67215-1219</t>
  </si>
  <si>
    <t>(316) 942-6984</t>
  </si>
  <si>
    <t>H.M. DUNN AEROSYSTEMS</t>
  </si>
  <si>
    <t>4201 S. 119th ST. W.</t>
  </si>
  <si>
    <t>Wichita, KS 67215-9100</t>
  </si>
  <si>
    <t>(316) 522-5426</t>
  </si>
  <si>
    <t>HUSQVARNA FORESTRY PRODUCTS</t>
  </si>
  <si>
    <t>NO 1. POULAN DRIVE</t>
  </si>
  <si>
    <t>Nashville, AR 71852</t>
  </si>
  <si>
    <t>125 Buck Range Road</t>
  </si>
  <si>
    <t>INTEGRATED COMPONENTS, INC.</t>
  </si>
  <si>
    <t>2525 S. LEONINE</t>
  </si>
  <si>
    <t>(316) 942-6600</t>
  </si>
  <si>
    <t>JOHNSON CONTROLS-YORK</t>
  </si>
  <si>
    <t>3120 N. MEAD</t>
  </si>
  <si>
    <t>(316) 832-6470</t>
  </si>
  <si>
    <t>PO BOX 483</t>
  </si>
  <si>
    <t>Milwaukee, WI 53201-0483</t>
  </si>
  <si>
    <t>KMG TOOL &amp; MACHINE</t>
  </si>
  <si>
    <t>4206 W MAY</t>
  </si>
  <si>
    <t>(316) 943-8989</t>
  </si>
  <si>
    <t>L S INDUSTRIES</t>
  </si>
  <si>
    <t>710 E. 17TH ST. N.</t>
  </si>
  <si>
    <t>(316) 265-7997</t>
  </si>
  <si>
    <t>LMI AEROSPACE ESTHNER</t>
  </si>
  <si>
    <t>2635 W. ESTHNER CT.</t>
  </si>
  <si>
    <t>MANUFACTURING DEVELOPMENT, INC.</t>
  </si>
  <si>
    <t>PO BOX 550</t>
  </si>
  <si>
    <t>Cheney, KS 67025-0550</t>
  </si>
  <si>
    <t>(316) 542-3166</t>
  </si>
  <si>
    <t>37515 WEST 15th SOUTH</t>
  </si>
  <si>
    <t>MANUFACTURING SOLUTIONS</t>
  </si>
  <si>
    <t>2320 N OLIVER RD</t>
  </si>
  <si>
    <t>Newton, KS 67114-9552</t>
  </si>
  <si>
    <t>(316) 282-0556</t>
  </si>
  <si>
    <t>MARTINREA RIVERSIDE, LLC</t>
  </si>
  <si>
    <t>5233 NW 41st St</t>
  </si>
  <si>
    <t>Riverside, MO 64150</t>
  </si>
  <si>
    <t>(816) 581-9973</t>
  </si>
  <si>
    <t>MAX AEROSTRUCTURES, LLC</t>
  </si>
  <si>
    <t>8219 W IRVING ST</t>
  </si>
  <si>
    <t>(316) 260-6066</t>
  </si>
  <si>
    <t>MAYNARD INC.</t>
  </si>
  <si>
    <t>7125 S. McGUIRE ST.</t>
  </si>
  <si>
    <t>Fayetteville, AR 72704-5237</t>
  </si>
  <si>
    <t>(479) 443-6677</t>
  </si>
  <si>
    <t>7175 S. McGUIRE ST.</t>
  </si>
  <si>
    <t>McGINTY MACHINE CO., INC.</t>
  </si>
  <si>
    <t>222 N. HYDRAULIC</t>
  </si>
  <si>
    <t>Wichita, KS 67214-4818</t>
  </si>
  <si>
    <t>(316) 269-3344</t>
  </si>
  <si>
    <t>MERRITT PREFERRED COMPONENTS, INC.</t>
  </si>
  <si>
    <t>PO BOX 1209</t>
  </si>
  <si>
    <t>Kilgore, TX 75663</t>
  </si>
  <si>
    <t>703 OLD GLADEWATER STREET</t>
  </si>
  <si>
    <t>Kilgore, TX 75662</t>
  </si>
  <si>
    <t>(903) 983-1592</t>
  </si>
  <si>
    <t>METAL ARTS MACHINE CO. LLC</t>
  </si>
  <si>
    <t>3921 N BRIDGEPORT CIR</t>
  </si>
  <si>
    <t>(316) 425-2579</t>
  </si>
  <si>
    <t>METAL FINISHING CO.</t>
  </si>
  <si>
    <t>1425 S. McLEAN BLVD.</t>
  </si>
  <si>
    <t>(316) 267-7289</t>
  </si>
  <si>
    <t>Wichita, AA 67214</t>
  </si>
  <si>
    <t>METAL FINISHING CO. -McLean</t>
  </si>
  <si>
    <t>METAL FORMING INC.</t>
  </si>
  <si>
    <t>PO BOX 487</t>
  </si>
  <si>
    <t>Belle Plaine, KS 67013</t>
  </si>
  <si>
    <t>305 SOUTH FARMER</t>
  </si>
  <si>
    <t>(620) 488-3930</t>
  </si>
  <si>
    <t>METALFORM INDUSTRIES, INC.</t>
  </si>
  <si>
    <t>1721 S EISENHOWER</t>
  </si>
  <si>
    <t>(316) 945-6700</t>
  </si>
  <si>
    <t>MICO MACHINE COMPANY</t>
  </si>
  <si>
    <t>390 S. REYNOLDS ST.</t>
  </si>
  <si>
    <t>La Grange, TX 78945</t>
  </si>
  <si>
    <t>(979) 968-9528</t>
  </si>
  <si>
    <t>MILLENNIUM MACHINE &amp; TOOL INC.</t>
  </si>
  <si>
    <t>900 W. FIRST - SUITE A</t>
  </si>
  <si>
    <t>Newton, KS 67114</t>
  </si>
  <si>
    <t>(316) 282-0884</t>
  </si>
  <si>
    <t>MPM, INC.</t>
  </si>
  <si>
    <t>2100 S. WEST ST.</t>
  </si>
  <si>
    <t>(316) 945-1227</t>
  </si>
  <si>
    <t>NATOMA MANUFACTURING, LLC</t>
  </si>
  <si>
    <t>16596 U.S. HWY 36</t>
  </si>
  <si>
    <t>Norton, KS 67654</t>
  </si>
  <si>
    <t>(785) 877-3529</t>
  </si>
  <si>
    <t>NIAR - QUALITY CONTROL &amp; STRAIN GAGE LAB</t>
  </si>
  <si>
    <t>1845 FAIRMOUNT</t>
  </si>
  <si>
    <t>Wichita, KS 67260-0093</t>
  </si>
  <si>
    <t>(316) 978-5207</t>
  </si>
  <si>
    <t>8351 N HYDRAULIC</t>
  </si>
  <si>
    <t>8351 N HYDRAULLIC</t>
  </si>
  <si>
    <t>OXWELL, INC.</t>
  </si>
  <si>
    <t>PO BOX 588</t>
  </si>
  <si>
    <t>(620) 326-7481</t>
  </si>
  <si>
    <t>600 E 16th</t>
  </si>
  <si>
    <t>PREMIER PROCESSING</t>
  </si>
  <si>
    <t>3002 WEST PAWNEE, STE 104</t>
  </si>
  <si>
    <t>Wichita, KS 67213-1806</t>
  </si>
  <si>
    <t>(316) 425-3565</t>
  </si>
  <si>
    <t>PROFESSIONAL MACHINE &amp; TOOL</t>
  </si>
  <si>
    <t>PO BOX 156</t>
  </si>
  <si>
    <t>Valley Center, KS 67147-0156</t>
  </si>
  <si>
    <t>(316) 832-1389</t>
  </si>
  <si>
    <t>500 EAST 5TH STREET</t>
  </si>
  <si>
    <t>QUIK TEK MACHINING LLC</t>
  </si>
  <si>
    <t>1901 SW BLVD</t>
  </si>
  <si>
    <t>(316) 260-9980</t>
  </si>
  <si>
    <t>R &amp; R AEROSPACE</t>
  </si>
  <si>
    <t>PO BOX 17034</t>
  </si>
  <si>
    <t>Wichita, KS 67217-0034</t>
  </si>
  <si>
    <t>(316) 942-6699</t>
  </si>
  <si>
    <t>2615 ESTHNER CT</t>
  </si>
  <si>
    <t>REGASA AEROSPACE, INC.</t>
  </si>
  <si>
    <t>4327 W. MAY STREET</t>
  </si>
  <si>
    <t>(316) 425-0079</t>
  </si>
  <si>
    <t>RICKMAN MACHINE CO.</t>
  </si>
  <si>
    <t>922 N. SANTA FE</t>
  </si>
  <si>
    <t>(316) 263-0841</t>
  </si>
  <si>
    <t>SHACKELFORD MACHINE</t>
  </si>
  <si>
    <t>PO BOX 670</t>
  </si>
  <si>
    <t>(620) 584-6418</t>
  </si>
  <si>
    <t>116 S TRACY</t>
  </si>
  <si>
    <t>SHIELD INDUSTRIES INC.</t>
  </si>
  <si>
    <t>904 EAST WILLIAMS</t>
  </si>
  <si>
    <t>South Hutchinson, KS 67505</t>
  </si>
  <si>
    <t>(620) 662-7221</t>
  </si>
  <si>
    <t>SHUTTLE AEROSPACE, INC.</t>
  </si>
  <si>
    <t>12550 W. 53rd St N.</t>
  </si>
  <si>
    <t>(316) 832-0210</t>
  </si>
  <si>
    <t>SIMON J MACHINE TOOL LLC</t>
  </si>
  <si>
    <t>10203 W YORK</t>
  </si>
  <si>
    <t>(316) 305-8581</t>
  </si>
  <si>
    <t>(316) 708-8956</t>
  </si>
  <si>
    <t>SINCLAIR &amp; SONS CUSTOM WELDING &amp; MACH.</t>
  </si>
  <si>
    <t>1023 S SANTA FE</t>
  </si>
  <si>
    <t>Wichita, KS 67211</t>
  </si>
  <si>
    <t>(316) 263-3500</t>
  </si>
  <si>
    <t>STRAIGHTLINE HDD</t>
  </si>
  <si>
    <t>1816 E Wasp Rd</t>
  </si>
  <si>
    <t>(620) 802-0209</t>
  </si>
  <si>
    <t>SUNSHINE METALS, INC.</t>
  </si>
  <si>
    <t>3941 S NORMAN</t>
  </si>
  <si>
    <t>(316) 522-3333</t>
  </si>
  <si>
    <t>3855 S NORMAN</t>
  </si>
  <si>
    <t>SUPPLY TECHNOLOGIES LLC</t>
  </si>
  <si>
    <t>P.O. BOX 6476</t>
  </si>
  <si>
    <t>Cleveland, OH 44101</t>
  </si>
  <si>
    <t>(440) 947-2095</t>
  </si>
  <si>
    <t>11700 STONEHOLLOW DR, STE 110</t>
  </si>
  <si>
    <t>Austin, TX 78758</t>
  </si>
  <si>
    <t>(512) 389-3840</t>
  </si>
  <si>
    <t>TECT - PARK CITY</t>
  </si>
  <si>
    <t>5545 N. MILL HEIGHTS DRIVE</t>
  </si>
  <si>
    <t>TRAN AEROSPACE</t>
  </si>
  <si>
    <t>7709 E. HARRY</t>
  </si>
  <si>
    <t>Wichita, KS 67207</t>
  </si>
  <si>
    <t>(316) 260-8808</t>
  </si>
  <si>
    <t>TRINITY PRECISION INC.</t>
  </si>
  <si>
    <t>1935 WALKER</t>
  </si>
  <si>
    <t>(316) 265-0603</t>
  </si>
  <si>
    <t>TW METALS, LLC - KANSAS DIVISION</t>
  </si>
  <si>
    <t>1200 BLAKE DRIVE</t>
  </si>
  <si>
    <t>(316) 744-5000</t>
  </si>
  <si>
    <t>(800) 203-8000</t>
  </si>
  <si>
    <t>WILDE TOOL CO., INC.</t>
  </si>
  <si>
    <t>1210 POTTAWATOMIE ST.</t>
  </si>
  <si>
    <t>Hiawatha, KS 66434</t>
  </si>
  <si>
    <t>(785) 742-7171</t>
  </si>
  <si>
    <t>Comments AF (Long)</t>
  </si>
  <si>
    <t>Comments AL (Long)</t>
  </si>
  <si>
    <t>filtered Addr</t>
  </si>
  <si>
    <t>Is Portable:</t>
  </si>
  <si>
    <t>Substring:</t>
  </si>
  <si>
    <t>0.42</t>
  </si>
  <si>
    <t>0.51</t>
  </si>
  <si>
    <t>0.45</t>
  </si>
  <si>
    <t>0.39</t>
  </si>
  <si>
    <t>0.32</t>
  </si>
  <si>
    <t>0.30</t>
  </si>
  <si>
    <t>0.47</t>
  </si>
  <si>
    <t>0.54</t>
  </si>
  <si>
    <t>0.58</t>
  </si>
  <si>
    <t>0.64</t>
  </si>
  <si>
    <t>0.22</t>
  </si>
  <si>
    <t>0.50</t>
  </si>
  <si>
    <t>0.25</t>
  </si>
  <si>
    <t>0.20</t>
  </si>
  <si>
    <t>0.70</t>
  </si>
  <si>
    <t>0.41</t>
  </si>
  <si>
    <t>0.31</t>
  </si>
  <si>
    <t>0.36</t>
  </si>
  <si>
    <t>0.26</t>
  </si>
  <si>
    <t>0.34</t>
  </si>
  <si>
    <t>0.49</t>
  </si>
  <si>
    <t>0.28</t>
  </si>
  <si>
    <t>0.44</t>
  </si>
  <si>
    <t>0.55</t>
  </si>
  <si>
    <t>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</si>
  <si>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This tester was calibrated by the indirect verification method in accordance with ASTM E110. It meets the requirements of ASTM E-18, except that, with dead-weight loads not used, direct verification has not been performed.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</si>
  <si>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Ver. 04.23.25</t>
  </si>
  <si>
    <t>AssetOwnership</t>
  </si>
  <si>
    <t>LegacyId</t>
  </si>
  <si>
    <t>VendorTag</t>
  </si>
  <si>
    <t>ServiceOptions</t>
  </si>
  <si>
    <t>MaintenancePlan</t>
  </si>
  <si>
    <t>MaintenanceTask</t>
  </si>
  <si>
    <t>NextServiceDate</t>
  </si>
  <si>
    <t>DueDate</t>
  </si>
  <si>
    <t>ServiceDate</t>
  </si>
  <si>
    <t>CertificateNumber</t>
  </si>
  <si>
    <t>CustomOrderNumber</t>
  </si>
  <si>
    <t>PartsChargeBeforeDiscount</t>
  </si>
  <si>
    <t>PartsCharge</t>
  </si>
  <si>
    <t>RepairsCharge</t>
  </si>
  <si>
    <t>ServiceCharge</t>
  </si>
  <si>
    <t>ProviderCompany</t>
  </si>
  <si>
    <t>ProviderPhone</t>
  </si>
  <si>
    <t>ProviderTechnician</t>
  </si>
  <si>
    <t>ServiceNotes</t>
  </si>
  <si>
    <t>VendorCompanyId</t>
  </si>
  <si>
    <t>ClientCompanyId</t>
  </si>
  <si>
    <t>AssetCompanyId</t>
  </si>
  <si>
    <t>AssetCompanyName</t>
  </si>
  <si>
    <t>AssetSiteId</t>
  </si>
  <si>
    <t>AssetSiteName</t>
  </si>
  <si>
    <t>AssetDescription</t>
  </si>
  <si>
    <t>AssetName</t>
  </si>
  <si>
    <t>AssetId</t>
  </si>
  <si>
    <t>AssetUserChange</t>
  </si>
  <si>
    <t>AssetTagChange</t>
  </si>
  <si>
    <t>AssetUser</t>
  </si>
  <si>
    <t>AssetTag</t>
  </si>
  <si>
    <t>SerialNumberChange</t>
  </si>
  <si>
    <t>SerialNumber</t>
  </si>
  <si>
    <t>AsLeftResult</t>
  </si>
  <si>
    <t>AsFoundResult</t>
  </si>
  <si>
    <t>ResultStatus</t>
  </si>
  <si>
    <t>NextServiceLevelCode</t>
  </si>
  <si>
    <t>NextServiceLevel</t>
  </si>
  <si>
    <t>ServiceLevelDocumentSection</t>
  </si>
  <si>
    <t>ServiceLevelDocumentNumber</t>
  </si>
  <si>
    <t>ServiceLevelCode</t>
  </si>
  <si>
    <t>ServiceLevel</t>
  </si>
  <si>
    <t>EquipmentId</t>
  </si>
  <si>
    <t>UpdatedOnUtc</t>
  </si>
  <si>
    <t>CreatedOnUtc</t>
  </si>
  <si>
    <t>AsLeftSpecification</t>
  </si>
  <si>
    <t>AsFoundSpecification</t>
  </si>
  <si>
    <t>ItemAsLeftResult</t>
  </si>
  <si>
    <t>ItemAsFoundResult</t>
  </si>
  <si>
    <t>ItemResultStatus</t>
  </si>
  <si>
    <t>AsLeftCheck</t>
  </si>
  <si>
    <t>AsFoundCheck</t>
  </si>
  <si>
    <t>UpdatedBy</t>
  </si>
  <si>
    <t>UpdatedById</t>
  </si>
  <si>
    <t>CompletedById</t>
  </si>
  <si>
    <t>CompletedByName</t>
  </si>
  <si>
    <t>CompletedOn</t>
  </si>
  <si>
    <t>CheckedById</t>
  </si>
  <si>
    <t>CheckedByName</t>
  </si>
  <si>
    <t>CheckedOn</t>
  </si>
  <si>
    <t>IsLimited</t>
  </si>
  <si>
    <t>CustomWorkStatus</t>
  </si>
  <si>
    <t>WorkStatus</t>
  </si>
  <si>
    <t>DocumentSection</t>
  </si>
  <si>
    <t>DocumentNumber</t>
  </si>
  <si>
    <t>ServiceType</t>
  </si>
  <si>
    <t>OverridePartsTotal</t>
  </si>
  <si>
    <t>OverrideRepairsTotal</t>
  </si>
  <si>
    <t>OverrideServiceTotal</t>
  </si>
  <si>
    <t>PartsTotalBeforeDiscount</t>
  </si>
  <si>
    <t>PartsTotal</t>
  </si>
  <si>
    <t>RepairsTotal</t>
  </si>
  <si>
    <t>ServiceTotal</t>
  </si>
  <si>
    <t>ChannelCount</t>
  </si>
  <si>
    <t>ServiceOrderId</t>
  </si>
  <si>
    <t>OrderItemNumber</t>
  </si>
  <si>
    <t>PrivateComments</t>
  </si>
  <si>
    <t>ServiceComments</t>
  </si>
  <si>
    <t>ClientNotes</t>
  </si>
  <si>
    <t>WorkItemId</t>
  </si>
  <si>
    <t>CompanyId</t>
  </si>
  <si>
    <t>AssetStatus</t>
  </si>
  <si>
    <t>AssetMaker</t>
  </si>
  <si>
    <t>Location</t>
  </si>
  <si>
    <t>RoomNumber</t>
  </si>
  <si>
    <t>Barcode</t>
  </si>
  <si>
    <t>LegacyIdentifier</t>
  </si>
  <si>
    <t>RootCategoryName</t>
  </si>
  <si>
    <t>CategoryName</t>
  </si>
  <si>
    <t>Class</t>
  </si>
  <si>
    <t>CustodianEmail</t>
  </si>
  <si>
    <t>CustodianName</t>
  </si>
  <si>
    <t>Department</t>
  </si>
  <si>
    <t>Station</t>
  </si>
  <si>
    <t>Notes</t>
  </si>
  <si>
    <t>CumulativeServiceCost</t>
  </si>
  <si>
    <t>ProductId</t>
  </si>
  <si>
    <t>ManufacturerPartNumber</t>
  </si>
  <si>
    <t>ProductName</t>
  </si>
  <si>
    <t>ProductDescription</t>
  </si>
  <si>
    <t>ProductManufacturer</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</si>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</sst>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F"/>
    <numFmt numFmtId="166" formatCode="0.00&quot; µm&quot;"/>
    <numFmt numFmtId="167" formatCode="[$-409]mmmm\ d\,\ yyyy;@"/>
  </numFmts>
  <fonts count="37" x14ac:knownFonts="1">
    <font>
      <sz val="11"/>
      <color theme="1"/>
      <name val="Calibri"/>
      <family val="2"/>
      <scheme val="minor"/>
    </font>
    <font>
      <sz val="16"/>
      <color theme="1"/>
      <name val="Calibri"/>
      <family val="2"/>
      <scheme val="minor"/>
    </font>
    <font>
      <sz val="8"/>
      <color theme="1"/>
      <name val="Calibri"/>
      <family val="2"/>
      <scheme val="minor"/>
    </font>
    <font>
      <sz val="20"/>
      <color theme="1"/>
      <name val="Calibri"/>
      <family val="2"/>
      <scheme val="minor"/>
    </font>
    <font>
      <sz val="11"/>
      <name val="Calibri"/>
      <family val="2"/>
      <scheme val="minor"/>
    </font>
    <font>
      <sz val="11"/>
      <color theme="1"/>
      <name val="Brussels Condensed"/>
      <family val="1"/>
    </font>
    <font>
      <b/>
      <sz val="10"/>
      <color theme="1"/>
      <name val="Calibri"/>
      <family val="2"/>
      <scheme val="minor"/>
    </font>
    <font>
      <sz val="9"/>
      <color theme="1"/>
      <name val="MS Serif"/>
      <family val="1"/>
    </font>
    <font>
      <b/>
      <sz val="8"/>
      <color theme="1"/>
      <name val="Calibri"/>
      <family val="2"/>
      <scheme val="minor"/>
    </font>
    <font>
      <u/>
      <sz val="11"/>
      <color theme="1"/>
      <name val="Calibri"/>
      <family val="2"/>
      <scheme val="minor"/>
    </font>
    <font>
      <b/>
      <u/>
      <sz val="11"/>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10"/>
      <name val="Arial"/>
      <family val="2"/>
    </font>
    <font>
      <b/>
      <sz val="11"/>
      <color rgb="FFFF0000"/>
      <name val="Calibri"/>
      <family val="2"/>
      <scheme val="minor"/>
    </font>
    <font>
      <sz val="10"/>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2"/>
      <color theme="1"/>
      <name val="Calibri"/>
      <family val="2"/>
      <scheme val="minor"/>
    </font>
    <font>
      <b/>
      <sz val="16"/>
      <color theme="1"/>
      <name val="Calibri"/>
      <family val="2"/>
      <scheme val="minor"/>
    </font>
    <font>
      <b/>
      <sz val="11"/>
      <color theme="1"/>
      <name val="Brussels Condensed"/>
      <family val="1"/>
    </font>
    <font>
      <b/>
      <sz val="18"/>
      <color theme="1"/>
      <name val="Calibri"/>
      <family val="2"/>
      <scheme val="minor"/>
    </font>
    <font>
      <b/>
      <sz val="16"/>
      <color rgb="FFFF0000"/>
      <name val="Calibri"/>
      <family val="2"/>
      <scheme val="minor"/>
    </font>
    <font>
      <vertAlign val="superscript"/>
      <sz val="11"/>
      <color theme="1"/>
      <name val="Calibri"/>
      <family val="2"/>
    </font>
    <font>
      <b/>
      <sz val="11"/>
      <color rgb="FFFF0000"/>
      <name val="Brussels Condensed"/>
      <family val="1"/>
    </font>
    <font>
      <b/>
      <sz val="12"/>
      <color rgb="FFFF0000"/>
      <name val="Calibri"/>
      <family val="2"/>
      <scheme val="minor"/>
    </font>
    <font>
      <b/>
      <sz val="13"/>
      <color rgb="FFFF0000"/>
      <name val="Calibri"/>
      <family val="2"/>
      <scheme val="minor"/>
    </font>
    <font>
      <sz val="11"/>
      <color theme="0"/>
      <name val="Calibri"/>
      <family val="2"/>
      <scheme val="minor"/>
    </font>
    <font>
      <b/>
      <sz val="11"/>
      <color theme="0"/>
      <name val="Calibri"/>
      <family val="2"/>
      <scheme val="minor"/>
    </font>
    <font>
      <sz val="8"/>
      <name val="Calibri"/>
      <family val="2"/>
      <scheme val="minor"/>
    </font>
    <font>
      <sz val="8"/>
      <color rgb="FF000000"/>
      <name val="Tahoma"/>
      <family val="2"/>
    </font>
    <font>
      <sz val="11"/>
      <color rgb="FF000000"/>
      <name val="Calibri"/>
      <family val="2"/>
    </font>
    <font>
      <i/>
      <sz val="11"/>
      <color theme="1"/>
      <name val="Calibri"/>
      <family val="2"/>
      <scheme val="minor"/>
    </font>
    <font>
      <b/>
      <u/>
      <sz val="9"/>
      <color theme="1"/>
      <name val="Calibri"/>
      <family val="2"/>
      <scheme val="minor"/>
    </font>
    <font>
      <b/>
      <sz val="11"/>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theme="4"/>
      </patternFill>
    </fill>
    <fill>
      <patternFill patternType="solid">
        <fgColor theme="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s>
  <cellStyleXfs count="4">
    <xf numFmtId="0" fontId="0" fillId="0" borderId="0"/>
    <xf numFmtId="0" fontId="13" fillId="0" borderId="0"/>
    <xf numFmtId="0" fontId="14" fillId="0" borderId="0"/>
    <xf numFmtId="0" fontId="29" fillId="7" borderId="0" applyNumberFormat="0" applyBorder="0" applyAlignment="0" applyProtection="0"/>
  </cellStyleXfs>
  <cellXfs count="154">
    <xf numFmtId="0" fontId="0" fillId="0" borderId="0" xfId="0"/>
    <xf numFmtId="0" fontId="0" fillId="0" borderId="0" xfId="0" applyAlignment="1">
      <alignment horizontal="left"/>
    </xf>
    <xf numFmtId="0" fontId="0" fillId="0" borderId="0" xfId="0" applyAlignment="1">
      <alignment horizontal="left" vertical="top" wrapText="1"/>
    </xf>
    <xf numFmtId="164" fontId="0" fillId="0" borderId="0" xfId="0" applyNumberFormat="1"/>
    <xf numFmtId="0" fontId="0" fillId="0" borderId="0" xfId="0" applyAlignment="1">
      <alignment horizontal="right"/>
    </xf>
    <xf numFmtId="0" fontId="4" fillId="0" borderId="0" xfId="0" applyFont="1"/>
    <xf numFmtId="0" fontId="0" fillId="0" borderId="1" xfId="0" applyBorder="1" applyAlignment="1">
      <alignment horizontal="center"/>
    </xf>
    <xf numFmtId="0" fontId="7" fillId="0" borderId="1" xfId="0" applyFont="1" applyBorder="1" applyAlignment="1">
      <alignment horizontal="center"/>
    </xf>
    <xf numFmtId="0" fontId="2" fillId="0" borderId="1" xfId="0" applyFont="1" applyBorder="1" applyAlignment="1">
      <alignment horizontal="center"/>
    </xf>
    <xf numFmtId="0" fontId="5" fillId="0" borderId="0" xfId="0" applyFont="1"/>
    <xf numFmtId="164" fontId="8" fillId="0" borderId="0" xfId="0" applyNumberFormat="1" applyFont="1" applyAlignment="1">
      <alignment horizontal="center"/>
    </xf>
    <xf numFmtId="164" fontId="5" fillId="0" borderId="0" xfId="0" applyNumberFormat="1" applyFont="1" applyAlignment="1">
      <alignment horizontal="center"/>
    </xf>
    <xf numFmtId="49" fontId="5" fillId="0" borderId="0" xfId="0" applyNumberFormat="1" applyFont="1"/>
    <xf numFmtId="0" fontId="5" fillId="0" borderId="0" xfId="0" applyFont="1" applyAlignment="1">
      <alignment horizontal="center"/>
    </xf>
    <xf numFmtId="164" fontId="5" fillId="0" borderId="0" xfId="0" quotePrefix="1" applyNumberFormat="1" applyFont="1" applyAlignment="1">
      <alignment horizontal="center"/>
    </xf>
    <xf numFmtId="0" fontId="9" fillId="0" borderId="0" xfId="0" applyFont="1"/>
    <xf numFmtId="0" fontId="10" fillId="0" borderId="0" xfId="0" applyFont="1" applyAlignment="1">
      <alignment horizontal="center"/>
    </xf>
    <xf numFmtId="0" fontId="10" fillId="0" borderId="0" xfId="0" applyFont="1"/>
    <xf numFmtId="0" fontId="0" fillId="0" borderId="0" xfId="0" applyAlignment="1">
      <alignment horizontal="center"/>
    </xf>
    <xf numFmtId="0" fontId="11" fillId="0" borderId="0" xfId="0" applyFont="1"/>
    <xf numFmtId="0" fontId="11" fillId="0" borderId="0" xfId="0" applyFont="1" applyAlignment="1">
      <alignment horizontal="left"/>
    </xf>
    <xf numFmtId="0" fontId="9" fillId="0" borderId="0" xfId="0" applyFont="1" applyAlignment="1">
      <alignment horizontal="right"/>
    </xf>
    <xf numFmtId="164" fontId="0" fillId="0" borderId="0" xfId="0" applyNumberFormat="1" applyAlignment="1">
      <alignment horizontal="right"/>
    </xf>
    <xf numFmtId="164" fontId="15" fillId="0" borderId="0" xfId="0" applyNumberFormat="1" applyFont="1"/>
    <xf numFmtId="0" fontId="0" fillId="0" borderId="0" xfId="0" applyAlignment="1">
      <alignment vertical="top" wrapText="1"/>
    </xf>
    <xf numFmtId="0" fontId="0" fillId="0" borderId="0" xfId="0" applyAlignment="1">
      <alignment vertical="top"/>
    </xf>
    <xf numFmtId="0" fontId="11" fillId="0" borderId="0" xfId="0" applyFont="1" applyAlignment="1">
      <alignment horizontal="center"/>
    </xf>
    <xf numFmtId="0" fontId="0" fillId="3" borderId="0" xfId="0" applyFill="1"/>
    <xf numFmtId="0" fontId="0" fillId="3" borderId="0" xfId="0" quotePrefix="1" applyFill="1"/>
    <xf numFmtId="0" fontId="4" fillId="3" borderId="0" xfId="0" applyFont="1" applyFill="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9" fillId="0" borderId="4" xfId="0" applyFont="1" applyBorder="1" applyAlignment="1">
      <alignment horizontal="center"/>
    </xf>
    <xf numFmtId="0" fontId="3" fillId="0" borderId="0" xfId="0" applyFont="1" applyAlignment="1">
      <alignment horizontal="center"/>
    </xf>
    <xf numFmtId="49" fontId="0" fillId="0" borderId="0" xfId="0" applyNumberFormat="1"/>
    <xf numFmtId="0" fontId="11" fillId="0" borderId="16" xfId="0" applyFont="1" applyBorder="1" applyAlignment="1">
      <alignment horizontal="center"/>
    </xf>
    <xf numFmtId="0" fontId="11" fillId="0" borderId="17" xfId="0" applyFont="1" applyBorder="1" applyAlignment="1">
      <alignment horizontal="center"/>
    </xf>
    <xf numFmtId="0" fontId="11" fillId="0" borderId="18" xfId="0" applyFont="1" applyBorder="1" applyAlignment="1">
      <alignment horizontal="center"/>
    </xf>
    <xf numFmtId="0" fontId="19" fillId="0" borderId="0" xfId="0" applyFont="1" applyAlignment="1">
      <alignment horizontal="center"/>
    </xf>
    <xf numFmtId="0" fontId="19" fillId="0" borderId="0" xfId="0" applyFont="1"/>
    <xf numFmtId="164" fontId="11" fillId="0" borderId="6" xfId="0" applyNumberFormat="1" applyFont="1" applyBorder="1" applyAlignment="1">
      <alignment horizontal="center"/>
    </xf>
    <xf numFmtId="164" fontId="11" fillId="0" borderId="0" xfId="0" applyNumberFormat="1" applyFont="1" applyAlignment="1">
      <alignment horizontal="center"/>
    </xf>
    <xf numFmtId="164" fontId="11" fillId="0" borderId="3" xfId="0" applyNumberFormat="1" applyFont="1" applyBorder="1" applyAlignment="1">
      <alignment horizontal="center"/>
    </xf>
    <xf numFmtId="0" fontId="0" fillId="0" borderId="1" xfId="0" applyBorder="1"/>
    <xf numFmtId="0" fontId="0" fillId="2" borderId="0" xfId="0" applyFill="1"/>
    <xf numFmtId="164" fontId="0" fillId="3" borderId="0" xfId="0" quotePrefix="1" applyNumberFormat="1" applyFill="1"/>
    <xf numFmtId="49" fontId="0" fillId="3" borderId="0" xfId="0" quotePrefix="1" applyNumberFormat="1" applyFill="1"/>
    <xf numFmtId="49" fontId="5" fillId="0" borderId="0" xfId="0" applyNumberFormat="1" applyFont="1" applyAlignment="1">
      <alignment horizontal="center"/>
    </xf>
    <xf numFmtId="164" fontId="5" fillId="0" borderId="0" xfId="0" applyNumberFormat="1" applyFont="1"/>
    <xf numFmtId="166" fontId="0" fillId="0" borderId="0" xfId="0" applyNumberFormat="1"/>
    <xf numFmtId="0" fontId="0" fillId="0" borderId="0" xfId="0" applyAlignment="1">
      <alignment horizontal="left" vertical="top" readingOrder="1"/>
    </xf>
    <xf numFmtId="0" fontId="11" fillId="2" borderId="1" xfId="0" applyFont="1" applyFill="1" applyBorder="1" applyAlignment="1" applyProtection="1">
      <alignment horizontal="left"/>
      <protection locked="0"/>
    </xf>
    <xf numFmtId="0" fontId="11" fillId="2" borderId="1" xfId="0" applyFont="1" applyFill="1" applyBorder="1" applyProtection="1">
      <protection locked="0"/>
    </xf>
    <xf numFmtId="0" fontId="0" fillId="2" borderId="1" xfId="0" applyFill="1" applyBorder="1" applyProtection="1">
      <protection locked="0"/>
    </xf>
    <xf numFmtId="14" fontId="11" fillId="2" borderId="1" xfId="0" applyNumberFormat="1" applyFont="1" applyFill="1" applyBorder="1" applyAlignment="1" applyProtection="1">
      <alignment horizontal="left"/>
      <protection locked="0"/>
    </xf>
    <xf numFmtId="165" fontId="11" fillId="2" borderId="1" xfId="0" applyNumberFormat="1" applyFont="1" applyFill="1" applyBorder="1" applyAlignment="1" applyProtection="1">
      <alignment horizontal="left"/>
      <protection locked="0"/>
    </xf>
    <xf numFmtId="9" fontId="11" fillId="2" borderId="1" xfId="0" applyNumberFormat="1" applyFont="1" applyFill="1" applyBorder="1" applyAlignment="1" applyProtection="1">
      <alignment horizontal="left"/>
      <protection locked="0"/>
    </xf>
    <xf numFmtId="49" fontId="11" fillId="2" borderId="1" xfId="0" applyNumberFormat="1" applyFont="1" applyFill="1" applyBorder="1" applyAlignment="1" applyProtection="1">
      <alignment horizontal="left"/>
      <protection locked="0"/>
    </xf>
    <xf numFmtId="164" fontId="5" fillId="2" borderId="1" xfId="0" applyNumberFormat="1" applyFont="1" applyFill="1" applyBorder="1" applyAlignment="1" applyProtection="1">
      <alignment horizontal="left" indent="1"/>
      <protection locked="0"/>
    </xf>
    <xf numFmtId="0" fontId="20" fillId="0" borderId="0" xfId="0" applyFont="1" applyAlignment="1">
      <alignment horizontal="left"/>
    </xf>
    <xf numFmtId="0" fontId="20" fillId="0" borderId="0" xfId="0" applyFont="1"/>
    <xf numFmtId="0" fontId="17" fillId="0" borderId="0" xfId="0" applyFont="1"/>
    <xf numFmtId="164" fontId="22" fillId="0" borderId="0" xfId="0" applyNumberFormat="1" applyFont="1" applyAlignment="1">
      <alignment horizontal="center"/>
    </xf>
    <xf numFmtId="164" fontId="5" fillId="5" borderId="1" xfId="0" applyNumberFormat="1" applyFont="1" applyFill="1" applyBorder="1" applyProtection="1">
      <protection locked="0"/>
    </xf>
    <xf numFmtId="164" fontId="5" fillId="5" borderId="1" xfId="0" applyNumberFormat="1" applyFont="1" applyFill="1" applyBorder="1" applyAlignment="1" applyProtection="1">
      <alignment horizontal="center"/>
      <protection locked="0"/>
    </xf>
    <xf numFmtId="0" fontId="10" fillId="0" borderId="0" xfId="0" applyFont="1" applyAlignment="1">
      <alignment horizontal="right"/>
    </xf>
    <xf numFmtId="164" fontId="15" fillId="0" borderId="0" xfId="0" quotePrefix="1" applyNumberFormat="1" applyFont="1"/>
    <xf numFmtId="0" fontId="12" fillId="0" borderId="0" xfId="0" applyFont="1" applyAlignment="1">
      <alignment horizontal="center"/>
    </xf>
    <xf numFmtId="0" fontId="23" fillId="0" borderId="0" xfId="0" applyFont="1"/>
    <xf numFmtId="49" fontId="11" fillId="0" borderId="0" xfId="0" applyNumberFormat="1" applyFont="1" applyAlignment="1">
      <alignment horizontal="center"/>
    </xf>
    <xf numFmtId="0" fontId="11" fillId="0" borderId="6" xfId="0" applyFont="1" applyBorder="1" applyAlignment="1">
      <alignment horizontal="center"/>
    </xf>
    <xf numFmtId="0" fontId="11" fillId="0" borderId="3" xfId="0" applyFont="1" applyBorder="1" applyAlignment="1">
      <alignment horizontal="center"/>
    </xf>
    <xf numFmtId="164" fontId="11" fillId="0" borderId="0" xfId="0" applyNumberFormat="1" applyFont="1"/>
    <xf numFmtId="0" fontId="0" fillId="0" borderId="0" xfId="0" applyAlignment="1">
      <alignment horizontal="left" vertical="top"/>
    </xf>
    <xf numFmtId="0" fontId="24" fillId="0" borderId="0" xfId="0" applyFont="1" applyAlignment="1">
      <alignment horizontal="left"/>
    </xf>
    <xf numFmtId="0" fontId="25" fillId="0" borderId="0" xfId="0" applyFont="1"/>
    <xf numFmtId="0" fontId="0" fillId="0" borderId="0" xfId="0" quotePrefix="1"/>
    <xf numFmtId="0" fontId="28" fillId="0" borderId="0" xfId="0" applyFont="1"/>
    <xf numFmtId="0" fontId="27" fillId="0" borderId="0" xfId="0" quotePrefix="1" applyFont="1"/>
    <xf numFmtId="0" fontId="29" fillId="0" borderId="0" xfId="0" applyFont="1"/>
    <xf numFmtId="0" fontId="30" fillId="6" borderId="19" xfId="0" applyFont="1" applyFill="1" applyBorder="1"/>
    <xf numFmtId="0" fontId="30" fillId="6" borderId="20" xfId="0" applyFont="1" applyFill="1" applyBorder="1"/>
    <xf numFmtId="0" fontId="30" fillId="6" borderId="21" xfId="0" applyFont="1" applyFill="1" applyBorder="1"/>
    <xf numFmtId="0" fontId="0" fillId="0" borderId="17" xfId="0" applyBorder="1" applyAlignment="1">
      <alignment horizontal="right"/>
    </xf>
    <xf numFmtId="0" fontId="16" fillId="0" borderId="17" xfId="0" applyFont="1" applyBorder="1" applyAlignment="1">
      <alignment horizontal="right"/>
    </xf>
    <xf numFmtId="0" fontId="29" fillId="0" borderId="0" xfId="0" applyFont="1" applyAlignment="1" applyProtection="1">
      <alignment shrinkToFit="1"/>
      <protection hidden="1"/>
    </xf>
    <xf numFmtId="0" fontId="26" fillId="0" borderId="0" xfId="0" quotePrefix="1" applyFont="1"/>
    <xf numFmtId="0" fontId="26" fillId="0" borderId="0" xfId="0" applyFont="1"/>
    <xf numFmtId="0" fontId="11" fillId="0" borderId="5" xfId="0" applyFont="1" applyBorder="1" applyAlignment="1">
      <alignment horizontal="center"/>
    </xf>
    <xf numFmtId="0" fontId="11" fillId="0" borderId="7" xfId="0" applyFont="1" applyBorder="1" applyAlignment="1">
      <alignment horizontal="center"/>
    </xf>
    <xf numFmtId="0" fontId="11" fillId="0" borderId="8" xfId="0" applyFont="1" applyBorder="1" applyAlignment="1">
      <alignment horizontal="center"/>
    </xf>
    <xf numFmtId="0" fontId="9" fillId="0" borderId="0" xfId="0" applyFont="1" applyAlignment="1">
      <alignment horizontal="center"/>
    </xf>
    <xf numFmtId="49" fontId="11" fillId="0" borderId="6" xfId="0" applyNumberFormat="1" applyFont="1" applyBorder="1" applyAlignment="1">
      <alignment horizontal="center"/>
    </xf>
    <xf numFmtId="49" fontId="11" fillId="0" borderId="3" xfId="0" applyNumberFormat="1" applyFont="1" applyBorder="1" applyAlignment="1">
      <alignment horizontal="center"/>
    </xf>
    <xf numFmtId="49" fontId="11" fillId="0" borderId="0" xfId="0" applyNumberFormat="1" applyFont="1"/>
    <xf numFmtId="164" fontId="9" fillId="0" borderId="0" xfId="0" applyNumberFormat="1" applyFont="1"/>
    <xf numFmtId="0" fontId="29" fillId="7" borderId="0" xfId="3"/>
    <xf numFmtId="0" fontId="5" fillId="0" borderId="1" xfId="0" applyFont="1" applyBorder="1" applyAlignment="1">
      <alignment horizontal="center" vertical="center"/>
    </xf>
    <xf numFmtId="0" fontId="0" fillId="0" borderId="0" xfId="0" applyAlignment="1">
      <alignment horizontal="center" vertical="center"/>
    </xf>
    <xf numFmtId="0" fontId="26" fillId="0" borderId="0" xfId="0" quotePrefix="1" applyFont="1" applyAlignment="1">
      <alignment horizontal="center" vertical="center"/>
    </xf>
    <xf numFmtId="0" fontId="4" fillId="0" borderId="0" xfId="0" applyFont="1" applyAlignment="1">
      <alignment horizontal="right"/>
    </xf>
    <xf numFmtId="0" fontId="0" fillId="3" borderId="0" xfId="0" applyFill="1" applyProtection="1">
      <protection locked="0" hidden="1"/>
    </xf>
    <xf numFmtId="0" fontId="11"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34" fillId="0" borderId="0" xfId="0" applyFont="1"/>
    <xf numFmtId="0" fontId="35" fillId="0" borderId="0" xfId="0" applyFont="1"/>
    <xf numFmtId="0" fontId="36" fillId="0" borderId="0" xfId="0" applyFont="1" applyAlignment="1" applyProtection="1">
      <alignment horizontal="right"/>
      <protection hidden="1"/>
    </xf>
    <xf numFmtId="49" fontId="5" fillId="2" borderId="1" xfId="0" applyNumberFormat="1" applyFont="1" applyFill="1" applyBorder="1" applyAlignment="1" applyProtection="1">
      <alignment horizontal="center"/>
      <protection locked="0"/>
    </xf>
    <xf numFmtId="164" fontId="6" fillId="0" borderId="0" xfId="0" applyNumberFormat="1" applyFont="1" applyAlignment="1">
      <alignment horizontal="center"/>
    </xf>
    <xf numFmtId="0" fontId="5"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49" fontId="5" fillId="2" borderId="9" xfId="0" applyNumberFormat="1" applyFont="1" applyFill="1" applyBorder="1" applyAlignment="1" applyProtection="1">
      <alignment horizontal="center"/>
      <protection locked="0"/>
    </xf>
    <xf numFmtId="49" fontId="5" fillId="2" borderId="10" xfId="0" applyNumberFormat="1" applyFont="1" applyFill="1" applyBorder="1" applyAlignment="1" applyProtection="1">
      <alignment horizontal="center"/>
      <protection locked="0"/>
    </xf>
    <xf numFmtId="0" fontId="21" fillId="0" borderId="0" xfId="0" applyFont="1" applyAlignment="1">
      <alignment horizontal="center"/>
    </xf>
    <xf numFmtId="0" fontId="0" fillId="2" borderId="9"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1" fillId="0" borderId="0" xfId="0" applyFont="1" applyAlignment="1">
      <alignment horizontal="center"/>
    </xf>
    <xf numFmtId="0" fontId="3" fillId="0" borderId="0" xfId="0" applyFont="1" applyAlignment="1">
      <alignment horizontal="center"/>
    </xf>
    <xf numFmtId="0" fontId="0" fillId="0" borderId="0" xfId="0" applyAlignment="1">
      <alignment horizontal="right"/>
    </xf>
    <xf numFmtId="0" fontId="0" fillId="0" borderId="0" xfId="0"/>
    <xf numFmtId="0" fontId="0" fillId="4" borderId="9" xfId="0" applyFill="1" applyBorder="1" applyAlignment="1" applyProtection="1">
      <alignment horizontal="center"/>
      <protection locked="0"/>
    </xf>
    <xf numFmtId="0" fontId="0" fillId="4" borderId="2" xfId="0" applyFill="1" applyBorder="1" applyAlignment="1" applyProtection="1">
      <alignment horizontal="center"/>
      <protection locked="0"/>
    </xf>
    <xf numFmtId="0" fontId="0" fillId="4" borderId="10" xfId="0" applyFill="1" applyBorder="1" applyAlignment="1" applyProtection="1">
      <alignment horizontal="center"/>
      <protection locked="0"/>
    </xf>
    <xf numFmtId="0" fontId="11" fillId="2" borderId="1" xfId="0" applyFont="1" applyFill="1" applyBorder="1" applyProtection="1">
      <protection locked="0"/>
    </xf>
    <xf numFmtId="0" fontId="0" fillId="4" borderId="1" xfId="0" applyFill="1" applyBorder="1" applyAlignment="1">
      <alignment horizontal="center"/>
    </xf>
    <xf numFmtId="0" fontId="11" fillId="2" borderId="1" xfId="0" applyFont="1" applyFill="1" applyBorder="1" applyAlignment="1" applyProtection="1">
      <alignment horizontal="left"/>
      <protection locked="0"/>
    </xf>
    <xf numFmtId="0" fontId="19" fillId="2" borderId="1" xfId="0" applyFont="1" applyFill="1" applyBorder="1" applyProtection="1">
      <protection locked="0"/>
    </xf>
    <xf numFmtId="49" fontId="11" fillId="2" borderId="1" xfId="0" applyNumberFormat="1" applyFont="1" applyFill="1" applyBorder="1" applyProtection="1">
      <protection locked="0"/>
    </xf>
    <xf numFmtId="0" fontId="0" fillId="2" borderId="1" xfId="0" applyFill="1" applyBorder="1" applyProtection="1">
      <protection locked="0"/>
    </xf>
    <xf numFmtId="0" fontId="11" fillId="0" borderId="0" xfId="0" applyFont="1" applyAlignment="1">
      <alignment horizontal="left"/>
    </xf>
    <xf numFmtId="0" fontId="12" fillId="0" borderId="0" xfId="0" applyFont="1" applyAlignment="1">
      <alignment horizontal="center"/>
    </xf>
    <xf numFmtId="0" fontId="0" fillId="0" borderId="0" xfId="0" applyAlignment="1" applyProtection="1">
      <alignment horizontal="center"/>
      <protection locked="0"/>
    </xf>
    <xf numFmtId="0" fontId="23" fillId="0" borderId="0" xfId="0" applyFont="1" applyAlignment="1">
      <alignment horizontal="center"/>
    </xf>
    <xf numFmtId="0" fontId="18" fillId="0" borderId="0" xfId="0" applyFont="1" applyAlignment="1">
      <alignment horizontal="center"/>
    </xf>
    <xf numFmtId="167" fontId="11" fillId="0" borderId="0" xfId="0" applyNumberFormat="1" applyFont="1" applyAlignment="1">
      <alignment horizontal="left"/>
    </xf>
    <xf numFmtId="165" fontId="11" fillId="0" borderId="0" xfId="0" applyNumberFormat="1" applyFont="1" applyAlignment="1">
      <alignment horizontal="left"/>
    </xf>
    <xf numFmtId="9" fontId="11" fillId="0" borderId="0" xfId="0" applyNumberFormat="1" applyFont="1" applyAlignment="1">
      <alignment horizontal="left"/>
    </xf>
    <xf numFmtId="0" fontId="11" fillId="0" borderId="0" xfId="0" applyFont="1" applyAlignment="1">
      <alignment horizontal="left" vertical="top" wrapText="1"/>
    </xf>
    <xf numFmtId="0" fontId="0" fillId="0" borderId="0" xfId="0" applyAlignment="1">
      <alignment horizontal="left" vertical="top" wrapText="1"/>
    </xf>
    <xf numFmtId="0" fontId="16" fillId="0" borderId="0" xfId="0" applyFont="1" applyAlignment="1">
      <alignment horizontal="left" vertical="top" wrapText="1"/>
    </xf>
    <xf numFmtId="0" fontId="2" fillId="0" borderId="0" xfId="0" applyFont="1" applyAlignment="1">
      <alignment horizontal="left" vertical="top" wrapText="1"/>
    </xf>
    <xf numFmtId="0" fontId="11" fillId="0" borderId="0" xfId="0" applyFont="1" applyAlignment="1" applyProtection="1">
      <alignment horizontal="left" vertical="top" wrapText="1"/>
      <protection locked="0"/>
    </xf>
    <xf numFmtId="0" fontId="29" fillId="7" borderId="0" xfId="3" applyAlignment="1"/>
    <xf numFmtId="0" fontId="11" fillId="2" borderId="1" xfId="0" applyNumberFormat="1" applyFont="1" applyFill="1" applyBorder="1" applyAlignment="1" applyProtection="1">
      <alignment horizontal="left"/>
    </xf>
    <xf numFmtId="0" fontId="0" fillId="0" borderId="0" xfId="0" applyNumberFormat="1"/>
    <xf numFmtId="22" fontId="0" fillId="0" borderId="0" xfId="0" applyNumberFormat="1"/>
    <xf numFmtId="0" fontId="11" fillId="2" borderId="1" xfId="0" applyNumberFormat="1" applyFont="1" applyFill="1" applyBorder="1" applyProtection="1"/>
    <xf numFmtId="0" fontId="0" fillId="2" borderId="1" xfId="0" applyFill="1" applyBorder="1" applyProtection="1"/>
    <xf numFmtId="0" fontId="11" fillId="2" borderId="1" xfId="0" applyFont="1" applyFill="1" applyBorder="1" applyProtection="1"/>
  </cellXfs>
  <cellStyles count="4">
    <cellStyle name="Accent1" xfId="3" builtinId="29"/>
    <cellStyle name="Normal" xfId="0" builtinId="0"/>
    <cellStyle name="Normal 2" xfId="2" xr:uid="{00000000-0005-0000-0000-000001000000}"/>
    <cellStyle name="Normal 3" xfId="1" xr:uid="{00000000-0005-0000-0000-000002000000}"/>
  </cellStyles>
  <dxfs count="32">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patternType="lightUp">
          <bgColor theme="0" tint="-0.34998626667073579"/>
        </patternFill>
      </fill>
    </dxf>
    <dxf>
      <numFmt numFmtId="0" formatCode="General"/>
    </dxf>
    <dxf>
      <numFmt numFmtId="0" formatCode="General"/>
    </dxf>
    <dxf>
      <numFmt numFmtId="0" formatCode="General"/>
    </dxf>
    <dxf>
      <numFmt numFmtId="0" formatCode="General"/>
    </dxf>
    <dxf>
      <numFmt numFmtId="0" formatCode="General"/>
    </dxf>
    <dxf>
      <numFmt numFmtId="164" formatCode="0.0"/>
    </dxf>
    <dxf>
      <numFmt numFmtId="164" formatCode="0.0"/>
    </dxf>
    <dxf>
      <numFmt numFmtId="164" formatCode="0.0"/>
    </dxf>
    <dxf>
      <font>
        <b val="0"/>
        <i val="0"/>
        <strike val="0"/>
        <condense val="0"/>
        <extend val="0"/>
        <outline val="0"/>
        <shadow val="0"/>
        <u val="none"/>
        <vertAlign val="baseline"/>
        <sz val="11"/>
        <color theme="1"/>
        <name val="Calibri"/>
        <family val="2"/>
        <scheme val="minor"/>
      </font>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17/06/relationships/rdRichValue" Target="richData/rdrichvalue.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22/10/relationships/richValueRel" Target="richData/richValueRel.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2.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Logo Page'!$C$3" lockText="1" noThreeD="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180975</xdr:colOff>
          <xdr:row>5</xdr:row>
          <xdr:rowOff>161925</xdr:rowOff>
        </xdr:from>
        <xdr:to>
          <xdr:col>10</xdr:col>
          <xdr:colOff>57150</xdr:colOff>
          <xdr:row>6</xdr:row>
          <xdr:rowOff>180975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A2LA Accedited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561975</xdr:colOff>
          <xdr:row>10</xdr:row>
          <xdr:rowOff>0</xdr:rowOff>
        </xdr:from>
        <xdr:to>
          <xdr:col>16</xdr:col>
          <xdr:colOff>219075</xdr:colOff>
          <xdr:row>11</xdr:row>
          <xdr:rowOff>47625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EF0C7D39-795E-49E6-8EF4-4ADB06F5CB46}"/>
                </a:ext>
              </a:extLst>
            </xdr:cNvPr>
            <xdr:cNvPicPr>
              <a:picLocks noChangeAspect="1"/>
              <a:extLst>
                <a:ext uri="{84589F7E-364E-4C9E-8A38-B11213B215E9}">
                  <a14:cameraTool cellRange="Image" spid="_x0000_s9178"/>
                </a:ext>
              </a:extLst>
            </xdr:cNvPicPr>
          </xdr:nvPicPr>
          <xdr:blipFill>
            <a:blip xmlns:r="http://schemas.openxmlformats.org/officeDocument/2006/relationships" r:embed="rId2"/>
            <a:stretch>
              <a:fillRect/>
            </a:stretch>
          </xdr:blipFill>
          <xdr:spPr>
            <a:xfrm>
              <a:off x="6838950" y="104775"/>
              <a:ext cx="2209800" cy="1114425"/>
            </a:xfrm>
            <a:prstGeom prst="rect">
              <a:avLst/>
            </a:prstGeom>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2" name="Picture 1">
          <a:extLst>
            <a:ext uri="{FF2B5EF4-FFF2-40B4-BE49-F238E27FC236}">
              <a16:creationId xmlns:a16="http://schemas.microsoft.com/office/drawing/2014/main" id="{28F2C72A-34F4-4231-91D1-D50BEA9FDC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D517878A-637E-4665-B908-2F4DE19E5A0F}"/>
                </a:ext>
              </a:extLst>
            </xdr:cNvPr>
            <xdr:cNvPicPr>
              <a:picLocks noChangeAspect="1"/>
              <a:extLst>
                <a:ext uri="{84589F7E-364E-4C9E-8A38-B11213B215E9}">
                  <a14:cameraTool cellRange="Image" spid="_x0000_s19466"/>
                </a:ext>
              </a:extLst>
            </xdr:cNvPicPr>
          </xdr:nvPicPr>
          <xdr:blipFill>
            <a:blip xmlns:r="http://schemas.openxmlformats.org/officeDocument/2006/relationships" r:embed="rId2"/>
            <a:stretch>
              <a:fillRect/>
            </a:stretch>
          </xdr:blipFill>
          <xdr:spPr>
            <a:xfrm>
              <a:off x="6781800" y="104775"/>
              <a:ext cx="2209800" cy="1114425"/>
            </a:xfrm>
            <a:prstGeom prst="rect">
              <a:avLst/>
            </a:prstGeom>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4" xr16:uid="{4CF890DA-B1E3-4681-9E7C-8A503A9B5EBB}" autoFormatId="16" applyNumberFormats="0" applyBorderFormats="0" applyFontFormats="0" applyPatternFormats="0" applyAlignmentFormats="0" applyWidthHeightFormats="0">
  <queryTableRefresh nextId="8">
    <queryTableFields count="4">
      <queryTableField id="1" name="Scale" tableColumnId="1"/>
      <queryTableField id="5" name="LOW" tableColumnId="2"/>
      <queryTableField id="6" name="MID" tableColumnId="3"/>
      <queryTableField id="7" name="HIGH"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ByAssetId (1)" connectionId="1" xr16:uid="{B3E9E45A-F28F-44E4-B55E-C596154AAA99}" autoFormatId="16" applyNumberFormats="0" applyBorderFormats="0" applyFontFormats="0" applyPatternFormats="0" applyAlignmentFormats="0" applyWidthHeightFormats="0">
  <queryTableRefresh nextId="49">
    <queryTableFields count="46">
      <queryTableField id="3" name="CompanyId" tableColumnId="3"/>
      <queryTableField id="4" name="AssetId" tableColumnId="4"/>
      <queryTableField id="5" name="SerialNumber" tableColumnId="5"/>
      <queryTableField id="6" name="AssetUser" tableColumnId="6"/>
      <queryTableField id="7" name="AssetTag" tableColumnId="7"/>
      <queryTableField id="8" name="EquipmentId" tableColumnId="8"/>
      <queryTableField id="9" name="AssetStatus" tableColumnId="9"/>
      <queryTableField id="10" name="AssetName" tableColumnId="10"/>
      <queryTableField id="11" name="AssetDescription" tableColumnId="11"/>
      <queryTableField id="12" name="AssetMaker" tableColumnId="12"/>
      <queryTableField id="13" name="Location" tableColumnId="13"/>
      <queryTableField id="14" name="RoomNumber" tableColumnId="14"/>
      <queryTableField id="15" name="Barcode" tableColumnId="15"/>
      <queryTableField id="16" name="LegacyIdentifier" tableColumnId="16"/>
      <queryTableField id="17" name="RootCategoryName" tableColumnId="17"/>
      <queryTableField id="18" name="CategoryName" tableColumnId="18"/>
      <queryTableField id="19" name="Class" tableColumnId="19"/>
      <queryTableField id="20" name="CustodianEmail" tableColumnId="20"/>
      <queryTableField id="21" name="CustodianName" tableColumnId="21"/>
      <queryTableField id="22" name="Department" tableColumnId="22"/>
      <queryTableField id="23" name="Station" tableColumnId="23"/>
      <queryTableField id="24" name="Notes" tableColumnId="24"/>
      <queryTableField id="25" name="DocumentNumber" tableColumnId="25"/>
      <queryTableField id="26" name="DocumentSection" tableColumnId="26"/>
      <queryTableField id="27" name="CumulativeServiceCost" tableColumnId="27"/>
      <queryTableField id="28" name="ProductId" tableColumnId="28"/>
      <queryTableField id="29" name="ManufacturerPartNumber" tableColumnId="29"/>
      <queryTableField id="30" name="ProductName" tableColumnId="30"/>
      <queryTableField id="31" name="ProductDescription" tableColumnId="31"/>
      <queryTableField id="32" name="ProductManufacturer" tableColumnId="32"/>
      <queryTableField id="33" name="SiteName" tableColumnId="33"/>
      <queryTableField id="34" name="SiteId" tableColumnId="34"/>
      <queryTableField id="35" name="Condition" tableColumnId="35"/>
      <queryTableField id="36" name="Criticality" tableColumnId="36"/>
      <queryTableField id="37" name="Pool" tableColumnId="37"/>
      <queryTableField id="38" name="PurchaseDate" tableColumnId="38"/>
      <queryTableField id="39" name="PurchaseCost" tableColumnId="39"/>
      <queryTableField id="40" name="LifeSpanMonths" tableColumnId="40"/>
      <queryTableField id="41" name="ActivationDate" tableColumnId="41"/>
      <queryTableField id="42" name="DepreciationBasis" tableColumnId="42"/>
      <queryTableField id="43" name="DepreciationMethod" tableColumnId="43"/>
      <queryTableField id="44" name="RetirementDate" tableColumnId="44"/>
      <queryTableField id="45" name="SalvageValue" tableColumnId="45"/>
      <queryTableField id="46" name="RetirmentReason" tableColumnId="46"/>
      <queryTableField id="47" name="CompositeParentId" tableColumnId="47"/>
      <queryTableField id="48" name="CompositeChildCount" tableColumnId="4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ServiceOrderItems_GetWorkItems" connectionId="2" xr16:uid="{C343F3A2-E34C-45FC-9810-4C0289910862}"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A15E5F9-4C87-4415-ADBD-F603320F386C}" name="Table3" displayName="Table3" ref="A1:J38" totalsRowShown="0">
  <tableColumns count="10">
    <tableColumn id="1" xr3:uid="{3667316F-1E34-4694-9F19-75ADC2828B76}" name="Main Name"/>
    <tableColumn id="2" xr3:uid="{DA918B42-8EC3-4975-972E-D43F3468AA40}" name="Item_C"/>
    <tableColumn id="3" xr3:uid="{AB709F6F-3765-442E-AEBE-4E12126B6591}" name="Res"/>
    <tableColumn id="4" xr3:uid="{707520E0-370C-4B70-B936-0D4815440239}" name="Base"/>
    <tableColumn id="5" xr3:uid="{162041B5-E591-47E2-8153-6177AC4FD470}" name="Mult"/>
    <tableColumn id="6" xr3:uid="{55BA141B-51B3-4800-8A0D-70136CE3B38B}" name="Base 2"/>
    <tableColumn id="7" xr3:uid="{2F99053A-1D60-4552-AE5B-B857E7B80ACA}" name="Mult 2"/>
    <tableColumn id="8" xr3:uid="{394A7361-3197-4146-B32C-60BC7589EA7F}" name="Repeat Mult"/>
    <tableColumn id="9" xr3:uid="{9AD68547-3CE1-4CFB-9417-C65F82030F7A}" name="Meas Units"/>
    <tableColumn id="15" xr3:uid="{7DF09BED-1A2E-4F79-B244-996F87634A87}" name="Range" dataDxfId="31">
      <calculatedColumnFormula>IF(Table3[[#This Row],[Item_C]]="Rockwell Indirect",
    IF(ISNUMBER(SEARCH("≥", Table3[[#This Row],[Main Name]])), "HIGH",
        IF(ISNUMBER(SEARCH("≤", Table3[[#This Row],[Main Name]])), "MID", "LOW")),
    "")</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B928E6-BC36-4BAF-8DE6-1BECADB1085B}" name="Thresholds" displayName="Thresholds" ref="A3:F16" totalsRowShown="0" headerRowDxfId="30">
  <autoFilter ref="A3:F16" xr:uid="{F9B928E6-BC36-4BAF-8DE6-1BECADB1085B}"/>
  <tableColumns count="6">
    <tableColumn id="1" xr3:uid="{A4B93ECC-0414-49F7-8DD4-445C7C4D2963}" name="Scale"/>
    <tableColumn id="2" xr3:uid="{CC457351-AF80-40A5-8BDA-F4CF6233A22A}" name="Less Than"/>
    <tableColumn id="3" xr3:uid="{5D4E82C5-F946-413A-9628-10312B9AA51C}" name="Between"/>
    <tableColumn id="4" xr3:uid="{B40172AE-E779-4B57-84D3-5904B79FD91F}" name="Greater Than or Equal To"/>
    <tableColumn id="7" xr3:uid="{81B4C658-1A26-4DDC-BC1F-66033CFC190F}" name="Threshold1"/>
    <tableColumn id="8" xr3:uid="{C241AAA4-94A3-401D-A436-1BC98603AE70}" name="Threshol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6573D7A-3BD4-46FC-B601-04291026B7AC}" name="Repeat" displayName="Repeat" ref="M3:P16" totalsRowShown="0">
  <autoFilter ref="M3:P16" xr:uid="{26573D7A-3BD4-46FC-B601-04291026B7AC}"/>
  <tableColumns count="4">
    <tableColumn id="1" xr3:uid="{90D8AE20-4203-4AE7-998E-3D84BD9AEFED}" name=" "/>
    <tableColumn id="2" xr3:uid="{462578C9-A432-4A5A-A753-B2AC2FC11067}" name="LOW"/>
    <tableColumn id="3" xr3:uid="{16CE26A7-8735-4AFF-A835-1616BF9C8CFF}" name="MID"/>
    <tableColumn id="4" xr3:uid="{EB3AE2FD-50D1-4B37-A07D-860B9F056E7D}" name="HIGH"/>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E4ED64C-716E-4877-8E3E-A88BC8CF33D5}" name="Error" displayName="Error" ref="H3:K16" totalsRowShown="0">
  <autoFilter ref="H3:K16" xr:uid="{0E4ED64C-716E-4877-8E3E-A88BC8CF33D5}"/>
  <tableColumns count="4">
    <tableColumn id="1" xr3:uid="{94EB8185-7438-4755-9AA7-A29B19BA4120}" name="Scale"/>
    <tableColumn id="2" xr3:uid="{D781AA6E-5105-4402-9138-C3480200F140}" name="LOW" dataDxfId="29"/>
    <tableColumn id="3" xr3:uid="{3C2AA4EE-2EA3-4E39-96BE-88D7CD62515A}" name="MID" dataDxfId="28"/>
    <tableColumn id="4" xr3:uid="{040AEA25-6926-41E6-8F6C-D2ACD028C50A}" name="HIGH" dataDxfId="2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995EC3-04B6-4384-84CB-3510FA163FB2}" name="UNCERTAINTY" displayName="UNCERTAINTY" ref="R3:U16" tableType="queryTable" totalsRowShown="0">
  <autoFilter ref="R3:U16" xr:uid="{FE995EC3-04B6-4384-84CB-3510FA163FB2}"/>
  <tableColumns count="4">
    <tableColumn id="1" xr3:uid="{41817F01-44D0-4615-8622-CDD6C476E4B3}" uniqueName="1" name="Scale" queryTableFieldId="1" dataDxfId="26"/>
    <tableColumn id="2" xr3:uid="{8DDC443A-F464-4586-BFBC-A283955AD65B}" uniqueName="2" name="LOW" queryTableFieldId="5" dataDxfId="25"/>
    <tableColumn id="3" xr3:uid="{12C80642-7065-4132-9FAE-8DCBB91FB621}" uniqueName="3" name="MID" queryTableFieldId="6" dataDxfId="24"/>
    <tableColumn id="4" xr3:uid="{7A720683-61F0-475F-B332-B3C7D41A03C7}" uniqueName="4" name="HIGH" queryTableFieldId="7" dataDxfId="2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6048E4-1462-481F-890D-08706FFA041C}" name="Table1" displayName="Table1" ref="A1:G232" totalsRowShown="0">
  <autoFilter ref="A1:G232" xr:uid="{306048E4-1462-481F-890D-08706FFA041C}"/>
  <tableColumns count="7">
    <tableColumn id="2" xr3:uid="{BA88C564-7293-4F7A-A2C2-5EE725FAC93F}" name="companyname"/>
    <tableColumn id="3" xr3:uid="{FFBB9069-4179-42D2-B360-76F6E4F959AE}" name="addrline1"/>
    <tableColumn id="4" xr3:uid="{D6625F5D-93F0-4C1D-990A-93B21149EBEB}" name="addrline2"/>
    <tableColumn id="5" xr3:uid="{2C9E81F5-D4AB-4D71-9D4D-7FBB30BEB833}" name="phonenumber"/>
    <tableColumn id="6" xr3:uid="{BE55CED8-CE0E-4A3A-811E-BC801A368AD1}" name="count"/>
    <tableColumn id="7" xr3:uid="{659A8AB8-0106-409D-9D51-77722A6CFEC7}" name="FILTER" dataDxfId="22">
      <calculatedColumnFormula array="1">IFERROR(OR(_xlfn._xlws.FILTER(#REF!,#REF!=Table1[[#This Row],[companyid]])),FALSE)</calculatedColumnFormula>
    </tableColumn>
    <tableColumn id="8" xr3:uid="{DFE5B117-FB14-409C-A234-7F57D8AC0CB9}" name="companyi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169DAB-B0C6-4195-BC14-651C8980209A}" name="UUT" displayName="UUT" ref="A1:AT2" tableType="queryTable" insertRow="1" totalsRowShown="0">
  <autoFilter ref="A1:AT2" xr:uid="{5F169DAB-B0C6-4195-BC14-651C8980209A}"/>
  <tableColumns count="46">
    <tableColumn id="3" xr3:uid="{32BF8A7D-8513-4873-8F98-D67067CE365C}" uniqueName="3" name="CompanyId" queryTableFieldId="3"/>
    <tableColumn id="4" xr3:uid="{59397EA4-23CA-4AF2-B3FB-5AFDB1604D75}" uniqueName="4" name="AssetId" queryTableFieldId="4"/>
    <tableColumn id="5" xr3:uid="{F264739F-5FE8-4F03-A96B-1C9F7C669519}" uniqueName="5" name="SerialNumber" queryTableFieldId="5"/>
    <tableColumn id="6" xr3:uid="{C5BF57B5-39C6-4093-AA18-A47C50086891}" uniqueName="6" name="AssetUser" queryTableFieldId="6" dataDxfId="13"/>
    <tableColumn id="7" xr3:uid="{5CEEA402-82DD-4AB0-A9B0-905D017BC5CC}" uniqueName="7" name="AssetTag" queryTableFieldId="7" dataDxfId="12"/>
    <tableColumn id="8" xr3:uid="{D0881531-6BD2-44A8-A3B6-338D9EF7FE56}" uniqueName="8" name="EquipmentId" queryTableFieldId="8"/>
    <tableColumn id="9" xr3:uid="{22924580-22CC-4CC1-99D1-3CA38C9AC950}" uniqueName="9" name="AssetStatus" queryTableFieldId="9"/>
    <tableColumn id="10" xr3:uid="{99E0E7FC-F7A7-419C-8F19-8035448EE112}" uniqueName="10" name="AssetName" queryTableFieldId="10" dataDxfId="11"/>
    <tableColumn id="11" xr3:uid="{7C4C8638-6649-4618-AFED-7320BF0D0EC5}" uniqueName="11" name="AssetDescription" queryTableFieldId="11" dataDxfId="10"/>
    <tableColumn id="12" xr3:uid="{3F0739AB-CF95-4141-9518-A6638647A2D9}" uniqueName="12" name="AssetMaker" queryTableFieldId="12" dataDxfId="9"/>
    <tableColumn id="13" xr3:uid="{CAC765BB-C741-473C-9256-76D69544B1BA}" uniqueName="13" name="Location" queryTableFieldId="13" dataDxfId="8"/>
    <tableColumn id="14" xr3:uid="{79D5330A-BE9F-4292-B8DF-A64CF7E43552}" uniqueName="14" name="RoomNumber" queryTableFieldId="14"/>
    <tableColumn id="15" xr3:uid="{7F9F9AF1-59DC-4CE1-89AC-76E7050DE623}" uniqueName="15" name="Barcode" queryTableFieldId="15"/>
    <tableColumn id="16" xr3:uid="{84BFF2C9-FA0E-4BC8-AF01-6C38BB7B2829}" uniqueName="16" name="LegacyIdentifier" queryTableFieldId="16"/>
    <tableColumn id="17" xr3:uid="{C2393B61-6EA2-45D9-B95B-25C863FD5D91}" uniqueName="17" name="RootCategoryName" queryTableFieldId="17" dataDxfId="7"/>
    <tableColumn id="18" xr3:uid="{F2F9DBB8-48EC-4BFA-A70E-58859A19755C}" uniqueName="18" name="CategoryName" queryTableFieldId="18" dataDxfId="6"/>
    <tableColumn id="19" xr3:uid="{8014AFC8-872F-4212-B231-42196B9DE162}" uniqueName="19" name="Class" queryTableFieldId="19"/>
    <tableColumn id="20" xr3:uid="{C54AFFFD-6E1F-4716-A097-C14E7F702107}" uniqueName="20" name="CustodianEmail" queryTableFieldId="20"/>
    <tableColumn id="21" xr3:uid="{59F826B1-6BBA-4104-94E8-C32ECCE3E3AA}" uniqueName="21" name="CustodianName" queryTableFieldId="21" dataDxfId="5"/>
    <tableColumn id="22" xr3:uid="{5F983742-C831-4278-A7C8-A5F0B0611C9E}" uniqueName="22" name="Department" queryTableFieldId="22"/>
    <tableColumn id="23" xr3:uid="{BE0B36CB-85CE-4ACD-8455-1A277BD0643B}" uniqueName="23" name="Station" queryTableFieldId="23"/>
    <tableColumn id="24" xr3:uid="{93117D5B-5417-49DD-A843-42799557293B}" uniqueName="24" name="Notes" queryTableFieldId="24"/>
    <tableColumn id="25" xr3:uid="{13C0A32B-B5D0-46A7-ABFF-5479F2EA3BB2}" uniqueName="25" name="DocumentNumber" queryTableFieldId="25"/>
    <tableColumn id="26" xr3:uid="{4B0C0A51-0375-4279-8B3B-D2B5404870F5}" uniqueName="26" name="DocumentSection" queryTableFieldId="26"/>
    <tableColumn id="27" xr3:uid="{EE46B051-DDCE-4175-A2F8-DAC8C7FE37A1}" uniqueName="27" name="CumulativeServiceCost" queryTableFieldId="27"/>
    <tableColumn id="28" xr3:uid="{3F8D08FF-DCBC-4C68-B52D-BD19DF780AFB}" uniqueName="28" name="ProductId" queryTableFieldId="28"/>
    <tableColumn id="29" xr3:uid="{30A8A956-BAB6-4AAA-A9DE-59B6BD29CC59}" uniqueName="29" name="ManufacturerPartNumber" queryTableFieldId="29" dataDxfId="4"/>
    <tableColumn id="30" xr3:uid="{9C6E91A3-2855-4289-94A5-046C797BB057}" uniqueName="30" name="ProductName" queryTableFieldId="30" dataDxfId="3"/>
    <tableColumn id="31" xr3:uid="{4A901DD8-3823-43B8-AE10-D132A8626D56}" uniqueName="31" name="ProductDescription" queryTableFieldId="31"/>
    <tableColumn id="32" xr3:uid="{480629D5-8330-4A9C-99CD-351B6393B161}" uniqueName="32" name="ProductManufacturer" queryTableFieldId="32" dataDxfId="2"/>
    <tableColumn id="33" xr3:uid="{611C4C52-4CD2-473B-BCCB-D74DB8524CFA}" uniqueName="33" name="SiteName" queryTableFieldId="33" dataDxfId="1"/>
    <tableColumn id="34" xr3:uid="{F2E723E4-0849-428E-8654-CF0F168BE968}" uniqueName="34" name="SiteId" queryTableFieldId="34"/>
    <tableColumn id="35" xr3:uid="{19A0639F-7406-457F-B799-A4C7AE9D7722}" uniqueName="35" name="Condition" queryTableFieldId="35"/>
    <tableColumn id="36" xr3:uid="{D407EB48-256E-4066-9867-9C0DF58E3EDA}" uniqueName="36" name="Criticality" queryTableFieldId="36"/>
    <tableColumn id="37" xr3:uid="{6BB0183B-BF04-4B04-81BB-A4CC4CA9DE46}" uniqueName="37" name="Pool" queryTableFieldId="37"/>
    <tableColumn id="38" xr3:uid="{ED3DAC19-B843-4AD8-B02F-153781416454}" uniqueName="38" name="PurchaseDate" queryTableFieldId="38"/>
    <tableColumn id="39" xr3:uid="{58B8CABA-1056-4669-AF41-AA5FB709BD33}" uniqueName="39" name="PurchaseCost" queryTableFieldId="39"/>
    <tableColumn id="40" xr3:uid="{5231D393-AD2E-42C9-9FC3-A9E21CFF3D70}" uniqueName="40" name="LifeSpanMonths" queryTableFieldId="40"/>
    <tableColumn id="41" xr3:uid="{89402733-E34F-455F-B419-6EFC838252B2}" uniqueName="41" name="ActivationDate" queryTableFieldId="41" dataDxfId="0"/>
    <tableColumn id="42" xr3:uid="{B3718061-116F-4702-A786-4E3FE3485880}" uniqueName="42" name="DepreciationBasis" queryTableFieldId="42"/>
    <tableColumn id="43" xr3:uid="{4A912717-56BA-40D8-AC30-38F6F6D8F880}" uniqueName="43" name="DepreciationMethod" queryTableFieldId="43"/>
    <tableColumn id="44" xr3:uid="{40018D6B-8844-40B2-8FE5-AF0E478D9721}" uniqueName="44" name="RetirementDate" queryTableFieldId="44"/>
    <tableColumn id="45" xr3:uid="{063601FE-C137-42E0-A21E-026E5A97932D}" uniqueName="45" name="SalvageValue" queryTableFieldId="45"/>
    <tableColumn id="46" xr3:uid="{5D3F6DCA-17DF-4EA3-8FD8-BFE7739F0C15}" uniqueName="46" name="RetirmentReason" queryTableFieldId="46"/>
    <tableColumn id="47" xr3:uid="{E625EB7F-A997-4AC1-9412-791A1AAD7CA0}" uniqueName="47" name="CompositeParentId" queryTableFieldId="47"/>
    <tableColumn id="48" xr3:uid="{BB045F1C-7BF4-447A-80E9-58FAD51F05B1}" uniqueName="48" name="CompositeChildCount" queryTableFieldId="48"/>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F10654-F6E9-4C41-9848-B85671957007}" name="ServiceOrderItems" displayName="ServiceOrderItems" ref="A1:CC2" tableType="queryTable" insertRow="1" totalsRowShown="0">
  <autoFilter ref="A1:CC2" xr:uid="{29F10654-F6E9-4C41-9848-B85671957007}"/>
  <tableColumns count="81">
    <tableColumn id="1" xr3:uid="{17D1F4A8-9E37-44DD-B22E-9F72B7525E97}" uniqueName="1" name="WorkItemId" queryTableFieldId="1"/>
    <tableColumn id="2" xr3:uid="{F229CD35-D5AC-47B2-8ED6-DBD6E41DB43C}" uniqueName="2" name="ClientNotes" queryTableFieldId="2"/>
    <tableColumn id="3" xr3:uid="{F4591BF3-F2F4-4738-8247-D43B10AA42E4}" uniqueName="3" name="ServiceComments" queryTableFieldId="3"/>
    <tableColumn id="4" xr3:uid="{C717E576-C4B0-4841-8171-481E7D883CFF}" uniqueName="4" name="PrivateComments" queryTableFieldId="4"/>
    <tableColumn id="5" xr3:uid="{84711850-5AAD-4D3E-9365-5EA486F8477F}" uniqueName="5" name="OrderItemNumber" queryTableFieldId="5"/>
    <tableColumn id="6" xr3:uid="{023333A8-B2D7-4CEB-9F88-3D2B394D4CF2}" uniqueName="6" name="ServiceOrderId" queryTableFieldId="6"/>
    <tableColumn id="7" xr3:uid="{99390338-52F4-43CF-852E-384696EF8ED7}" uniqueName="7" name="ChannelCount" queryTableFieldId="7"/>
    <tableColumn id="8" xr3:uid="{E9F83AA8-90B7-44A9-A97D-836E1C5B9814}" uniqueName="8" name="ServiceTotal" queryTableFieldId="8"/>
    <tableColumn id="9" xr3:uid="{3CEF2FB9-16B5-4E01-819C-18AC91EC4DC2}" uniqueName="9" name="RepairsTotal" queryTableFieldId="9"/>
    <tableColumn id="10" xr3:uid="{0DD83421-E0E6-4618-9F6D-6D4BB80BF264}" uniqueName="10" name="PartsTotal" queryTableFieldId="10"/>
    <tableColumn id="11" xr3:uid="{DFD62280-1C31-40B7-9881-66B86F91FDDB}" uniqueName="11" name="PartsTotalBeforeDiscount" queryTableFieldId="11"/>
    <tableColumn id="12" xr3:uid="{A58F307C-A84B-45D5-A520-49CEE0F34885}" uniqueName="12" name="OverrideServiceTotal" queryTableFieldId="12"/>
    <tableColumn id="13" xr3:uid="{43CF9FC8-2F71-49D8-AEB2-1354A799EF95}" uniqueName="13" name="OverrideRepairsTotal" queryTableFieldId="13"/>
    <tableColumn id="14" xr3:uid="{3FAE26B1-6E62-4DAF-8E23-291924F6C157}" uniqueName="14" name="OverridePartsTotal" queryTableFieldId="14"/>
    <tableColumn id="15" xr3:uid="{D66BC245-3AAB-4412-8E8B-CAE067F19F83}" uniqueName="15" name="ServiceType" queryTableFieldId="15"/>
    <tableColumn id="16" xr3:uid="{6111D41B-F69C-41F4-979B-C04373976B02}" uniqueName="16" name="DocumentNumber" queryTableFieldId="16"/>
    <tableColumn id="17" xr3:uid="{5E3F1E89-1400-4FE6-861C-A8EE6FFA145E}" uniqueName="17" name="DocumentSection" queryTableFieldId="17"/>
    <tableColumn id="18" xr3:uid="{43219C98-D889-4F74-8EFF-DD0310A61CA4}" uniqueName="18" name="WorkStatus" queryTableFieldId="18"/>
    <tableColumn id="19" xr3:uid="{6C777E67-F056-4ADE-9AC0-BD7093EED05D}" uniqueName="19" name="CustomWorkStatus" queryTableFieldId="19"/>
    <tableColumn id="20" xr3:uid="{2357FAD0-5845-44E6-9429-4B8BF35BB35B}" uniqueName="20" name="IsLimited" queryTableFieldId="20"/>
    <tableColumn id="21" xr3:uid="{2C97DB4F-CA89-411D-BFE7-798F2B6B4925}" uniqueName="21" name="CheckedOn" queryTableFieldId="21"/>
    <tableColumn id="22" xr3:uid="{0FFD63B5-ECE7-472D-9D7D-52D742995B0A}" uniqueName="22" name="CheckedByName" queryTableFieldId="22"/>
    <tableColumn id="23" xr3:uid="{82D9140F-9235-4CC3-8754-9D3C806B0DBF}" uniqueName="23" name="CheckedById" queryTableFieldId="23"/>
    <tableColumn id="24" xr3:uid="{26E46E67-B7F8-4FEB-96D1-95874817CF09}" uniqueName="24" name="CompletedOn" queryTableFieldId="24"/>
    <tableColumn id="25" xr3:uid="{9497D375-602A-4BF2-A7A0-EDFACD0AEF5B}" uniqueName="25" name="CompletedByName" queryTableFieldId="25"/>
    <tableColumn id="26" xr3:uid="{BBBB3B78-BCF3-430E-A49E-27C20B7BE8F6}" uniqueName="26" name="CompletedById" queryTableFieldId="26"/>
    <tableColumn id="27" xr3:uid="{DEEAE3A6-0D68-4032-9325-34E2085ED385}" uniqueName="27" name="UpdatedById" queryTableFieldId="27"/>
    <tableColumn id="28" xr3:uid="{710BF2E0-DF36-4EC6-BC64-1918621478FA}" uniqueName="28" name="UpdatedBy" queryTableFieldId="28"/>
    <tableColumn id="29" xr3:uid="{B11CA1DD-3735-4931-AC62-73BEEB1F4A23}" uniqueName="29" name="AsFoundCheck" queryTableFieldId="29"/>
    <tableColumn id="30" xr3:uid="{4B25E414-1559-441F-B67E-EEA3B615F764}" uniqueName="30" name="AsLeftCheck" queryTableFieldId="30"/>
    <tableColumn id="31" xr3:uid="{3F0EC5F1-70AA-4D46-A11E-DB9ECDB983FA}" uniqueName="31" name="ItemResultStatus" queryTableFieldId="31"/>
    <tableColumn id="32" xr3:uid="{FD7F18FD-0157-4FF9-B42E-2285A60FEDBC}" uniqueName="32" name="ItemAsFoundResult" queryTableFieldId="32"/>
    <tableColumn id="33" xr3:uid="{AB327D90-AAD9-4B7E-975F-E7A49F1364EE}" uniqueName="33" name="ItemAsLeftResult" queryTableFieldId="33"/>
    <tableColumn id="34" xr3:uid="{17EBD652-F46B-480C-837D-7E3F28A92998}" uniqueName="34" name="AsFoundSpecification" queryTableFieldId="34"/>
    <tableColumn id="35" xr3:uid="{1A318284-3AAA-4C47-9DB6-AA58DCF47C66}" uniqueName="35" name="AsLeftSpecification" queryTableFieldId="35"/>
    <tableColumn id="36" xr3:uid="{64260EF3-EB03-485B-9EE2-CCA7061386FB}" uniqueName="36" name="CreatedOnUtc" queryTableFieldId="36"/>
    <tableColumn id="37" xr3:uid="{C9A10DC9-8E90-4370-88DD-6A827B8CC79F}" uniqueName="37" name="UpdatedOnUtc" queryTableFieldId="37"/>
    <tableColumn id="38" xr3:uid="{B5D527EE-407E-43B4-B732-80AA735F95E6}" uniqueName="38" name="EquipmentId" queryTableFieldId="38"/>
    <tableColumn id="39" xr3:uid="{D59E9BFB-DEBE-4E4D-9BE2-824A6F713901}" uniqueName="39" name="ServiceLevel" queryTableFieldId="39"/>
    <tableColumn id="40" xr3:uid="{EBEDF94E-6A81-41B0-B2D9-D451D94A33D1}" uniqueName="40" name="ServiceLevelCode" queryTableFieldId="40"/>
    <tableColumn id="41" xr3:uid="{C201762A-4101-4364-93D0-7E88E08A54B2}" uniqueName="41" name="ServiceLevelDocumentNumber" queryTableFieldId="41"/>
    <tableColumn id="42" xr3:uid="{901C81E0-47CD-439D-8CB3-5B366A7FBF3E}" uniqueName="42" name="ServiceLevelDocumentSection" queryTableFieldId="42"/>
    <tableColumn id="43" xr3:uid="{775B315B-6725-485A-A8AC-26B91D5B06E0}" uniqueName="43" name="NextServiceLevel" queryTableFieldId="43"/>
    <tableColumn id="44" xr3:uid="{638CF923-95D9-43DB-9E84-CAE8F33334F9}" uniqueName="44" name="NextServiceLevelCode" queryTableFieldId="44"/>
    <tableColumn id="45" xr3:uid="{B3EF4F3A-BE73-4081-B5BB-45358B8CA5DB}" uniqueName="45" name="ResultStatus" queryTableFieldId="45"/>
    <tableColumn id="46" xr3:uid="{1ECA652A-016B-4C2A-88DD-111680B30DCA}" uniqueName="46" name="AsFoundResult" queryTableFieldId="46"/>
    <tableColumn id="47" xr3:uid="{A917CF85-5DAF-422C-98C6-5DBC1A225BDB}" uniqueName="47" name="AsLeftResult" queryTableFieldId="47"/>
    <tableColumn id="48" xr3:uid="{D0E439A6-2275-4C33-A95A-DAFDDE0956AF}" uniqueName="48" name="SerialNumber" queryTableFieldId="48"/>
    <tableColumn id="49" xr3:uid="{BE704A59-AA30-4C6D-96FE-0FE2EA573DA6}" uniqueName="49" name="SerialNumberChange" queryTableFieldId="49"/>
    <tableColumn id="50" xr3:uid="{F0A9222B-0000-419D-98F5-F464BAD234DC}" uniqueName="50" name="AssetTag" queryTableFieldId="50"/>
    <tableColumn id="51" xr3:uid="{C0E57F08-BCBF-4A27-8A26-39590BE95749}" uniqueName="51" name="AssetUser" queryTableFieldId="51"/>
    <tableColumn id="52" xr3:uid="{DAC63763-2F6A-4114-9F51-5F26D0975D01}" uniqueName="52" name="AssetTagChange" queryTableFieldId="52"/>
    <tableColumn id="53" xr3:uid="{21968569-9D01-4D63-AD45-A9B5DE6431CD}" uniqueName="53" name="AssetUserChange" queryTableFieldId="53"/>
    <tableColumn id="54" xr3:uid="{CC40D5BF-B8A1-47D7-A04C-102AF83BC4A5}" uniqueName="54" name="AssetId" queryTableFieldId="54"/>
    <tableColumn id="55" xr3:uid="{C5C40621-5D79-4B7C-8521-D206E74B3D79}" uniqueName="55" name="AssetName" queryTableFieldId="55"/>
    <tableColumn id="56" xr3:uid="{29BE9DBD-AFA2-40AC-AA72-7F8DCD64442F}" uniqueName="56" name="AssetDescription" queryTableFieldId="56"/>
    <tableColumn id="57" xr3:uid="{1D360961-77B1-4E70-BBFB-40C8F1B67435}" uniqueName="57" name="AssetSiteName" queryTableFieldId="57"/>
    <tableColumn id="58" xr3:uid="{5F5E924C-7B26-4528-B861-9221EA97D5F2}" uniqueName="58" name="AssetSiteId" queryTableFieldId="58"/>
    <tableColumn id="59" xr3:uid="{985F9096-A3A6-499C-9B7D-40CCC405993C}" uniqueName="59" name="AssetCompanyName" queryTableFieldId="59"/>
    <tableColumn id="60" xr3:uid="{33869B11-37EF-48B4-A9E4-6116517A6F3D}" uniqueName="60" name="AssetCompanyId" queryTableFieldId="60"/>
    <tableColumn id="61" xr3:uid="{58C18D99-ED50-4E4E-A9BA-8EEC00C4373C}" uniqueName="61" name="ClientCompanyId" queryTableFieldId="61"/>
    <tableColumn id="62" xr3:uid="{4B330B60-6D4C-49EF-903D-7FEE5719FCD7}" uniqueName="62" name="VendorCompanyId" queryTableFieldId="62"/>
    <tableColumn id="63" xr3:uid="{D11DAAC4-6F0D-46EC-8003-1B4BCF2C60D5}" uniqueName="63" name="ServiceNotes" queryTableFieldId="63"/>
    <tableColumn id="64" xr3:uid="{C2C25933-D2B9-4EEF-875A-91F0A39EA0D9}" uniqueName="64" name="ProviderTechnician" queryTableFieldId="64"/>
    <tableColumn id="65" xr3:uid="{07FE6D2E-A7EC-48CD-BC1E-3CCB985D48DC}" uniqueName="65" name="ProviderPhone" queryTableFieldId="65"/>
    <tableColumn id="66" xr3:uid="{4524F472-AAAA-477C-87ED-F0BB23FDFF7C}" uniqueName="66" name="ProviderCompany" queryTableFieldId="66"/>
    <tableColumn id="67" xr3:uid="{6107A64D-C66F-421B-B66B-A498E23EFB12}" uniqueName="67" name="ServiceCharge" queryTableFieldId="67"/>
    <tableColumn id="68" xr3:uid="{FA86076A-D7C2-4918-90F3-46DAC5E54D9A}" uniqueName="68" name="RepairsCharge" queryTableFieldId="68"/>
    <tableColumn id="69" xr3:uid="{6EB53B50-A90E-431B-A2C9-CA7E1B1455D0}" uniqueName="69" name="PartsCharge" queryTableFieldId="69"/>
    <tableColumn id="70" xr3:uid="{22C5AE1E-8C00-47FC-9676-C7790432CEC6}" uniqueName="70" name="PartsChargeBeforeDiscount" queryTableFieldId="70"/>
    <tableColumn id="71" xr3:uid="{66E79A2E-E44F-4DD7-9137-D3565B595B44}" uniqueName="71" name="CustomOrderNumber" queryTableFieldId="71"/>
    <tableColumn id="72" xr3:uid="{28EE0052-A7A1-45CA-9087-B48131F58748}" uniqueName="72" name="CertificateNumber" queryTableFieldId="72"/>
    <tableColumn id="73" xr3:uid="{0235FF1F-A577-490C-97DF-BF5B8CA035DD}" uniqueName="73" name="ServiceDate" queryTableFieldId="73"/>
    <tableColumn id="74" xr3:uid="{CC0600F3-E9E3-4026-865B-31F84A5898FD}" uniqueName="74" name="DueDate" queryTableFieldId="74"/>
    <tableColumn id="75" xr3:uid="{1B4750D3-A57D-46EE-8632-A018ADC47D20}" uniqueName="75" name="NextServiceDate" queryTableFieldId="75"/>
    <tableColumn id="76" xr3:uid="{E281C5E7-CE9B-44C1-B8E5-0D886F1FCAEA}" uniqueName="76" name="MaintenanceTask" queryTableFieldId="76"/>
    <tableColumn id="77" xr3:uid="{BC6FAE86-850F-4336-8525-1780156F4B8B}" uniqueName="77" name="MaintenancePlan" queryTableFieldId="77"/>
    <tableColumn id="78" xr3:uid="{02FC9C30-84B5-444E-AF07-29C5F58F61B9}" uniqueName="78" name="ServiceOptions" queryTableFieldId="78"/>
    <tableColumn id="79" xr3:uid="{C8E4B5B2-8FA0-4401-AC2B-18436E811EFB}" uniqueName="79" name="VendorTag" queryTableFieldId="79"/>
    <tableColumn id="80" xr3:uid="{85532542-ED23-4404-A452-3FE75A99A1F6}" uniqueName="80" name="LegacyId" queryTableFieldId="80"/>
    <tableColumn id="81" xr3:uid="{8B560688-3C6D-4E98-B695-08A1AA10BDF1}" uniqueName="81" name="AssetOwnership" queryTableFieldId="8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trlProp" Target="../ctrlProps/ctrlProp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63"/>
  <sheetViews>
    <sheetView showGridLines="0" tabSelected="1" view="pageBreakPreview" zoomScaleNormal="100" zoomScaleSheetLayoutView="100" workbookViewId="0">
      <selection activeCell="D3" sqref="D3:E3"/>
    </sheetView>
  </sheetViews>
  <sheetFormatPr defaultRowHeight="15" x14ac:dyDescent="0.25"/>
  <cols>
    <col min="1" max="1" width="13.5703125" customWidth="1"/>
    <col min="6" max="6" width="11.85546875" customWidth="1"/>
    <col min="7" max="7" width="9.28515625" bestFit="1" customWidth="1"/>
    <col min="8" max="9" width="10.42578125" customWidth="1"/>
    <col min="10" max="13" width="9.28515625" bestFit="1" customWidth="1"/>
    <col min="14" max="14" width="11.85546875" bestFit="1" customWidth="1"/>
    <col min="15" max="15" width="9.140625" customWidth="1"/>
    <col min="16" max="17" width="9.42578125" bestFit="1" customWidth="1"/>
    <col min="19" max="19" width="22.140625" customWidth="1"/>
    <col min="20" max="20" width="18.7109375" customWidth="1"/>
    <col min="21" max="26" width="8.42578125" customWidth="1"/>
    <col min="27" max="27" width="8.140625" style="4" customWidth="1"/>
    <col min="28" max="28" width="9.28515625" customWidth="1"/>
    <col min="30" max="30" width="8" customWidth="1"/>
    <col min="31" max="31" width="9.140625" style="3"/>
  </cols>
  <sheetData>
    <row r="1" spans="1:28" ht="21" x14ac:dyDescent="0.35">
      <c r="A1" s="109" t="s">
        <v>861</v>
      </c>
      <c r="B1" s="121" t="s">
        <v>0</v>
      </c>
      <c r="C1" s="121"/>
      <c r="D1" s="121"/>
      <c r="E1" s="121"/>
      <c r="F1" s="121"/>
      <c r="G1" s="121"/>
      <c r="H1" s="121"/>
      <c r="I1" s="121"/>
      <c r="J1" s="121"/>
      <c r="K1" s="121"/>
      <c r="L1" s="121"/>
      <c r="M1" s="121"/>
      <c r="N1" s="121"/>
      <c r="O1" s="121"/>
      <c r="P1" s="117" t="s">
        <v>1</v>
      </c>
      <c r="Q1" s="117"/>
      <c r="R1" s="117"/>
      <c r="S1" s="117"/>
      <c r="W1" t="s">
        <v>2</v>
      </c>
    </row>
    <row r="2" spans="1:28" ht="26.25" x14ac:dyDescent="0.4">
      <c r="A2" s="78"/>
      <c r="B2" s="122" t="s">
        <v>3</v>
      </c>
      <c r="C2" s="122"/>
      <c r="D2" s="122"/>
      <c r="E2" s="122"/>
      <c r="F2" s="122"/>
      <c r="G2" s="122"/>
      <c r="H2" s="122"/>
      <c r="I2" s="122"/>
      <c r="J2" s="122"/>
      <c r="K2" s="122"/>
      <c r="L2" s="122"/>
      <c r="M2" s="122"/>
      <c r="N2" s="122"/>
      <c r="O2" s="122"/>
      <c r="P2" s="77" t="s">
        <v>4</v>
      </c>
      <c r="Q2" s="36"/>
      <c r="R2" s="36"/>
      <c r="U2" s="16" t="s">
        <v>5</v>
      </c>
      <c r="V2" s="17" t="s">
        <v>6</v>
      </c>
      <c r="W2" s="17"/>
      <c r="X2" s="17"/>
      <c r="Y2" s="17"/>
      <c r="Z2" s="17"/>
    </row>
    <row r="3" spans="1:28" ht="15.75" x14ac:dyDescent="0.25">
      <c r="C3" s="4" t="s">
        <v>7</v>
      </c>
      <c r="D3" s="130"/>
      <c r="E3" s="130"/>
      <c r="F3" s="87" t="s">
        <v>8</v>
      </c>
      <c r="G3" s="133"/>
      <c r="H3" s="133"/>
      <c r="K3" s="4" t="s">
        <v>9</v>
      </c>
      <c r="L3" s="105" t="s">
        <v>10</v>
      </c>
      <c r="N3" s="123"/>
      <c r="O3" s="123"/>
      <c r="P3" s="62" t="s">
        <v>11</v>
      </c>
      <c r="U3" s="4" t="s">
        <v>12</v>
      </c>
      <c r="V3" s="56"/>
      <c r="W3" s="47"/>
      <c r="X3" s="47"/>
      <c r="Y3" s="47"/>
      <c r="Z3" s="47"/>
    </row>
    <row r="4" spans="1:28" ht="15.75" x14ac:dyDescent="0.25">
      <c r="C4" s="4" t="s">
        <v>13</v>
      </c>
      <c r="D4" s="131"/>
      <c r="E4" s="131"/>
      <c r="F4" s="86" t="s">
        <v>14</v>
      </c>
      <c r="G4" s="133"/>
      <c r="H4" s="133"/>
      <c r="K4" s="88" t="str">
        <f>IFERROR(VLOOKUP($D$4,Table1[],2,FALSE),"")</f>
        <v/>
      </c>
      <c r="L4" s="19"/>
      <c r="N4" s="124"/>
      <c r="O4" s="124"/>
      <c r="P4" s="63" t="s">
        <v>15</v>
      </c>
      <c r="U4" s="4" t="s">
        <v>16</v>
      </c>
      <c r="V4" s="56"/>
      <c r="W4" s="47" t="b">
        <v>1</v>
      </c>
      <c r="X4" s="47"/>
      <c r="Y4" s="47"/>
      <c r="Z4" s="47"/>
      <c r="AA4" s="103"/>
    </row>
    <row r="5" spans="1:28" ht="15.75" x14ac:dyDescent="0.25">
      <c r="C5" s="4" t="s">
        <v>17</v>
      </c>
      <c r="D5" s="153">
        <f>UUT[CategoryName]</f>
        <v>0</v>
      </c>
      <c r="E5" s="153"/>
      <c r="F5" s="86" t="s">
        <v>18</v>
      </c>
      <c r="G5" s="133"/>
      <c r="H5" s="133"/>
      <c r="K5" s="88" t="str">
        <f>IFERROR(VLOOKUP($D$4,Table1[],3,FALSE),"")</f>
        <v/>
      </c>
      <c r="M5" s="4" t="s">
        <v>19</v>
      </c>
      <c r="N5" s="55"/>
      <c r="P5" s="63" t="s">
        <v>20</v>
      </c>
      <c r="U5" s="4" t="s">
        <v>21</v>
      </c>
      <c r="V5" s="56"/>
      <c r="W5" s="47"/>
      <c r="X5" s="47"/>
      <c r="Y5" s="47"/>
      <c r="Z5" s="47"/>
    </row>
    <row r="6" spans="1:28" ht="15.75" x14ac:dyDescent="0.25">
      <c r="C6" s="4" t="s">
        <v>22</v>
      </c>
      <c r="D6" s="132"/>
      <c r="E6" s="132"/>
      <c r="F6" s="86" t="s">
        <v>23</v>
      </c>
      <c r="G6" s="133"/>
      <c r="H6" s="133"/>
      <c r="I6" t="s">
        <v>24</v>
      </c>
      <c r="K6" s="88" t="str">
        <f>IFERROR(VLOOKUP($D$4,Table1[],4,FALSE),"")</f>
        <v/>
      </c>
      <c r="M6" s="4" t="s">
        <v>25</v>
      </c>
      <c r="N6" s="57"/>
      <c r="P6" s="63" t="s">
        <v>26</v>
      </c>
      <c r="U6" s="4" t="s">
        <v>27</v>
      </c>
      <c r="V6" s="56"/>
      <c r="W6" s="47"/>
      <c r="X6" s="47"/>
      <c r="Y6" s="47"/>
      <c r="Z6" s="47"/>
    </row>
    <row r="7" spans="1:28" ht="15.75" x14ac:dyDescent="0.25">
      <c r="C7" s="4" t="s">
        <v>28</v>
      </c>
      <c r="D7" s="151">
        <f>UUT[ProductManufacturer]</f>
        <v>0</v>
      </c>
      <c r="E7" s="151"/>
      <c r="F7" s="4" t="s">
        <v>29</v>
      </c>
      <c r="G7" s="152">
        <f>UUT[ManufacturerPartNumber]</f>
        <v>0</v>
      </c>
      <c r="H7" s="152"/>
      <c r="I7" s="82" t="str">
        <f>D7 &amp; " " &amp; G7</f>
        <v>0 0</v>
      </c>
      <c r="M7" s="4" t="s">
        <v>30</v>
      </c>
      <c r="N7" s="57"/>
      <c r="P7" s="63" t="s">
        <v>31</v>
      </c>
      <c r="U7" s="4" t="s">
        <v>32</v>
      </c>
      <c r="V7" s="56"/>
      <c r="W7" s="47"/>
      <c r="X7" s="47"/>
      <c r="Y7" s="47"/>
      <c r="Z7" s="47"/>
    </row>
    <row r="8" spans="1:28" ht="15.75" x14ac:dyDescent="0.25">
      <c r="C8" s="4" t="s">
        <v>33</v>
      </c>
      <c r="D8" s="148" cm="1">
        <f t="array" ref="D8">ServiceOrderItems[SerialNumber]</f>
        <v>0</v>
      </c>
      <c r="E8" s="148"/>
      <c r="M8" s="4" t="s">
        <v>34</v>
      </c>
      <c r="N8" s="58"/>
      <c r="P8" s="63" t="s">
        <v>35</v>
      </c>
      <c r="U8" s="4" t="s">
        <v>36</v>
      </c>
      <c r="V8" s="56"/>
      <c r="W8" s="47"/>
      <c r="X8" s="47"/>
      <c r="Y8" s="47"/>
      <c r="Z8" s="47"/>
    </row>
    <row r="9" spans="1:28" ht="15.75" x14ac:dyDescent="0.25">
      <c r="C9" s="4" t="s">
        <v>37</v>
      </c>
      <c r="D9" s="128"/>
      <c r="E9" s="128"/>
      <c r="H9" t="s">
        <v>38</v>
      </c>
      <c r="J9" s="105" t="s">
        <v>145</v>
      </c>
      <c r="M9" s="4" t="s">
        <v>39</v>
      </c>
      <c r="N9" s="59"/>
      <c r="P9" s="63" t="s">
        <v>40</v>
      </c>
      <c r="U9" s="4"/>
    </row>
    <row r="10" spans="1:28" x14ac:dyDescent="0.25">
      <c r="B10" s="113" t="s">
        <v>41</v>
      </c>
      <c r="C10" s="113"/>
      <c r="D10" s="113"/>
      <c r="E10" s="113"/>
      <c r="F10" s="113"/>
      <c r="G10" s="113"/>
      <c r="H10" s="113"/>
      <c r="I10" s="113"/>
      <c r="J10" s="113"/>
      <c r="K10" s="113"/>
      <c r="L10" s="113"/>
      <c r="M10" s="113"/>
      <c r="N10" s="113"/>
      <c r="O10" s="113"/>
      <c r="P10" s="18"/>
      <c r="Q10" s="18"/>
      <c r="R10" s="18"/>
      <c r="U10" s="68" t="s">
        <v>42</v>
      </c>
      <c r="V10" s="17" t="s">
        <v>6</v>
      </c>
      <c r="W10" s="17"/>
      <c r="X10" s="17"/>
      <c r="Y10" s="17"/>
      <c r="Z10" s="17"/>
    </row>
    <row r="11" spans="1:28" x14ac:dyDescent="0.25">
      <c r="C11" s="4" t="s">
        <v>43</v>
      </c>
      <c r="D11" s="106" t="s">
        <v>144</v>
      </c>
      <c r="H11" s="4" t="s">
        <v>44</v>
      </c>
      <c r="I11" s="4"/>
      <c r="J11" t="str">
        <f>IF(D11="Yes","ASTM E-110-14","ASTM E18-24")</f>
        <v>ASTM E18-24</v>
      </c>
      <c r="U11" s="4" t="s">
        <v>16</v>
      </c>
      <c r="V11" s="56"/>
      <c r="W11" s="47"/>
      <c r="X11" s="47"/>
      <c r="Y11" s="47"/>
      <c r="Z11" s="47"/>
    </row>
    <row r="12" spans="1:28" x14ac:dyDescent="0.25">
      <c r="E12" s="4" t="s">
        <v>45</v>
      </c>
      <c r="F12" t="s">
        <v>46</v>
      </c>
      <c r="M12" s="4" t="s">
        <v>47</v>
      </c>
      <c r="N12" s="5" t="s">
        <v>48</v>
      </c>
      <c r="O12" s="5"/>
      <c r="P12" s="5"/>
      <c r="Q12" s="5"/>
      <c r="R12" s="5"/>
      <c r="U12" s="4" t="s">
        <v>21</v>
      </c>
      <c r="V12" s="56"/>
      <c r="W12" s="47"/>
      <c r="X12" s="47"/>
      <c r="Y12" s="47"/>
      <c r="Z12" s="47"/>
    </row>
    <row r="13" spans="1:28" x14ac:dyDescent="0.25">
      <c r="B13" s="113" t="s">
        <v>41</v>
      </c>
      <c r="C13" s="113"/>
      <c r="D13" s="113"/>
      <c r="E13" s="113"/>
      <c r="F13" s="113"/>
      <c r="G13" s="113"/>
      <c r="H13" s="113"/>
      <c r="I13" s="113"/>
      <c r="J13" s="113"/>
      <c r="K13" s="113"/>
      <c r="L13" s="113"/>
      <c r="M13" s="113"/>
      <c r="N13" s="113"/>
      <c r="O13" s="113"/>
      <c r="P13" s="18"/>
      <c r="Q13" s="18"/>
      <c r="R13" s="18"/>
      <c r="U13" s="4" t="s">
        <v>27</v>
      </c>
      <c r="V13" s="56"/>
      <c r="W13" s="47"/>
      <c r="X13" s="47"/>
      <c r="Y13" s="47"/>
      <c r="Z13" s="47"/>
    </row>
    <row r="14" spans="1:28" ht="15.75" x14ac:dyDescent="0.25">
      <c r="B14" t="s">
        <v>49</v>
      </c>
      <c r="F14" s="54"/>
      <c r="G14" s="54"/>
      <c r="H14" s="54"/>
      <c r="I14" s="54"/>
      <c r="J14" s="54"/>
      <c r="K14" s="54"/>
      <c r="L14" s="54"/>
      <c r="M14" s="20"/>
      <c r="N14" s="20"/>
      <c r="O14" s="20"/>
      <c r="P14" s="5"/>
      <c r="Q14" s="5"/>
      <c r="R14" s="5"/>
      <c r="U14" s="4" t="s">
        <v>50</v>
      </c>
      <c r="V14" s="56"/>
      <c r="W14" s="47"/>
      <c r="X14" s="47"/>
      <c r="Y14" s="47"/>
      <c r="Z14" s="47"/>
    </row>
    <row r="15" spans="1:28" ht="15.75" x14ac:dyDescent="0.25">
      <c r="B15" t="s">
        <v>51</v>
      </c>
      <c r="F15" s="60"/>
      <c r="G15" s="60"/>
      <c r="H15" s="60"/>
      <c r="I15" s="60"/>
      <c r="J15" s="60"/>
      <c r="K15" s="60"/>
      <c r="L15" s="60"/>
      <c r="M15" s="72"/>
      <c r="N15" s="72"/>
      <c r="O15" s="72"/>
      <c r="P15" s="18"/>
      <c r="Q15" s="18"/>
      <c r="R15" s="18"/>
      <c r="U15" s="4" t="s">
        <v>36</v>
      </c>
      <c r="V15" s="56"/>
      <c r="W15" s="47"/>
      <c r="X15" s="47"/>
      <c r="Y15" s="47"/>
      <c r="Z15" s="47"/>
    </row>
    <row r="16" spans="1:28" x14ac:dyDescent="0.25">
      <c r="B16" s="114" t="s">
        <v>52</v>
      </c>
      <c r="C16" s="114"/>
      <c r="D16" s="114" t="s">
        <v>53</v>
      </c>
      <c r="E16" s="114"/>
      <c r="F16" s="46" t="s">
        <v>54</v>
      </c>
      <c r="G16" s="46" t="s">
        <v>55</v>
      </c>
      <c r="J16" s="6" t="s">
        <v>56</v>
      </c>
      <c r="K16" s="6" t="s">
        <v>57</v>
      </c>
      <c r="L16" s="6" t="s">
        <v>58</v>
      </c>
      <c r="M16" s="6" t="s">
        <v>59</v>
      </c>
      <c r="N16" s="6" t="s">
        <v>60</v>
      </c>
      <c r="O16" s="7" t="s">
        <v>61</v>
      </c>
      <c r="P16" s="6" t="s">
        <v>62</v>
      </c>
      <c r="Q16" s="6" t="s">
        <v>63</v>
      </c>
      <c r="R16" s="8" t="s">
        <v>64</v>
      </c>
      <c r="AB16" s="4"/>
    </row>
    <row r="17" spans="1:35" ht="15" customHeight="1" x14ac:dyDescent="0.25">
      <c r="B17" s="13" t="s">
        <v>65</v>
      </c>
      <c r="C17" s="13" t="s">
        <v>66</v>
      </c>
      <c r="F17" s="64" t="s">
        <v>67</v>
      </c>
      <c r="J17" s="64" t="s">
        <v>68</v>
      </c>
      <c r="K17" s="9"/>
      <c r="L17" s="9"/>
      <c r="M17" s="9"/>
      <c r="N17" s="9"/>
      <c r="O17" s="10" t="s">
        <v>69</v>
      </c>
      <c r="P17" s="9"/>
      <c r="Q17" s="10" t="s">
        <v>70</v>
      </c>
      <c r="R17" s="9"/>
      <c r="S17" s="111"/>
      <c r="T17" s="111"/>
      <c r="U17" s="27"/>
      <c r="V17" s="27" t="s">
        <v>71</v>
      </c>
      <c r="W17" s="27" t="s">
        <v>72</v>
      </c>
      <c r="X17" s="27" t="s">
        <v>73</v>
      </c>
      <c r="Y17" s="27" t="s">
        <v>74</v>
      </c>
      <c r="Z17" s="27" t="s">
        <v>75</v>
      </c>
      <c r="AA17" s="4" t="s">
        <v>76</v>
      </c>
      <c r="AB17" s="21" t="s">
        <v>77</v>
      </c>
      <c r="AC17" s="21" t="s">
        <v>78</v>
      </c>
      <c r="AE17" s="98" t="s">
        <v>79</v>
      </c>
      <c r="AF17" s="15" t="s">
        <v>80</v>
      </c>
      <c r="AG17" s="15" t="s">
        <v>81</v>
      </c>
      <c r="AH17" s="15" t="s">
        <v>63</v>
      </c>
      <c r="AI17" s="15" t="s">
        <v>82</v>
      </c>
    </row>
    <row r="18" spans="1:35" ht="16.5" customHeight="1" x14ac:dyDescent="0.3">
      <c r="A18" s="4" t="str">
        <f>IFERROR(VLOOKUP(B18,Thresholds[],2,FALSE),"")</f>
        <v/>
      </c>
      <c r="B18" s="100" t="str">
        <f>IF(F$14="","",F$14)</f>
        <v/>
      </c>
      <c r="C18" s="61"/>
      <c r="D18" s="115"/>
      <c r="E18" s="116"/>
      <c r="F18" s="66"/>
      <c r="G18" s="66"/>
      <c r="H18" s="80"/>
      <c r="I18" s="81" t="str">
        <f>IFERROR(IF(OR(AA18&lt;-AH18,AA18&gt;AH18),"AF ERROR",IF(Y18&gt;AG18,"AF REPEAT","")),"")</f>
        <v/>
      </c>
      <c r="J18" s="67"/>
      <c r="K18" s="67"/>
      <c r="L18" s="67"/>
      <c r="M18" s="67"/>
      <c r="N18" s="67"/>
      <c r="O18" s="11" t="str">
        <f>IFERROR(IF(B18="","",AB18-AC18),"")</f>
        <v/>
      </c>
      <c r="P18" s="14" t="str">
        <f>IFERROR(IF(B18="","",AVERAGE(J18:N18)),"")</f>
        <v/>
      </c>
      <c r="Q18" s="11" t="str">
        <f>IFERROR(IF(B18="","",P18-C18),"")</f>
        <v/>
      </c>
      <c r="R18" s="13" t="str">
        <f t="shared" ref="R18:R20" si="0">IFERROR(AE18&amp;"/"&amp;AF18,"")</f>
        <v/>
      </c>
      <c r="S18" s="69" t="str">
        <f>IFERROR(IF(O18&gt;AG18,"OOT REPEATABILITY",""),"")</f>
        <v/>
      </c>
      <c r="T18" s="69" t="str">
        <f>IFERROR(IF(OR(Q18&lt;-AH18,Q18&gt;AH18),"OOT ERROR",""),"")</f>
        <v/>
      </c>
      <c r="V18" t="str">
        <f>IFERROR(VLOOKUP(B18,UNCERTAINTY[],2,FALSE),"")</f>
        <v/>
      </c>
      <c r="W18" s="48" t="str">
        <f>IF(F18&gt;0,MAX(F18:G18),"")</f>
        <v/>
      </c>
      <c r="X18" s="28" t="str">
        <f>IF(F18&gt;0,MIN(F18:G18),"")</f>
        <v/>
      </c>
      <c r="Y18" s="48" t="str">
        <f>IF(F18&gt;0,W18-X18,"")</f>
        <v/>
      </c>
      <c r="Z18" s="48" t="str">
        <f>IF(F18&gt;0,AVERAGE(W18,X18),"")</f>
        <v/>
      </c>
      <c r="AA18" s="22" t="e">
        <f>Z18-C18</f>
        <v>#VALUE!</v>
      </c>
      <c r="AB18" s="3" t="str">
        <f>IF(J18&gt;0,MAX(J18:N18),"")</f>
        <v/>
      </c>
      <c r="AC18" s="22" t="str">
        <f>IF(J18&gt;0,MIN(J18:N18),"")</f>
        <v/>
      </c>
      <c r="AE18" s="3" t="e">
        <f>TEXT(AG18,"0.0")</f>
        <v>#N/A</v>
      </c>
      <c r="AF18" t="e">
        <f>TEXT(AH18,"±0.0")</f>
        <v>#N/A</v>
      </c>
      <c r="AG18" t="e">
        <f>VLOOKUP(B18,Repeat[],2,FALSE)</f>
        <v>#N/A</v>
      </c>
      <c r="AH18" t="e">
        <f>VLOOKUP(B18,Error[],2,FALSE)</f>
        <v>#N/A</v>
      </c>
      <c r="AI18" t="e">
        <f>IF(A18="no test", ISBLANK(C18), C18&lt;VLOOKUP(B18,Thresholds[],5,0))</f>
        <v>#N/A</v>
      </c>
    </row>
    <row r="19" spans="1:35" ht="16.5" customHeight="1" x14ac:dyDescent="0.3">
      <c r="A19" s="4" t="str">
        <f>IFERROR(VLOOKUP(B19,Thresholds[],3,FALSE),"")</f>
        <v/>
      </c>
      <c r="B19" s="100" t="str">
        <f>IF(F$14="","",F$14)</f>
        <v/>
      </c>
      <c r="C19" s="61"/>
      <c r="D19" s="115"/>
      <c r="E19" s="116"/>
      <c r="F19" s="66"/>
      <c r="G19" s="66"/>
      <c r="H19" s="80" t="str">
        <f>IF(AND(C19-C18&lt;5,C19&gt;0),"Too Close","")</f>
        <v/>
      </c>
      <c r="I19" s="81" t="str">
        <f>IFERROR(IF(OR(AA19&lt;-AH19,AA19&gt;AH19),"AF ERROR",IF(Y19&gt;AG19,"AF REPEAT","")),"")</f>
        <v/>
      </c>
      <c r="J19" s="67"/>
      <c r="K19" s="67"/>
      <c r="L19" s="67"/>
      <c r="M19" s="67"/>
      <c r="N19" s="67"/>
      <c r="O19" s="11" t="str">
        <f>IFERROR(IF(B19="","",AB19-AC19),"")</f>
        <v/>
      </c>
      <c r="P19" s="14" t="str">
        <f>IFERROR(IF(B19="","",AVERAGE(J19:N19)),"")</f>
        <v/>
      </c>
      <c r="Q19" s="11" t="str">
        <f>IFERROR(IF(B19="","",P19-C19),"")</f>
        <v/>
      </c>
      <c r="R19" s="13" t="str">
        <f t="shared" si="0"/>
        <v/>
      </c>
      <c r="S19" s="69" t="str">
        <f>IFERROR(IF(O19&gt;AG19,"OOT REPEATABILITY",""),"")</f>
        <v/>
      </c>
      <c r="T19" s="69" t="str">
        <f>IFERROR(IF(OR(Q19&lt;-AH19,Q19&gt;AH19),"OOT ERROR",""),"")</f>
        <v/>
      </c>
      <c r="V19" t="str">
        <f>IFERROR(VLOOKUP(B19,UNCERTAINTY[],3,FALSE),"")</f>
        <v/>
      </c>
      <c r="W19" s="48" t="str">
        <f>IF(F19&gt;0,MAX(F19:G19),"")</f>
        <v/>
      </c>
      <c r="X19" s="28" t="str">
        <f>IF(F19&gt;0,MIN(F19:G19),"")</f>
        <v/>
      </c>
      <c r="Y19" s="48" t="str">
        <f>IF(F19&gt;0,W19-X19,"")</f>
        <v/>
      </c>
      <c r="Z19" s="48" t="str">
        <f>IF(F19&gt;0,AVERAGE(W19,X19),"")</f>
        <v/>
      </c>
      <c r="AA19" s="22" t="e">
        <f>Z19-C19</f>
        <v>#VALUE!</v>
      </c>
      <c r="AB19" s="3" t="str">
        <f>IF(J19&gt;0,MAX(J19:N19),"")</f>
        <v/>
      </c>
      <c r="AC19" s="22" t="str">
        <f>IF(J19&gt;0,MIN(J19:N19),"")</f>
        <v/>
      </c>
      <c r="AE19" s="3" t="e">
        <f t="shared" ref="AE19:AE20" si="1">TEXT(AG19,"0.0")</f>
        <v>#N/A</v>
      </c>
      <c r="AF19" t="e">
        <f t="shared" ref="AF19:AF20" si="2">TEXT(AH19,"±0.0")</f>
        <v>#N/A</v>
      </c>
      <c r="AG19" t="e">
        <f>VLOOKUP(B19,Repeat[],3,FALSE)</f>
        <v>#N/A</v>
      </c>
      <c r="AH19" t="e">
        <f>VLOOKUP(B19,Error[],3,FALSE)</f>
        <v>#N/A</v>
      </c>
      <c r="AI19" t="e">
        <f>IF(A19="no test", ISBLANK(C19), AND(C19&gt;=VLOOKUP(B19,Thresholds[],5,0),C19&lt;VLOOKUP(B19,Thresholds[],6,0)))</f>
        <v>#N/A</v>
      </c>
    </row>
    <row r="20" spans="1:35" ht="16.5" customHeight="1" x14ac:dyDescent="0.3">
      <c r="A20" s="4" t="str">
        <f>IFERROR(VLOOKUP(B20,Thresholds[],4,FALSE),"")</f>
        <v/>
      </c>
      <c r="B20" s="100" t="str">
        <f>IF(F$14="","",F$14)</f>
        <v/>
      </c>
      <c r="C20" s="61"/>
      <c r="D20" s="115"/>
      <c r="E20" s="116"/>
      <c r="F20" s="66"/>
      <c r="G20" s="66"/>
      <c r="H20" s="80" t="str">
        <f>IF(AND(C20-C19&lt;5,C20&gt;0),"Too Close","")</f>
        <v/>
      </c>
      <c r="I20" s="81" t="str">
        <f>IFERROR(IF(OR(AA20&lt;-AH20,AA20&gt;AH20),"AF ERROR",IF(Y20&gt;AG20,"AF REPEAT","")),"")</f>
        <v/>
      </c>
      <c r="J20" s="67"/>
      <c r="K20" s="67"/>
      <c r="L20" s="67"/>
      <c r="M20" s="67"/>
      <c r="N20" s="67"/>
      <c r="O20" s="11" t="str">
        <f>IFERROR(IF(B20="","",AB20-AC20),"")</f>
        <v/>
      </c>
      <c r="P20" s="14" t="str">
        <f>IFERROR(IF(B20="","",AVERAGE(J20:N20)),"")</f>
        <v/>
      </c>
      <c r="Q20" s="11" t="str">
        <f>IFERROR(IF(B20="","",P20-C20),"")</f>
        <v/>
      </c>
      <c r="R20" s="13" t="str">
        <f t="shared" si="0"/>
        <v/>
      </c>
      <c r="S20" s="69" t="str">
        <f>IFERROR(IF(O20&gt;AG20,"OOT REPEATABILITY",""),"")</f>
        <v/>
      </c>
      <c r="T20" s="69" t="str">
        <f>IFERROR(IF(OR(Q20&lt;-AH20,Q20&gt;AH20),"OOT ERROR",""),"")</f>
        <v/>
      </c>
      <c r="V20" t="str">
        <f>IFERROR(VLOOKUP(B20,UNCERTAINTY[],4,FALSE),"")</f>
        <v/>
      </c>
      <c r="W20" s="48" t="str">
        <f>IF(F20&gt;0,MAX(F20:G20),"")</f>
        <v/>
      </c>
      <c r="X20" s="28" t="str">
        <f>IF(F20&gt;0,MIN(F20:G20),"")</f>
        <v/>
      </c>
      <c r="Y20" s="48" t="str">
        <f>IF(F20&gt;0,W20-X20,"")</f>
        <v/>
      </c>
      <c r="Z20" s="48" t="str">
        <f>IF(F20&gt;0,AVERAGE(W20,X20),"")</f>
        <v/>
      </c>
      <c r="AA20" s="22" t="e">
        <f>Z20-C20</f>
        <v>#VALUE!</v>
      </c>
      <c r="AB20" s="3" t="str">
        <f>IF(J20&gt;0,MAX(J20:N20),"")</f>
        <v/>
      </c>
      <c r="AC20" s="22" t="str">
        <f>IF(J20&gt;0,MIN(J20:N20),"")</f>
        <v/>
      </c>
      <c r="AE20" s="3" t="e">
        <f t="shared" si="1"/>
        <v>#N/A</v>
      </c>
      <c r="AF20" t="e">
        <f t="shared" si="2"/>
        <v>#N/A</v>
      </c>
      <c r="AG20" t="e">
        <f>VLOOKUP(B20,Repeat[],4,FALSE)</f>
        <v>#N/A</v>
      </c>
      <c r="AH20" t="e">
        <f>VLOOKUP(B20,Error[],4,FALSE)</f>
        <v>#N/A</v>
      </c>
      <c r="AI20" t="e">
        <f>IF(A20="no test", ISBLANK(C20), C20&gt;=VLOOKUP(B20,Thresholds[],6,0))</f>
        <v>#N/A</v>
      </c>
    </row>
    <row r="21" spans="1:35" ht="7.5" customHeight="1" x14ac:dyDescent="0.25">
      <c r="A21" s="89"/>
      <c r="B21" s="101"/>
      <c r="C21" s="90"/>
      <c r="D21" s="112"/>
      <c r="E21" s="112"/>
      <c r="F21" s="11"/>
      <c r="G21" s="11"/>
      <c r="H21" s="65"/>
      <c r="I21" s="81"/>
      <c r="J21" s="11"/>
      <c r="K21" s="11"/>
      <c r="L21" s="9"/>
      <c r="M21" s="9"/>
      <c r="N21" s="11"/>
      <c r="O21" s="12"/>
      <c r="P21" s="12"/>
      <c r="Q21" s="12"/>
      <c r="R21" s="12"/>
      <c r="S21" s="3"/>
      <c r="T21" s="3"/>
      <c r="W21" s="48"/>
      <c r="X21" s="28"/>
      <c r="Y21" s="48"/>
      <c r="Z21" s="48"/>
      <c r="AA21" s="22"/>
      <c r="AB21" s="3"/>
      <c r="AC21" s="22"/>
    </row>
    <row r="22" spans="1:35" ht="16.5" customHeight="1" x14ac:dyDescent="0.3">
      <c r="A22" s="4" t="str">
        <f>IFERROR(VLOOKUP(B22,Thresholds[],2,FALSE),"")</f>
        <v/>
      </c>
      <c r="B22" s="100" t="str">
        <f>IF(G$14="","",G$14)</f>
        <v/>
      </c>
      <c r="C22" s="61"/>
      <c r="D22" s="110"/>
      <c r="E22" s="110"/>
      <c r="F22" s="66"/>
      <c r="G22" s="66"/>
      <c r="H22" s="80"/>
      <c r="I22" s="81" t="str">
        <f>IFERROR(IF(OR(AA22&lt;-AH22,AA22&gt;AH22),"AF ERROR",IF(Y22&gt;AG22,"AF REPEAT","")),"")</f>
        <v/>
      </c>
      <c r="J22" s="67"/>
      <c r="K22" s="67"/>
      <c r="L22" s="67"/>
      <c r="M22" s="67"/>
      <c r="N22" s="67"/>
      <c r="O22" s="11" t="str">
        <f>IFERROR(IF(B22="","",AB22-AC22),"")</f>
        <v/>
      </c>
      <c r="P22" s="14" t="str">
        <f>IFERROR(IF(B22="","",AVERAGE(J22:N22)),"")</f>
        <v/>
      </c>
      <c r="Q22" s="11" t="str">
        <f>IFERROR(IF(B22="","",P22-C22),"")</f>
        <v/>
      </c>
      <c r="R22" s="13" t="str">
        <f t="shared" ref="R22:R24" si="3">IFERROR(AE22&amp;"/"&amp;AF22,"")</f>
        <v/>
      </c>
      <c r="S22" s="69" t="str">
        <f>IFERROR(IF(O22&gt;AG22,"OOT REPEATABILITY",""),"")</f>
        <v/>
      </c>
      <c r="T22" s="69" t="str">
        <f>IFERROR(IF(OR(Q22&lt;-AH22,Q22&gt;AH22),"OOT ERROR",""),"")</f>
        <v/>
      </c>
      <c r="V22" t="str">
        <f>IFERROR(VLOOKUP(B22,UNCERTAINTY[],2,FALSE),"")</f>
        <v/>
      </c>
      <c r="W22" s="48" t="str">
        <f t="shared" ref="W22:W44" si="4">IF(F22&gt;0,MAX(F22:G22),"")</f>
        <v/>
      </c>
      <c r="X22" s="28" t="str">
        <f t="shared" ref="X22:X44" si="5">IF(F22&gt;0,MIN(F22:G22),"")</f>
        <v/>
      </c>
      <c r="Y22" s="48" t="str">
        <f t="shared" ref="Y22:Y44" si="6">IF(F22&gt;0,W22-X22,"")</f>
        <v/>
      </c>
      <c r="Z22" s="48" t="str">
        <f t="shared" ref="Z22:Z44" si="7">IF(F22&gt;0,AVERAGE(W22,X22),"")</f>
        <v/>
      </c>
      <c r="AA22" s="22" t="e">
        <f>Z22-C22</f>
        <v>#VALUE!</v>
      </c>
      <c r="AB22" s="3" t="str">
        <f>IF(J22&gt;0,MAX(J22:N22),"")</f>
        <v/>
      </c>
      <c r="AC22" s="22" t="str">
        <f>IF(J22&gt;0,MIN(J22:N22),"")</f>
        <v/>
      </c>
      <c r="AE22" s="3" t="e">
        <f t="shared" ref="AE22:AE44" si="8">TEXT(AG22,"0.0")</f>
        <v>#N/A</v>
      </c>
      <c r="AF22" t="e">
        <f t="shared" ref="AF22:AF44" si="9">TEXT(AH22,"±0.0")</f>
        <v>#N/A</v>
      </c>
      <c r="AG22" t="e">
        <f>VLOOKUP(B22,Repeat[],2,FALSE)</f>
        <v>#N/A</v>
      </c>
      <c r="AH22" t="e">
        <f>VLOOKUP(B22,Error[],2,FALSE)</f>
        <v>#N/A</v>
      </c>
      <c r="AI22" t="e">
        <f>IF(A22="no test", ISBLANK(C22), C22&lt;VLOOKUP(B22,Thresholds[],5,0))</f>
        <v>#N/A</v>
      </c>
    </row>
    <row r="23" spans="1:35" ht="16.5" customHeight="1" x14ac:dyDescent="0.3">
      <c r="A23" s="4" t="str">
        <f>IFERROR(VLOOKUP(B23,Thresholds[],3,FALSE),"")</f>
        <v/>
      </c>
      <c r="B23" s="100" t="str">
        <f>IF(G$14="","",G$14)</f>
        <v/>
      </c>
      <c r="C23" s="61"/>
      <c r="D23" s="110"/>
      <c r="E23" s="110"/>
      <c r="F23" s="66"/>
      <c r="G23" s="66"/>
      <c r="H23" s="80" t="str">
        <f>IF(AND(C23-C22&lt;5,C23&gt;0),"Too Close","")</f>
        <v/>
      </c>
      <c r="I23" s="81" t="str">
        <f>IFERROR(IF(OR(AA23&lt;-AH23,AA23&gt;AH23),"AF ERROR",IF(Y23&gt;AG23,"AF REPEAT","")),"")</f>
        <v/>
      </c>
      <c r="J23" s="67"/>
      <c r="K23" s="67"/>
      <c r="L23" s="67"/>
      <c r="M23" s="67"/>
      <c r="N23" s="67"/>
      <c r="O23" s="11" t="str">
        <f>IFERROR(IF(B23="","",AB23-AC23),"")</f>
        <v/>
      </c>
      <c r="P23" s="14" t="str">
        <f>IFERROR(IF(B23="","",AVERAGE(J23:N23)),"")</f>
        <v/>
      </c>
      <c r="Q23" s="11" t="str">
        <f>IFERROR(IF(B23="","",P23-C23),"")</f>
        <v/>
      </c>
      <c r="R23" s="13" t="str">
        <f t="shared" si="3"/>
        <v/>
      </c>
      <c r="S23" s="69" t="str">
        <f>IFERROR(IF(O23&gt;AG23,"OOT REPEATABILITY",""),"")</f>
        <v/>
      </c>
      <c r="T23" s="69" t="str">
        <f>IFERROR(IF(OR(Q23&lt;-AH23,Q23&gt;AH23),"OOT ERROR",""),"")</f>
        <v/>
      </c>
      <c r="V23" t="str">
        <f>IFERROR(VLOOKUP(B23,UNCERTAINTY[],3,FALSE),"")</f>
        <v/>
      </c>
      <c r="W23" s="48" t="str">
        <f t="shared" si="4"/>
        <v/>
      </c>
      <c r="X23" s="28" t="str">
        <f t="shared" si="5"/>
        <v/>
      </c>
      <c r="Y23" s="48" t="str">
        <f t="shared" si="6"/>
        <v/>
      </c>
      <c r="Z23" s="48" t="str">
        <f t="shared" si="7"/>
        <v/>
      </c>
      <c r="AA23" s="22" t="e">
        <f>Z23-C23</f>
        <v>#VALUE!</v>
      </c>
      <c r="AB23" s="3" t="str">
        <f>IF(J23&gt;0,MAX(J23:N23),"")</f>
        <v/>
      </c>
      <c r="AC23" s="22" t="str">
        <f>IF(J23&gt;0,MIN(J23:N23),"")</f>
        <v/>
      </c>
      <c r="AE23" s="3" t="e">
        <f t="shared" si="8"/>
        <v>#N/A</v>
      </c>
      <c r="AF23" t="e">
        <f t="shared" si="9"/>
        <v>#N/A</v>
      </c>
      <c r="AG23" t="e">
        <f>VLOOKUP(B23,Repeat[],3,FALSE)</f>
        <v>#N/A</v>
      </c>
      <c r="AH23" t="e">
        <f>VLOOKUP(B23,Error[],3,FALSE)</f>
        <v>#N/A</v>
      </c>
      <c r="AI23" t="e">
        <f>IF(A23="no test", ISBLANK(C23), AND(C23&gt;=VLOOKUP(B23,Thresholds[],5,0),C23&lt;VLOOKUP(B23,Thresholds[],6,0)))</f>
        <v>#N/A</v>
      </c>
    </row>
    <row r="24" spans="1:35" ht="16.5" customHeight="1" x14ac:dyDescent="0.3">
      <c r="A24" s="4" t="str">
        <f>IFERROR(VLOOKUP(B24,Thresholds[],4,FALSE),"")</f>
        <v/>
      </c>
      <c r="B24" s="100" t="str">
        <f>IF(G$14="","",G$14)</f>
        <v/>
      </c>
      <c r="C24" s="61"/>
      <c r="D24" s="110"/>
      <c r="E24" s="110"/>
      <c r="F24" s="66"/>
      <c r="G24" s="66"/>
      <c r="H24" s="80" t="str">
        <f>IF(AND(C24-C23&lt;5,C24&gt;0),"Too Close","")</f>
        <v/>
      </c>
      <c r="I24" s="81" t="str">
        <f>IFERROR(IF(OR(AA24&lt;-AH24,AA24&gt;AH24),"AF ERROR",IF(Y24&gt;AG24,"AF REPEAT","")),"")</f>
        <v/>
      </c>
      <c r="J24" s="67"/>
      <c r="K24" s="67"/>
      <c r="L24" s="67"/>
      <c r="M24" s="67"/>
      <c r="N24" s="67"/>
      <c r="O24" s="11" t="str">
        <f>IFERROR(IF(B24="","",AB24-AC24),"")</f>
        <v/>
      </c>
      <c r="P24" s="14" t="str">
        <f>IFERROR(IF(B24="","",AVERAGE(J24:N24)),"")</f>
        <v/>
      </c>
      <c r="Q24" s="11" t="str">
        <f>IFERROR(IF(B24="","",P24-C24),"")</f>
        <v/>
      </c>
      <c r="R24" s="13" t="str">
        <f t="shared" si="3"/>
        <v/>
      </c>
      <c r="S24" s="69" t="str">
        <f>IFERROR(IF(O24&gt;AG24,"OOT REPEATABILITY",""),"")</f>
        <v/>
      </c>
      <c r="T24" s="69" t="str">
        <f>IFERROR(IF(OR(Q24&lt;-AH24,Q24&gt;AH24),"OOT ERROR",""),"")</f>
        <v/>
      </c>
      <c r="V24" t="str">
        <f>IFERROR(VLOOKUP(B24,UNCERTAINTY[],4,FALSE),"")</f>
        <v/>
      </c>
      <c r="W24" s="48" t="str">
        <f t="shared" si="4"/>
        <v/>
      </c>
      <c r="X24" s="28" t="str">
        <f t="shared" si="5"/>
        <v/>
      </c>
      <c r="Y24" s="48" t="str">
        <f t="shared" si="6"/>
        <v/>
      </c>
      <c r="Z24" s="48" t="str">
        <f t="shared" si="7"/>
        <v/>
      </c>
      <c r="AA24" s="22" t="e">
        <f>Z24-C24</f>
        <v>#VALUE!</v>
      </c>
      <c r="AB24" s="3" t="str">
        <f>IF(J24&gt;0,MAX(J24:N24),"")</f>
        <v/>
      </c>
      <c r="AC24" s="22" t="str">
        <f>IF(J24&gt;0,MIN(J24:N24),"")</f>
        <v/>
      </c>
      <c r="AE24" s="3" t="e">
        <f t="shared" si="8"/>
        <v>#N/A</v>
      </c>
      <c r="AF24" t="e">
        <f t="shared" si="9"/>
        <v>#N/A</v>
      </c>
      <c r="AG24" t="e">
        <f>VLOOKUP(B24,Repeat[],4,FALSE)</f>
        <v>#N/A</v>
      </c>
      <c r="AH24" t="e">
        <f>VLOOKUP(B24,Error[],4,FALSE)</f>
        <v>#N/A</v>
      </c>
      <c r="AI24" t="e">
        <f>IF(A24="no test", ISBLANK(C24), C24&gt;=VLOOKUP(B24,Thresholds[],6,0))</f>
        <v>#N/A</v>
      </c>
    </row>
    <row r="25" spans="1:35" ht="7.5" customHeight="1" x14ac:dyDescent="0.25">
      <c r="A25" s="4"/>
      <c r="B25" s="102"/>
      <c r="C25" s="90"/>
      <c r="D25" s="112"/>
      <c r="E25" s="112"/>
      <c r="F25" s="3"/>
      <c r="G25" s="3"/>
      <c r="H25" s="64"/>
      <c r="I25" s="81"/>
      <c r="J25" s="11"/>
      <c r="K25" s="11"/>
      <c r="L25" s="9"/>
      <c r="M25" s="9"/>
      <c r="N25" s="11"/>
      <c r="O25" s="12"/>
      <c r="P25" s="12"/>
      <c r="Q25" s="12"/>
      <c r="R25" s="12"/>
      <c r="S25" s="3"/>
      <c r="T25" s="3"/>
      <c r="W25" s="48" t="str">
        <f t="shared" si="4"/>
        <v/>
      </c>
      <c r="X25" s="28" t="str">
        <f t="shared" si="5"/>
        <v/>
      </c>
      <c r="Y25" s="48" t="str">
        <f t="shared" si="6"/>
        <v/>
      </c>
      <c r="Z25" s="48" t="str">
        <f t="shared" si="7"/>
        <v/>
      </c>
      <c r="AA25" s="22"/>
      <c r="AB25" s="3"/>
      <c r="AC25" s="22"/>
    </row>
    <row r="26" spans="1:35" ht="16.5" customHeight="1" x14ac:dyDescent="0.3">
      <c r="A26" s="4" t="str">
        <f>IFERROR(VLOOKUP(B26,Thresholds[],2,FALSE),"")</f>
        <v/>
      </c>
      <c r="B26" s="100" t="str">
        <f>IF(H$14="","",H$14)</f>
        <v/>
      </c>
      <c r="C26" s="61"/>
      <c r="D26" s="110"/>
      <c r="E26" s="110"/>
      <c r="F26" s="66"/>
      <c r="G26" s="66"/>
      <c r="H26" s="80"/>
      <c r="I26" s="81" t="str">
        <f>IFERROR(IF(OR(AA26&lt;-AH26,AA26&gt;AH26),"AF ERROR",IF(Y26&gt;AG26,"AF REPEAT","")),"")</f>
        <v/>
      </c>
      <c r="J26" s="67"/>
      <c r="K26" s="67"/>
      <c r="L26" s="67"/>
      <c r="M26" s="67"/>
      <c r="N26" s="67"/>
      <c r="O26" s="11" t="str">
        <f>IFERROR(IF(B26="","",AB26-AC26),"")</f>
        <v/>
      </c>
      <c r="P26" s="14" t="str">
        <f>IFERROR(IF(B26="","",AVERAGE(J26:N26)),"")</f>
        <v/>
      </c>
      <c r="Q26" s="11" t="str">
        <f>IFERROR(IF(B26="","",P26-C26),"")</f>
        <v/>
      </c>
      <c r="R26" s="13" t="str">
        <f t="shared" ref="R26:R28" si="10">IFERROR(AE26&amp;"/"&amp;AF26,"")</f>
        <v/>
      </c>
      <c r="S26" s="69" t="str">
        <f>IFERROR(IF(O26&gt;AG26,"OOT REPEATABILITY",""),"")</f>
        <v/>
      </c>
      <c r="T26" s="69" t="str">
        <f>IFERROR(IF(OR(Q26&lt;-AH26,Q26&gt;AH26),"OOT ERROR",""),"")</f>
        <v/>
      </c>
      <c r="V26" t="str">
        <f>IFERROR(VLOOKUP(B26,UNCERTAINTY[],2,FALSE),"")</f>
        <v/>
      </c>
      <c r="W26" s="48" t="str">
        <f t="shared" si="4"/>
        <v/>
      </c>
      <c r="X26" s="28" t="str">
        <f t="shared" si="5"/>
        <v/>
      </c>
      <c r="Y26" s="48" t="str">
        <f t="shared" si="6"/>
        <v/>
      </c>
      <c r="Z26" s="48" t="str">
        <f t="shared" si="7"/>
        <v/>
      </c>
      <c r="AA26" s="22" t="e">
        <f>Z26-C26</f>
        <v>#VALUE!</v>
      </c>
      <c r="AB26" s="3" t="str">
        <f>IF(J26&gt;0,MAX(J26:N26),"")</f>
        <v/>
      </c>
      <c r="AC26" s="22" t="str">
        <f>IF(J26&gt;0,MIN(J26:N26),"")</f>
        <v/>
      </c>
      <c r="AE26" s="3" t="e">
        <f t="shared" ref="AE26" si="11">TEXT(AG26,"0.0")</f>
        <v>#N/A</v>
      </c>
      <c r="AF26" t="e">
        <f t="shared" ref="AF26" si="12">TEXT(AH26,"±0.0")</f>
        <v>#N/A</v>
      </c>
      <c r="AG26" t="e">
        <f>VLOOKUP(B26,Repeat[],2,FALSE)</f>
        <v>#N/A</v>
      </c>
      <c r="AH26" t="e">
        <f>VLOOKUP(B26,Error[],2,FALSE)</f>
        <v>#N/A</v>
      </c>
      <c r="AI26" t="e">
        <f>IF(A26="no test", ISBLANK(C26), C26&lt;VLOOKUP(B26,Thresholds[],5,0))</f>
        <v>#N/A</v>
      </c>
    </row>
    <row r="27" spans="1:35" ht="16.5" customHeight="1" x14ac:dyDescent="0.3">
      <c r="A27" s="4" t="str">
        <f>IFERROR(VLOOKUP(B27,Thresholds[],3,FALSE),"")</f>
        <v/>
      </c>
      <c r="B27" s="100" t="str">
        <f>IF(H$14="","",H$14)</f>
        <v/>
      </c>
      <c r="C27" s="61"/>
      <c r="D27" s="110"/>
      <c r="E27" s="110"/>
      <c r="F27" s="66"/>
      <c r="G27" s="66"/>
      <c r="H27" s="80" t="str">
        <f>IF(AND(C27-C26&lt;5,C27&gt;0),"Too Close","")</f>
        <v/>
      </c>
      <c r="I27" s="81" t="str">
        <f>IFERROR(IF(OR(AA27&lt;-AH27,AA27&gt;AH27),"AF ERROR",IF(Y27&gt;AG27,"AF REPEAT","")),"")</f>
        <v/>
      </c>
      <c r="J27" s="67"/>
      <c r="K27" s="67"/>
      <c r="L27" s="67"/>
      <c r="M27" s="67"/>
      <c r="N27" s="67"/>
      <c r="O27" s="11" t="str">
        <f>IFERROR(IF(B27="","",AB27-AC27),"")</f>
        <v/>
      </c>
      <c r="P27" s="14" t="str">
        <f>IFERROR(IF(B27="","",AVERAGE(J27:N27)),"")</f>
        <v/>
      </c>
      <c r="Q27" s="11" t="str">
        <f>IFERROR(IF(B27="","",P27-C27),"")</f>
        <v/>
      </c>
      <c r="R27" s="13" t="str">
        <f t="shared" si="10"/>
        <v/>
      </c>
      <c r="S27" s="69" t="str">
        <f>IFERROR(IF(O27&gt;AG27,"OOT REPEATABILITY",""),"")</f>
        <v/>
      </c>
      <c r="T27" s="69" t="str">
        <f>IFERROR(IF(OR(Q27&lt;-AH27,Q27&gt;AH27),"OOT ERROR",""),"")</f>
        <v/>
      </c>
      <c r="V27" t="str">
        <f>IFERROR(VLOOKUP(B27,UNCERTAINTY[],3,FALSE),"")</f>
        <v/>
      </c>
      <c r="W27" s="48" t="str">
        <f t="shared" si="4"/>
        <v/>
      </c>
      <c r="X27" s="28" t="str">
        <f t="shared" si="5"/>
        <v/>
      </c>
      <c r="Y27" s="48" t="str">
        <f t="shared" si="6"/>
        <v/>
      </c>
      <c r="Z27" s="48" t="str">
        <f t="shared" si="7"/>
        <v/>
      </c>
      <c r="AA27" s="22" t="e">
        <f>Z27-C27</f>
        <v>#VALUE!</v>
      </c>
      <c r="AB27" s="3" t="str">
        <f>IF(J27&gt;0,MAX(J27:N27),"")</f>
        <v/>
      </c>
      <c r="AC27" s="22" t="str">
        <f>IF(J27&gt;0,MIN(J27:N27),"")</f>
        <v/>
      </c>
      <c r="AE27" s="3" t="e">
        <f t="shared" si="8"/>
        <v>#N/A</v>
      </c>
      <c r="AF27" t="e">
        <f t="shared" si="9"/>
        <v>#N/A</v>
      </c>
      <c r="AG27" t="e">
        <f>VLOOKUP(B27,Repeat[],3,FALSE)</f>
        <v>#N/A</v>
      </c>
      <c r="AH27" t="e">
        <f>VLOOKUP(B27,Error[],3,FALSE)</f>
        <v>#N/A</v>
      </c>
      <c r="AI27" t="e">
        <f>IF(A27="no test", ISBLANK(C27), AND(C27&gt;=VLOOKUP(B27,Thresholds[],5,0),C27&lt;VLOOKUP(B27,Thresholds[],6,0)))</f>
        <v>#N/A</v>
      </c>
    </row>
    <row r="28" spans="1:35" ht="16.5" customHeight="1" x14ac:dyDescent="0.3">
      <c r="A28" s="4" t="str">
        <f>IFERROR(VLOOKUP(B28,Thresholds[],4,FALSE),"")</f>
        <v/>
      </c>
      <c r="B28" s="100" t="str">
        <f>IF(H$14="","",H$14)</f>
        <v/>
      </c>
      <c r="C28" s="61"/>
      <c r="D28" s="110"/>
      <c r="E28" s="110"/>
      <c r="F28" s="66"/>
      <c r="G28" s="66"/>
      <c r="H28" s="80" t="str">
        <f>IF(AND(C28-C27&lt;5,C28&gt;0),"Too Close","")</f>
        <v/>
      </c>
      <c r="I28" s="81" t="str">
        <f>IFERROR(IF(OR(AA28&lt;-AH28,AA28&gt;AH28),"AF ERROR",IF(Y28&gt;AG28,"AF REPEAT","")),"")</f>
        <v/>
      </c>
      <c r="J28" s="67"/>
      <c r="K28" s="67"/>
      <c r="L28" s="67"/>
      <c r="M28" s="67"/>
      <c r="N28" s="67"/>
      <c r="O28" s="11" t="str">
        <f>IFERROR(IF(B28="","",AB28-AC28),"")</f>
        <v/>
      </c>
      <c r="P28" s="14" t="str">
        <f>IFERROR(IF(B28="","",AVERAGE(J28:N28)),"")</f>
        <v/>
      </c>
      <c r="Q28" s="11" t="str">
        <f>IFERROR(IF(B28="","",P28-C28),"")</f>
        <v/>
      </c>
      <c r="R28" s="13" t="str">
        <f t="shared" si="10"/>
        <v/>
      </c>
      <c r="S28" s="69" t="str">
        <f>IFERROR(IF(O28&gt;AG28,"OOT REPEATABILITY",""),"")</f>
        <v/>
      </c>
      <c r="T28" s="69" t="str">
        <f>IFERROR(IF(OR(Q28&lt;-AH28,Q28&gt;AH28),"OOT ERROR",""),"")</f>
        <v/>
      </c>
      <c r="V28" t="str">
        <f>IFERROR(VLOOKUP(B28,UNCERTAINTY[],4,FALSE),"")</f>
        <v/>
      </c>
      <c r="W28" s="48" t="str">
        <f t="shared" si="4"/>
        <v/>
      </c>
      <c r="X28" s="28" t="str">
        <f t="shared" si="5"/>
        <v/>
      </c>
      <c r="Y28" s="48" t="str">
        <f t="shared" si="6"/>
        <v/>
      </c>
      <c r="Z28" s="48" t="str">
        <f t="shared" si="7"/>
        <v/>
      </c>
      <c r="AA28" s="22" t="e">
        <f>Z28-C28</f>
        <v>#VALUE!</v>
      </c>
      <c r="AB28" s="3" t="str">
        <f>IF(J28&gt;0,MAX(J28:N28),"")</f>
        <v/>
      </c>
      <c r="AC28" s="22" t="str">
        <f>IF(J28&gt;0,MIN(J28:N28),"")</f>
        <v/>
      </c>
      <c r="AE28" s="3" t="e">
        <f t="shared" si="8"/>
        <v>#N/A</v>
      </c>
      <c r="AF28" t="e">
        <f t="shared" si="9"/>
        <v>#N/A</v>
      </c>
      <c r="AG28" t="e">
        <f>VLOOKUP(B28,Repeat[],4,FALSE)</f>
        <v>#N/A</v>
      </c>
      <c r="AH28" t="e">
        <f>VLOOKUP(B28,Error[],4,FALSE)</f>
        <v>#N/A</v>
      </c>
      <c r="AI28" t="e">
        <f>IF(A28="no test", ISBLANK(C28), C28&gt;=VLOOKUP(B28,Thresholds[],6,0))</f>
        <v>#N/A</v>
      </c>
    </row>
    <row r="29" spans="1:35" ht="7.5" customHeight="1" x14ac:dyDescent="0.25">
      <c r="A29" s="4"/>
      <c r="B29" s="102"/>
      <c r="C29" s="90"/>
      <c r="D29" s="112"/>
      <c r="E29" s="112"/>
      <c r="F29" s="3"/>
      <c r="G29" s="3"/>
      <c r="H29" s="64"/>
      <c r="I29" s="81"/>
      <c r="J29" s="11"/>
      <c r="K29" s="11"/>
      <c r="L29" s="9"/>
      <c r="M29" s="9"/>
      <c r="N29" s="11"/>
      <c r="O29" s="12"/>
      <c r="P29" s="12"/>
      <c r="Q29" s="12"/>
      <c r="R29" s="12"/>
      <c r="S29" s="3"/>
      <c r="T29" s="3"/>
      <c r="W29" s="48" t="str">
        <f t="shared" si="4"/>
        <v/>
      </c>
      <c r="X29" s="28" t="str">
        <f t="shared" si="5"/>
        <v/>
      </c>
      <c r="Y29" s="48" t="str">
        <f t="shared" si="6"/>
        <v/>
      </c>
      <c r="Z29" s="48" t="str">
        <f t="shared" si="7"/>
        <v/>
      </c>
      <c r="AA29" s="22"/>
      <c r="AB29" s="3"/>
      <c r="AC29" s="22"/>
    </row>
    <row r="30" spans="1:35" ht="16.5" customHeight="1" x14ac:dyDescent="0.3">
      <c r="A30" s="4" t="str">
        <f>IFERROR(VLOOKUP(B30,Thresholds[],2,FALSE),"")</f>
        <v/>
      </c>
      <c r="B30" s="100" t="str">
        <f>IF(I$14="","",I$14)</f>
        <v/>
      </c>
      <c r="C30" s="61"/>
      <c r="D30" s="110"/>
      <c r="E30" s="110"/>
      <c r="F30" s="66"/>
      <c r="G30" s="66"/>
      <c r="H30" s="80"/>
      <c r="I30" s="81" t="str">
        <f>IFERROR(IF(OR(AA30&lt;-AH30,AA30&gt;AH30),"AF ERROR",IF(Y30&gt;AG30,"AF REPEAT","")),"")</f>
        <v/>
      </c>
      <c r="J30" s="67"/>
      <c r="K30" s="67"/>
      <c r="L30" s="67"/>
      <c r="M30" s="67"/>
      <c r="N30" s="67"/>
      <c r="O30" s="11" t="str">
        <f>IFERROR(IF(B30="","",AB30-AC30),"")</f>
        <v/>
      </c>
      <c r="P30" s="14" t="str">
        <f>IFERROR(IF(B30="","",AVERAGE(J30:N30)),"")</f>
        <v/>
      </c>
      <c r="Q30" s="11" t="str">
        <f>IFERROR(IF(B30="","",P30-C30),"")</f>
        <v/>
      </c>
      <c r="R30" s="13" t="str">
        <f>IFERROR(AE30&amp;"/"&amp;AF30,"")</f>
        <v/>
      </c>
      <c r="S30" s="69" t="str">
        <f>IFERROR(IF(O30&gt;AG30,"OOT REPEATABILITY",""),"")</f>
        <v/>
      </c>
      <c r="T30" s="69" t="str">
        <f>IFERROR(IF(OR(Q30&lt;-AH30,Q30&gt;AH30),"OOT ERROR",""),"")</f>
        <v/>
      </c>
      <c r="V30" t="str">
        <f>IFERROR(VLOOKUP(B30,UNCERTAINTY[],2,FALSE),"")</f>
        <v/>
      </c>
      <c r="W30" s="48" t="str">
        <f t="shared" si="4"/>
        <v/>
      </c>
      <c r="X30" s="28" t="str">
        <f t="shared" si="5"/>
        <v/>
      </c>
      <c r="Y30" s="48" t="str">
        <f t="shared" si="6"/>
        <v/>
      </c>
      <c r="Z30" s="48" t="str">
        <f t="shared" si="7"/>
        <v/>
      </c>
      <c r="AA30" s="22" t="e">
        <f>Z30-C30</f>
        <v>#VALUE!</v>
      </c>
      <c r="AB30" s="3" t="str">
        <f>IF(J30&gt;0,MAX(J30:N30),"")</f>
        <v/>
      </c>
      <c r="AC30" s="22" t="str">
        <f>IF(J30&gt;0,MIN(J30:N30),"")</f>
        <v/>
      </c>
      <c r="AE30" s="3" t="e">
        <f t="shared" ref="AE30" si="13">TEXT(AG30,"0.0")</f>
        <v>#N/A</v>
      </c>
      <c r="AF30" t="e">
        <f t="shared" ref="AF30" si="14">TEXT(AH30,"±0.0")</f>
        <v>#N/A</v>
      </c>
      <c r="AG30" t="e">
        <f>VLOOKUP(B30,Repeat[],2,FALSE)</f>
        <v>#N/A</v>
      </c>
      <c r="AH30" t="e">
        <f>VLOOKUP(B30,Error[],2,FALSE)</f>
        <v>#N/A</v>
      </c>
      <c r="AI30" t="e">
        <f>IF(A30="no test", ISBLANK(C30), C30&lt;VLOOKUP(B30,Thresholds[],5,0))</f>
        <v>#N/A</v>
      </c>
    </row>
    <row r="31" spans="1:35" ht="16.5" customHeight="1" x14ac:dyDescent="0.3">
      <c r="A31" s="4" t="str">
        <f>IFERROR(VLOOKUP(B31,Thresholds[],3,FALSE),"")</f>
        <v/>
      </c>
      <c r="B31" s="100" t="str">
        <f>IF(I$14="","",I$14)</f>
        <v/>
      </c>
      <c r="C31" s="61"/>
      <c r="D31" s="110"/>
      <c r="E31" s="110"/>
      <c r="F31" s="66"/>
      <c r="G31" s="66"/>
      <c r="H31" s="80" t="str">
        <f>IF(AND(C31-C30&lt;5,C31&gt;0),"Too Close","")</f>
        <v/>
      </c>
      <c r="I31" s="81" t="str">
        <f>IFERROR(IF(OR(AA31&lt;-AH31,AA31&gt;AH31),"AF ERROR",IF(Y31&gt;AG31,"AF REPEAT","")),"")</f>
        <v/>
      </c>
      <c r="J31" s="67"/>
      <c r="K31" s="67"/>
      <c r="L31" s="67"/>
      <c r="M31" s="67"/>
      <c r="N31" s="67"/>
      <c r="O31" s="11" t="str">
        <f>IFERROR(IF(B31="","",AB31-AC31),"")</f>
        <v/>
      </c>
      <c r="P31" s="14" t="str">
        <f>IFERROR(IF(B31="","",AVERAGE(J31:N31)),"")</f>
        <v/>
      </c>
      <c r="Q31" s="11" t="str">
        <f>IFERROR(IF(B31="","",P31-C31),"")</f>
        <v/>
      </c>
      <c r="R31" s="13" t="str">
        <f t="shared" ref="R31:R32" si="15">IFERROR(AE31&amp;"/"&amp;AF31,"")</f>
        <v/>
      </c>
      <c r="S31" s="69" t="str">
        <f>IFERROR(IF(O31&gt;AG31,"OOT REPEATABILITY",""),"")</f>
        <v/>
      </c>
      <c r="T31" s="69" t="str">
        <f>IFERROR(IF(OR(Q31&lt;-AH31,Q31&gt;AH31),"OOT ERROR",""),"")</f>
        <v/>
      </c>
      <c r="V31" t="str">
        <f>IFERROR(VLOOKUP(B31,UNCERTAINTY[],3,FALSE),"")</f>
        <v/>
      </c>
      <c r="W31" s="48" t="str">
        <f t="shared" si="4"/>
        <v/>
      </c>
      <c r="X31" s="28" t="str">
        <f t="shared" si="5"/>
        <v/>
      </c>
      <c r="Y31" s="48" t="str">
        <f t="shared" si="6"/>
        <v/>
      </c>
      <c r="Z31" s="48" t="str">
        <f t="shared" si="7"/>
        <v/>
      </c>
      <c r="AA31" s="22" t="e">
        <f>Z31-C31</f>
        <v>#VALUE!</v>
      </c>
      <c r="AB31" s="3" t="str">
        <f>IF(J31&gt;0,MAX(J31:N31),"")</f>
        <v/>
      </c>
      <c r="AC31" s="22" t="str">
        <f>IF(J31&gt;0,MIN(J31:N31),"")</f>
        <v/>
      </c>
      <c r="AE31" s="3" t="e">
        <f t="shared" si="8"/>
        <v>#N/A</v>
      </c>
      <c r="AF31" t="e">
        <f t="shared" si="9"/>
        <v>#N/A</v>
      </c>
      <c r="AG31" t="e">
        <f>VLOOKUP(B31,Repeat[],3,FALSE)</f>
        <v>#N/A</v>
      </c>
      <c r="AH31" t="e">
        <f>VLOOKUP(B31,Error[],3,FALSE)</f>
        <v>#N/A</v>
      </c>
      <c r="AI31" t="e">
        <f>IF(A31="no test", ISBLANK(C31), AND(C31&gt;=VLOOKUP(B31,Thresholds[],5,0),C31&lt;VLOOKUP(B31,Thresholds[],6,0)))</f>
        <v>#N/A</v>
      </c>
    </row>
    <row r="32" spans="1:35" ht="16.5" customHeight="1" x14ac:dyDescent="0.3">
      <c r="A32" s="4" t="str">
        <f>IFERROR(VLOOKUP(B32,Thresholds[],4,FALSE),"")</f>
        <v/>
      </c>
      <c r="B32" s="100" t="str">
        <f>IF(I$14="","",I$14)</f>
        <v/>
      </c>
      <c r="C32" s="61"/>
      <c r="D32" s="110"/>
      <c r="E32" s="110"/>
      <c r="F32" s="66"/>
      <c r="G32" s="66"/>
      <c r="H32" s="80" t="str">
        <f>IF(AND(C32-C31&lt;5,C32&gt;0),"Too Close","")</f>
        <v/>
      </c>
      <c r="I32" s="81" t="str">
        <f>IFERROR(IF(OR(AA32&lt;-AH32,AA32&gt;AH32),"AF ERROR",IF(Y32&gt;AG32,"AF REPEAT","")),"")</f>
        <v/>
      </c>
      <c r="J32" s="67"/>
      <c r="K32" s="67"/>
      <c r="L32" s="67"/>
      <c r="M32" s="67"/>
      <c r="N32" s="67"/>
      <c r="O32" s="11" t="str">
        <f>IFERROR(IF(B32="","",AB32-AC32),"")</f>
        <v/>
      </c>
      <c r="P32" s="14" t="str">
        <f>IFERROR(IF(B32="","",AVERAGE(J32:N32)),"")</f>
        <v/>
      </c>
      <c r="Q32" s="11" t="str">
        <f>IFERROR(IF(B32="","",P32-C32),"")</f>
        <v/>
      </c>
      <c r="R32" s="13" t="str">
        <f t="shared" si="15"/>
        <v/>
      </c>
      <c r="S32" s="69" t="str">
        <f>IFERROR(IF(O32&gt;AG32,"OOT REPEATABILITY",""),"")</f>
        <v/>
      </c>
      <c r="T32" s="69" t="str">
        <f>IFERROR(IF(OR(Q32&lt;-AH32,Q32&gt;AH32),"OOT ERROR",""),"")</f>
        <v/>
      </c>
      <c r="V32" t="str">
        <f>IFERROR(VLOOKUP(B32,UNCERTAINTY[],4,FALSE),"")</f>
        <v/>
      </c>
      <c r="W32" s="48" t="str">
        <f t="shared" si="4"/>
        <v/>
      </c>
      <c r="X32" s="28" t="str">
        <f t="shared" si="5"/>
        <v/>
      </c>
      <c r="Y32" s="48" t="str">
        <f t="shared" si="6"/>
        <v/>
      </c>
      <c r="Z32" s="48" t="str">
        <f t="shared" si="7"/>
        <v/>
      </c>
      <c r="AA32" s="22" t="e">
        <f>Z32-C32</f>
        <v>#VALUE!</v>
      </c>
      <c r="AB32" s="3" t="str">
        <f>IF(J32&gt;0,MAX(J32:N32),"")</f>
        <v/>
      </c>
      <c r="AC32" s="22" t="str">
        <f>IF(J32&gt;0,MIN(J32:N32),"")</f>
        <v/>
      </c>
      <c r="AE32" s="3" t="e">
        <f t="shared" si="8"/>
        <v>#N/A</v>
      </c>
      <c r="AF32" t="e">
        <f t="shared" si="9"/>
        <v>#N/A</v>
      </c>
      <c r="AG32" t="e">
        <f>VLOOKUP(B32,Repeat[],4,FALSE)</f>
        <v>#N/A</v>
      </c>
      <c r="AH32" t="e">
        <f>VLOOKUP(B32,Error[],4,FALSE)</f>
        <v>#N/A</v>
      </c>
      <c r="AI32" t="e">
        <f>IF(A32="no test", ISBLANK(C32), C32&gt;=VLOOKUP(B32,Thresholds[],6,0))</f>
        <v>#N/A</v>
      </c>
    </row>
    <row r="33" spans="1:35" ht="7.5" customHeight="1" x14ac:dyDescent="0.25">
      <c r="A33" s="4"/>
      <c r="B33" s="102"/>
      <c r="C33" s="90"/>
      <c r="D33" s="112"/>
      <c r="E33" s="112"/>
      <c r="F33" s="3"/>
      <c r="G33" s="3"/>
      <c r="H33" s="64"/>
      <c r="I33" s="81"/>
      <c r="J33" s="11"/>
      <c r="K33" s="11"/>
      <c r="L33" s="9"/>
      <c r="M33" s="9"/>
      <c r="N33" s="11"/>
      <c r="O33" s="12"/>
      <c r="P33" s="12"/>
      <c r="Q33" s="12"/>
      <c r="R33" s="12"/>
      <c r="S33" s="3"/>
      <c r="T33" s="3"/>
      <c r="W33" s="48" t="str">
        <f t="shared" si="4"/>
        <v/>
      </c>
      <c r="X33" s="28" t="str">
        <f t="shared" si="5"/>
        <v/>
      </c>
      <c r="Y33" s="48" t="str">
        <f t="shared" si="6"/>
        <v/>
      </c>
      <c r="Z33" s="48" t="str">
        <f t="shared" si="7"/>
        <v/>
      </c>
      <c r="AA33" s="22"/>
      <c r="AB33" s="3"/>
      <c r="AC33" s="22"/>
    </row>
    <row r="34" spans="1:35" ht="16.5" customHeight="1" x14ac:dyDescent="0.3">
      <c r="A34" s="4" t="str">
        <f>IFERROR(VLOOKUP(B34,Thresholds[],2,FALSE),"")</f>
        <v/>
      </c>
      <c r="B34" s="100" t="str">
        <f>IF(J$14="","",J$14)</f>
        <v/>
      </c>
      <c r="C34" s="61"/>
      <c r="D34" s="110"/>
      <c r="E34" s="110"/>
      <c r="F34" s="66"/>
      <c r="G34" s="66"/>
      <c r="H34" s="80"/>
      <c r="I34" s="81" t="str">
        <f>IFERROR(IF(OR(AA34&lt;-AH34,AA34&gt;AH34),"AF ERROR",IF(Y34&gt;AG34,"AF REPEAT","")),"")</f>
        <v/>
      </c>
      <c r="J34" s="67"/>
      <c r="K34" s="67"/>
      <c r="L34" s="67"/>
      <c r="M34" s="67"/>
      <c r="N34" s="67"/>
      <c r="O34" s="11" t="str">
        <f>IFERROR(IF(B34="","",AB34-AC34),"")</f>
        <v/>
      </c>
      <c r="P34" s="14" t="str">
        <f>IFERROR(IF(B34="","",AVERAGE(J34:N34)),"")</f>
        <v/>
      </c>
      <c r="Q34" s="11" t="str">
        <f>IFERROR(IF(B34="","",P34-C34),"")</f>
        <v/>
      </c>
      <c r="R34" s="13" t="str">
        <f t="shared" ref="R34:R36" si="16">IFERROR(AE34&amp;"/"&amp;AF34,"")</f>
        <v/>
      </c>
      <c r="S34" s="69" t="str">
        <f>IFERROR(IF(O34&gt;AG34,"OOT REPEATABILITY",""),"")</f>
        <v/>
      </c>
      <c r="T34" s="69" t="str">
        <f>IFERROR(IF(OR(Q34&lt;-AH34,Q34&gt;AH34),"OOT ERROR",""),"")</f>
        <v/>
      </c>
      <c r="V34" t="str">
        <f>IFERROR(VLOOKUP(B34,UNCERTAINTY[],2,FALSE),"")</f>
        <v/>
      </c>
      <c r="W34" s="48" t="str">
        <f t="shared" si="4"/>
        <v/>
      </c>
      <c r="X34" s="28" t="str">
        <f t="shared" si="5"/>
        <v/>
      </c>
      <c r="Y34" s="48" t="str">
        <f t="shared" si="6"/>
        <v/>
      </c>
      <c r="Z34" s="48" t="str">
        <f t="shared" si="7"/>
        <v/>
      </c>
      <c r="AA34" s="22" t="e">
        <f>Z34-C34</f>
        <v>#VALUE!</v>
      </c>
      <c r="AB34" s="3" t="str">
        <f>IF(J34&gt;0,MAX(J34:N34),"")</f>
        <v/>
      </c>
      <c r="AC34" s="22" t="str">
        <f>IF(J34&gt;0,MIN(J34:N34),"")</f>
        <v/>
      </c>
      <c r="AE34" s="3" t="e">
        <f t="shared" ref="AE34" si="17">TEXT(AG34,"0.0")</f>
        <v>#N/A</v>
      </c>
      <c r="AF34" t="e">
        <f t="shared" ref="AF34" si="18">TEXT(AH34,"±0.0")</f>
        <v>#N/A</v>
      </c>
      <c r="AG34" t="e">
        <f>VLOOKUP(B34,Repeat[],2,FALSE)</f>
        <v>#N/A</v>
      </c>
      <c r="AH34" t="e">
        <f>VLOOKUP(B34,Error[],2,FALSE)</f>
        <v>#N/A</v>
      </c>
      <c r="AI34" t="e">
        <f>IF(A34="no test", ISBLANK(C34), C34&lt;VLOOKUP(B34,Thresholds[],5,0))</f>
        <v>#N/A</v>
      </c>
    </row>
    <row r="35" spans="1:35" ht="16.5" customHeight="1" x14ac:dyDescent="0.3">
      <c r="A35" s="4" t="str">
        <f>IFERROR(VLOOKUP(B35,Thresholds[],3,FALSE),"")</f>
        <v/>
      </c>
      <c r="B35" s="100" t="str">
        <f>IF(J$14="","",J$14)</f>
        <v/>
      </c>
      <c r="C35" s="61"/>
      <c r="D35" s="110"/>
      <c r="E35" s="110"/>
      <c r="F35" s="66"/>
      <c r="G35" s="66"/>
      <c r="H35" s="80" t="str">
        <f>IF(AND(C35-C34&lt;5,C35&gt;0),"Too Close","")</f>
        <v/>
      </c>
      <c r="I35" s="81" t="str">
        <f>IFERROR(IF(OR(AA35&lt;-AH35,AA35&gt;AH35),"AF ERROR",IF(Y35&gt;AG35,"AF REPEAT","")),"")</f>
        <v/>
      </c>
      <c r="J35" s="67"/>
      <c r="K35" s="67"/>
      <c r="L35" s="67"/>
      <c r="M35" s="67"/>
      <c r="N35" s="67"/>
      <c r="O35" s="11" t="str">
        <f>IFERROR(IF(B35="","",AB35-AC35),"")</f>
        <v/>
      </c>
      <c r="P35" s="14" t="str">
        <f>IFERROR(IF(B35="","",AVERAGE(J35:N35)),"")</f>
        <v/>
      </c>
      <c r="Q35" s="11" t="str">
        <f>IFERROR(IF(B35="","",P35-C35),"")</f>
        <v/>
      </c>
      <c r="R35" s="13" t="str">
        <f t="shared" si="16"/>
        <v/>
      </c>
      <c r="S35" s="69" t="str">
        <f>IFERROR(IF(O35&gt;AG35,"OOT REPEATABILITY",""),"")</f>
        <v/>
      </c>
      <c r="T35" s="69" t="str">
        <f>IFERROR(IF(OR(Q35&lt;-AH35,Q35&gt;AH35),"OOT ERROR",""),"")</f>
        <v/>
      </c>
      <c r="V35" t="str">
        <f>IFERROR(VLOOKUP(B35,UNCERTAINTY[],3,FALSE),"")</f>
        <v/>
      </c>
      <c r="W35" s="48" t="str">
        <f t="shared" si="4"/>
        <v/>
      </c>
      <c r="X35" s="28" t="str">
        <f t="shared" si="5"/>
        <v/>
      </c>
      <c r="Y35" s="48" t="str">
        <f t="shared" si="6"/>
        <v/>
      </c>
      <c r="Z35" s="48" t="str">
        <f t="shared" si="7"/>
        <v/>
      </c>
      <c r="AA35" s="22" t="e">
        <f>Z35-C35</f>
        <v>#VALUE!</v>
      </c>
      <c r="AB35" s="3" t="str">
        <f>IF(J35&gt;0,MAX(J35:N35),"")</f>
        <v/>
      </c>
      <c r="AC35" s="22" t="str">
        <f>IF(J35&gt;0,MIN(J35:N35),"")</f>
        <v/>
      </c>
      <c r="AE35" s="3" t="e">
        <f t="shared" si="8"/>
        <v>#N/A</v>
      </c>
      <c r="AF35" t="e">
        <f t="shared" si="9"/>
        <v>#N/A</v>
      </c>
      <c r="AG35" t="e">
        <f>VLOOKUP(B35,Repeat[],3,FALSE)</f>
        <v>#N/A</v>
      </c>
      <c r="AH35" t="e">
        <f>VLOOKUP(B35,Error[],3,FALSE)</f>
        <v>#N/A</v>
      </c>
      <c r="AI35" t="e">
        <f>IF(A35="no test", ISBLANK(C35), AND(C35&gt;=VLOOKUP(B35,Thresholds[],5,0),C35&lt;VLOOKUP(B35,Thresholds[],6,0)))</f>
        <v>#N/A</v>
      </c>
    </row>
    <row r="36" spans="1:35" ht="16.5" customHeight="1" x14ac:dyDescent="0.3">
      <c r="A36" s="4" t="str">
        <f>IFERROR(VLOOKUP(B36,Thresholds[],4,FALSE),"")</f>
        <v/>
      </c>
      <c r="B36" s="100" t="str">
        <f>IF(J$14="","",J$14)</f>
        <v/>
      </c>
      <c r="C36" s="61"/>
      <c r="D36" s="110"/>
      <c r="E36" s="110"/>
      <c r="F36" s="66"/>
      <c r="G36" s="66"/>
      <c r="H36" s="80" t="str">
        <f>IF(AND(C36-C35&lt;5,C36&gt;0),"Too Close","")</f>
        <v/>
      </c>
      <c r="I36" s="81" t="str">
        <f>IFERROR(IF(OR(AA36&lt;-AH36,AA36&gt;AH36),"AF ERROR",IF(Y36&gt;AG36,"AF REPEAT","")),"")</f>
        <v/>
      </c>
      <c r="J36" s="67"/>
      <c r="K36" s="67"/>
      <c r="L36" s="67"/>
      <c r="M36" s="67"/>
      <c r="N36" s="67"/>
      <c r="O36" s="11" t="str">
        <f>IFERROR(IF(B36="","",AB36-AC36),"")</f>
        <v/>
      </c>
      <c r="P36" s="14" t="str">
        <f>IFERROR(IF(B36="","",AVERAGE(J36:N36)),"")</f>
        <v/>
      </c>
      <c r="Q36" s="11" t="str">
        <f>IFERROR(IF(B36="","",P36-C36),"")</f>
        <v/>
      </c>
      <c r="R36" s="13" t="str">
        <f t="shared" si="16"/>
        <v/>
      </c>
      <c r="S36" s="69" t="str">
        <f>IFERROR(IF(O36&gt;AG36,"OOT REPEATABILITY",""),"")</f>
        <v/>
      </c>
      <c r="T36" s="69" t="str">
        <f>IFERROR(IF(OR(Q36&lt;-AH36,Q36&gt;AH36),"OOT ERROR",""),"")</f>
        <v/>
      </c>
      <c r="V36" t="str">
        <f>IFERROR(VLOOKUP(B36,UNCERTAINTY[],4,FALSE),"")</f>
        <v/>
      </c>
      <c r="W36" s="48" t="str">
        <f t="shared" si="4"/>
        <v/>
      </c>
      <c r="X36" s="28" t="str">
        <f t="shared" si="5"/>
        <v/>
      </c>
      <c r="Y36" s="48" t="str">
        <f t="shared" si="6"/>
        <v/>
      </c>
      <c r="Z36" s="48" t="str">
        <f t="shared" si="7"/>
        <v/>
      </c>
      <c r="AA36" s="22" t="e">
        <f>Z36-C36</f>
        <v>#VALUE!</v>
      </c>
      <c r="AB36" s="3" t="str">
        <f>IF(J36&gt;0,MAX(J36:N36),"")</f>
        <v/>
      </c>
      <c r="AC36" s="22" t="str">
        <f>IF(J36&gt;0,MIN(J36:N36),"")</f>
        <v/>
      </c>
      <c r="AE36" s="3" t="e">
        <f t="shared" si="8"/>
        <v>#N/A</v>
      </c>
      <c r="AF36" t="e">
        <f t="shared" si="9"/>
        <v>#N/A</v>
      </c>
      <c r="AG36" t="e">
        <f>VLOOKUP(B36,Repeat[],4,FALSE)</f>
        <v>#N/A</v>
      </c>
      <c r="AH36" t="e">
        <f>VLOOKUP(B36,Error[],4,FALSE)</f>
        <v>#N/A</v>
      </c>
      <c r="AI36" t="e">
        <f>IF(A36="no test", ISBLANK(C36), C36&gt;=VLOOKUP(B36,Thresholds[],6,0))</f>
        <v>#N/A</v>
      </c>
    </row>
    <row r="37" spans="1:35" ht="7.5" customHeight="1" x14ac:dyDescent="0.25">
      <c r="A37" s="4"/>
      <c r="B37" s="102"/>
      <c r="C37" s="90"/>
      <c r="D37" s="112"/>
      <c r="E37" s="112"/>
      <c r="F37" s="3"/>
      <c r="G37" s="3"/>
      <c r="H37" s="64"/>
      <c r="I37" s="81"/>
      <c r="J37" s="11"/>
      <c r="K37" s="11"/>
      <c r="L37" s="9"/>
      <c r="M37" s="9"/>
      <c r="N37" s="11"/>
      <c r="O37" s="12"/>
      <c r="P37" s="12"/>
      <c r="Q37" s="12"/>
      <c r="R37" s="12"/>
      <c r="S37" s="3"/>
      <c r="T37" s="3"/>
      <c r="W37" s="48" t="str">
        <f t="shared" si="4"/>
        <v/>
      </c>
      <c r="X37" s="28" t="str">
        <f t="shared" si="5"/>
        <v/>
      </c>
      <c r="Y37" s="48" t="str">
        <f t="shared" si="6"/>
        <v/>
      </c>
      <c r="Z37" s="48" t="str">
        <f t="shared" si="7"/>
        <v/>
      </c>
      <c r="AA37" s="22"/>
      <c r="AB37" s="3"/>
      <c r="AC37" s="22"/>
    </row>
    <row r="38" spans="1:35" ht="16.5" customHeight="1" x14ac:dyDescent="0.3">
      <c r="A38" s="4" t="str">
        <f>IFERROR(VLOOKUP(B38,Thresholds[],2,FALSE),"")</f>
        <v/>
      </c>
      <c r="B38" s="100" t="str">
        <f>IF(K$14="","",K$14)</f>
        <v/>
      </c>
      <c r="C38" s="61"/>
      <c r="D38" s="110"/>
      <c r="E38" s="110"/>
      <c r="F38" s="66"/>
      <c r="G38" s="66"/>
      <c r="H38" s="80"/>
      <c r="I38" s="81" t="str">
        <f>IFERROR(IF(OR(AA38&lt;-AH38,AA38&gt;AH38),"AF ERROR",IF(Y38&gt;AG38,"AF REPEAT","")),"")</f>
        <v/>
      </c>
      <c r="J38" s="67"/>
      <c r="K38" s="67"/>
      <c r="L38" s="67"/>
      <c r="M38" s="67"/>
      <c r="N38" s="67"/>
      <c r="O38" s="11" t="str">
        <f>IFERROR(IF(B38="","",AB38-AC38),"")</f>
        <v/>
      </c>
      <c r="P38" s="14" t="str">
        <f>IFERROR(IF(B38="","",AVERAGE(J38:N38)),"")</f>
        <v/>
      </c>
      <c r="Q38" s="11" t="str">
        <f>IFERROR(IF(B38="","",P38-C38),"")</f>
        <v/>
      </c>
      <c r="R38" s="13" t="str">
        <f t="shared" ref="R38:R40" si="19">IFERROR(AE38&amp;"/"&amp;AF38,"")</f>
        <v/>
      </c>
      <c r="S38" s="69" t="str">
        <f>IFERROR(IF(O38&gt;AG38,"OOT REPEATABILITY",""),"")</f>
        <v/>
      </c>
      <c r="T38" s="69" t="str">
        <f>IFERROR(IF(OR(Q38&lt;-AH38,Q38&gt;AH38),"OOT ERROR",""),"")</f>
        <v/>
      </c>
      <c r="V38" t="str">
        <f>IFERROR(VLOOKUP(B38,UNCERTAINTY[],2,FALSE),"")</f>
        <v/>
      </c>
      <c r="W38" s="48" t="str">
        <f t="shared" si="4"/>
        <v/>
      </c>
      <c r="X38" s="28" t="str">
        <f t="shared" si="5"/>
        <v/>
      </c>
      <c r="Y38" s="48" t="str">
        <f t="shared" si="6"/>
        <v/>
      </c>
      <c r="Z38" s="48" t="str">
        <f t="shared" si="7"/>
        <v/>
      </c>
      <c r="AA38" s="22" t="e">
        <f>Z38-C38</f>
        <v>#VALUE!</v>
      </c>
      <c r="AB38" s="3" t="str">
        <f>IF(J38&gt;0,MAX(J38:N38),"")</f>
        <v/>
      </c>
      <c r="AC38" s="22" t="str">
        <f>IF(J38&gt;0,MIN(J38:N38),"")</f>
        <v/>
      </c>
      <c r="AE38" s="3" t="e">
        <f t="shared" ref="AE38" si="20">TEXT(AG38,"0.0")</f>
        <v>#N/A</v>
      </c>
      <c r="AF38" t="e">
        <f t="shared" ref="AF38" si="21">TEXT(AH38,"±0.0")</f>
        <v>#N/A</v>
      </c>
      <c r="AG38" t="e">
        <f>VLOOKUP(B38,Repeat[],2,FALSE)</f>
        <v>#N/A</v>
      </c>
      <c r="AH38" t="e">
        <f>VLOOKUP(B38,Error[],2,FALSE)</f>
        <v>#N/A</v>
      </c>
      <c r="AI38" t="e">
        <f>IF(A38="no test", ISBLANK(C38), C38&lt;VLOOKUP(B38,Thresholds[],5,0))</f>
        <v>#N/A</v>
      </c>
    </row>
    <row r="39" spans="1:35" ht="16.5" customHeight="1" x14ac:dyDescent="0.3">
      <c r="A39" s="4" t="str">
        <f>IFERROR(VLOOKUP(B39,Thresholds[],3,FALSE),"")</f>
        <v/>
      </c>
      <c r="B39" s="100" t="str">
        <f>IF(K$14="","",K$14)</f>
        <v/>
      </c>
      <c r="C39" s="61"/>
      <c r="D39" s="110"/>
      <c r="E39" s="110"/>
      <c r="F39" s="66"/>
      <c r="G39" s="66"/>
      <c r="H39" s="80" t="str">
        <f>IF(AND(C39-C38&lt;5,C39&gt;0),"Too Close","")</f>
        <v/>
      </c>
      <c r="I39" s="81" t="str">
        <f>IFERROR(IF(OR(AA39&lt;-AH39,AA39&gt;AH39),"AF ERROR",IF(Y39&gt;AG39,"AF REPEAT","")),"")</f>
        <v/>
      </c>
      <c r="J39" s="67"/>
      <c r="K39" s="67"/>
      <c r="L39" s="67"/>
      <c r="M39" s="67"/>
      <c r="N39" s="67"/>
      <c r="O39" s="11" t="str">
        <f>IFERROR(IF(B39="","",AB39-AC39),"")</f>
        <v/>
      </c>
      <c r="P39" s="14" t="str">
        <f>IFERROR(IF(B39="","",AVERAGE(J39:N39)),"")</f>
        <v/>
      </c>
      <c r="Q39" s="11" t="str">
        <f>IFERROR(IF(B39="","",P39-C39),"")</f>
        <v/>
      </c>
      <c r="R39" s="13" t="str">
        <f t="shared" si="19"/>
        <v/>
      </c>
      <c r="S39" s="69" t="str">
        <f>IFERROR(IF(O39&gt;AG39,"OOT REPEATABILITY",""),"")</f>
        <v/>
      </c>
      <c r="T39" s="69" t="str">
        <f>IFERROR(IF(OR(Q39&lt;-AH39,Q39&gt;AH39),"OOT ERROR",""),"")</f>
        <v/>
      </c>
      <c r="V39" t="str">
        <f>IFERROR(VLOOKUP(B39,UNCERTAINTY[],3,FALSE),"")</f>
        <v/>
      </c>
      <c r="W39" s="48" t="str">
        <f t="shared" si="4"/>
        <v/>
      </c>
      <c r="X39" s="28" t="str">
        <f t="shared" si="5"/>
        <v/>
      </c>
      <c r="Y39" s="48" t="str">
        <f t="shared" si="6"/>
        <v/>
      </c>
      <c r="Z39" s="48" t="str">
        <f t="shared" si="7"/>
        <v/>
      </c>
      <c r="AA39" s="22" t="e">
        <f>Z39-C39</f>
        <v>#VALUE!</v>
      </c>
      <c r="AB39" s="3" t="str">
        <f>IF(J39&gt;0,MAX(J39:N39),"")</f>
        <v/>
      </c>
      <c r="AC39" s="22" t="str">
        <f>IF(J39&gt;0,MIN(J39:N39),"")</f>
        <v/>
      </c>
      <c r="AE39" s="3" t="e">
        <f t="shared" si="8"/>
        <v>#N/A</v>
      </c>
      <c r="AF39" t="e">
        <f t="shared" si="9"/>
        <v>#N/A</v>
      </c>
      <c r="AG39" t="e">
        <f>VLOOKUP(B39,Repeat[],3,FALSE)</f>
        <v>#N/A</v>
      </c>
      <c r="AH39" t="e">
        <f>VLOOKUP(B39,Error[],3,FALSE)</f>
        <v>#N/A</v>
      </c>
      <c r="AI39" t="e">
        <f>IF(A39="no test", ISBLANK(C39), AND(C39&gt;=VLOOKUP(B39,Thresholds[],5,0),C39&lt;VLOOKUP(B39,Thresholds[],6,0)))</f>
        <v>#N/A</v>
      </c>
    </row>
    <row r="40" spans="1:35" ht="16.5" customHeight="1" x14ac:dyDescent="0.3">
      <c r="A40" s="4" t="str">
        <f>IFERROR(VLOOKUP(B40,Thresholds[],4,FALSE),"")</f>
        <v/>
      </c>
      <c r="B40" s="100" t="str">
        <f>IF(K$14="","",K$14)</f>
        <v/>
      </c>
      <c r="C40" s="61"/>
      <c r="D40" s="110"/>
      <c r="E40" s="110"/>
      <c r="F40" s="66"/>
      <c r="G40" s="66"/>
      <c r="H40" s="80" t="str">
        <f>IF(AND(C40-C39&lt;5,C40&gt;0),"Too Close","")</f>
        <v/>
      </c>
      <c r="I40" s="81" t="str">
        <f>IFERROR(IF(OR(AA40&lt;-AH40,AA40&gt;AH40),"AF ERROR",IF(Y40&gt;AG40,"AF REPEAT","")),"")</f>
        <v/>
      </c>
      <c r="J40" s="67"/>
      <c r="K40" s="67"/>
      <c r="L40" s="67"/>
      <c r="M40" s="67"/>
      <c r="N40" s="67"/>
      <c r="O40" s="11" t="str">
        <f>IFERROR(IF(B40="","",AB40-AC40),"")</f>
        <v/>
      </c>
      <c r="P40" s="14" t="str">
        <f>IFERROR(IF(B40="","",AVERAGE(J40:N40)),"")</f>
        <v/>
      </c>
      <c r="Q40" s="11" t="str">
        <f>IFERROR(IF(B40="","",P40-C40),"")</f>
        <v/>
      </c>
      <c r="R40" s="13" t="str">
        <f t="shared" si="19"/>
        <v/>
      </c>
      <c r="S40" s="69" t="str">
        <f>IFERROR(IF(O40&gt;AG40,"OOT REPEATABILITY",""),"")</f>
        <v/>
      </c>
      <c r="T40" s="69" t="str">
        <f>IFERROR(IF(OR(Q40&lt;-AH40,Q40&gt;AH40),"OOT ERROR",""),"")</f>
        <v/>
      </c>
      <c r="V40" t="str">
        <f>IFERROR(VLOOKUP(B40,UNCERTAINTY[],4,FALSE),"")</f>
        <v/>
      </c>
      <c r="W40" s="48" t="str">
        <f t="shared" si="4"/>
        <v/>
      </c>
      <c r="X40" s="28" t="str">
        <f t="shared" si="5"/>
        <v/>
      </c>
      <c r="Y40" s="48" t="str">
        <f t="shared" si="6"/>
        <v/>
      </c>
      <c r="Z40" s="48" t="str">
        <f t="shared" si="7"/>
        <v/>
      </c>
      <c r="AA40" s="22" t="e">
        <f>Z40-C40</f>
        <v>#VALUE!</v>
      </c>
      <c r="AB40" s="3" t="str">
        <f>IF(J40&gt;0,MAX(J40:N40),"")</f>
        <v/>
      </c>
      <c r="AC40" s="22" t="str">
        <f>IF(J40&gt;0,MIN(J40:N40),"")</f>
        <v/>
      </c>
      <c r="AE40" s="3" t="e">
        <f t="shared" si="8"/>
        <v>#N/A</v>
      </c>
      <c r="AF40" t="e">
        <f t="shared" si="9"/>
        <v>#N/A</v>
      </c>
      <c r="AG40" t="e">
        <f>VLOOKUP(B40,Repeat[],4,FALSE)</f>
        <v>#N/A</v>
      </c>
      <c r="AH40" t="e">
        <f>VLOOKUP(B40,Error[],4,FALSE)</f>
        <v>#N/A</v>
      </c>
      <c r="AI40" t="e">
        <f>IF(A40="no test", ISBLANK(C40), C40&gt;=VLOOKUP(B40,Thresholds[],6,0))</f>
        <v>#N/A</v>
      </c>
    </row>
    <row r="41" spans="1:35" ht="7.5" customHeight="1" x14ac:dyDescent="0.25">
      <c r="A41" s="4"/>
      <c r="B41" s="102"/>
      <c r="C41" s="90"/>
      <c r="D41" s="112"/>
      <c r="E41" s="112"/>
      <c r="F41" s="3"/>
      <c r="G41" s="3"/>
      <c r="H41" s="64"/>
      <c r="I41" s="81"/>
      <c r="J41" s="11"/>
      <c r="K41" s="11"/>
      <c r="L41" s="9"/>
      <c r="M41" s="9"/>
      <c r="N41" s="11"/>
      <c r="O41" s="12"/>
      <c r="P41" s="12"/>
      <c r="Q41" s="12"/>
      <c r="R41" s="12"/>
      <c r="S41" s="3"/>
      <c r="T41" s="3"/>
      <c r="W41" s="48" t="str">
        <f t="shared" si="4"/>
        <v/>
      </c>
      <c r="X41" s="28" t="str">
        <f t="shared" si="5"/>
        <v/>
      </c>
      <c r="Y41" s="48" t="str">
        <f t="shared" si="6"/>
        <v/>
      </c>
      <c r="Z41" s="48" t="str">
        <f t="shared" si="7"/>
        <v/>
      </c>
      <c r="AA41" s="22"/>
      <c r="AB41" s="3"/>
      <c r="AC41" s="22"/>
    </row>
    <row r="42" spans="1:35" ht="16.5" customHeight="1" x14ac:dyDescent="0.3">
      <c r="A42" s="4" t="str">
        <f>IFERROR(VLOOKUP(B42,Thresholds[],2,FALSE),"")</f>
        <v/>
      </c>
      <c r="B42" s="100" t="str">
        <f>IF(L$14="","",L$14)</f>
        <v/>
      </c>
      <c r="C42" s="61"/>
      <c r="D42" s="110"/>
      <c r="E42" s="110"/>
      <c r="F42" s="66"/>
      <c r="G42" s="66"/>
      <c r="H42" s="80"/>
      <c r="I42" s="81" t="str">
        <f>IFERROR(IF(OR(AA42&lt;-AH42,AA42&gt;AH42),"AF ERROR",IF(Y42&gt;AG42,"AF REPEAT","")),"")</f>
        <v/>
      </c>
      <c r="J42" s="67"/>
      <c r="K42" s="67"/>
      <c r="L42" s="67"/>
      <c r="M42" s="67"/>
      <c r="N42" s="67"/>
      <c r="O42" s="11" t="str">
        <f>IFERROR(IF(B42="","",AB42-AC42),"")</f>
        <v/>
      </c>
      <c r="P42" s="14" t="str">
        <f>IFERROR(IF(B42="","",AVERAGE(J42:N42)),"")</f>
        <v/>
      </c>
      <c r="Q42" s="11" t="str">
        <f>IFERROR(IF(B42="","",P42-C42),"")</f>
        <v/>
      </c>
      <c r="R42" s="13" t="str">
        <f t="shared" ref="R42:R44" si="22">IFERROR(AE42&amp;"/"&amp;AF42,"")</f>
        <v/>
      </c>
      <c r="S42" s="69" t="str">
        <f>IFERROR(IF(O42&gt;AG42,"OOT REPEATABILITY",""),"")</f>
        <v/>
      </c>
      <c r="T42" s="69" t="str">
        <f>IFERROR(IF(OR(Q42&lt;-AH42,Q42&gt;AH42),"OOT ERROR",""),"")</f>
        <v/>
      </c>
      <c r="V42" t="str">
        <f>IFERROR(VLOOKUP(B42,UNCERTAINTY[],2,FALSE),"")</f>
        <v/>
      </c>
      <c r="W42" s="48" t="str">
        <f t="shared" si="4"/>
        <v/>
      </c>
      <c r="X42" s="28" t="str">
        <f t="shared" si="5"/>
        <v/>
      </c>
      <c r="Y42" s="48" t="str">
        <f t="shared" si="6"/>
        <v/>
      </c>
      <c r="Z42" s="48" t="str">
        <f t="shared" si="7"/>
        <v/>
      </c>
      <c r="AA42" s="22" t="e">
        <f>Z42-C42</f>
        <v>#VALUE!</v>
      </c>
      <c r="AB42" s="3" t="str">
        <f>IF(J42&gt;0,MAX(J42:N42),"")</f>
        <v/>
      </c>
      <c r="AC42" s="22" t="str">
        <f>IF(J42&gt;0,MIN(J42:N42),"")</f>
        <v/>
      </c>
      <c r="AE42" s="3" t="e">
        <f t="shared" ref="AE42" si="23">TEXT(AG42,"0.0")</f>
        <v>#N/A</v>
      </c>
      <c r="AF42" t="e">
        <f t="shared" ref="AF42" si="24">TEXT(AH42,"±0.0")</f>
        <v>#N/A</v>
      </c>
      <c r="AG42" t="e">
        <f>VLOOKUP(B42,Repeat[],2,FALSE)</f>
        <v>#N/A</v>
      </c>
      <c r="AH42" t="e">
        <f>VLOOKUP(B42,Error[],2,FALSE)</f>
        <v>#N/A</v>
      </c>
      <c r="AI42" t="e">
        <f>IF(A42="no test", ISBLANK(C42), C42&lt;VLOOKUP(B42,Thresholds[],5,0))</f>
        <v>#N/A</v>
      </c>
    </row>
    <row r="43" spans="1:35" ht="16.5" customHeight="1" x14ac:dyDescent="0.3">
      <c r="A43" s="4" t="str">
        <f>IFERROR(VLOOKUP(B43,Thresholds[],3,FALSE),"")</f>
        <v/>
      </c>
      <c r="B43" s="100" t="str">
        <f>IF(L$14="","",L$14)</f>
        <v/>
      </c>
      <c r="C43" s="61"/>
      <c r="D43" s="110"/>
      <c r="E43" s="110"/>
      <c r="F43" s="66"/>
      <c r="G43" s="66"/>
      <c r="H43" s="80" t="str">
        <f>IF(AND(C43-C42&lt;5,C43&gt;0),"Too Close","")</f>
        <v/>
      </c>
      <c r="I43" s="81" t="str">
        <f>IFERROR(IF(OR(AA43&lt;-AH43,AA43&gt;AH43),"AF ERROR",IF(Y43&gt;AG43,"AF REPEAT","")),"")</f>
        <v/>
      </c>
      <c r="J43" s="67"/>
      <c r="K43" s="67"/>
      <c r="L43" s="67"/>
      <c r="M43" s="67"/>
      <c r="N43" s="67"/>
      <c r="O43" s="11" t="str">
        <f>IFERROR(IF(B43="","",AB43-AC43),"")</f>
        <v/>
      </c>
      <c r="P43" s="14" t="str">
        <f>IFERROR(IF(B43="","",AVERAGE(J43:N43)),"")</f>
        <v/>
      </c>
      <c r="Q43" s="11" t="str">
        <f>IFERROR(IF(B43="","",P43-C43),"")</f>
        <v/>
      </c>
      <c r="R43" s="13" t="str">
        <f t="shared" si="22"/>
        <v/>
      </c>
      <c r="S43" s="69" t="str">
        <f>IFERROR(IF(O43&gt;AG43,"OOT REPEATABILITY",""),"")</f>
        <v/>
      </c>
      <c r="T43" s="69" t="str">
        <f>IFERROR(IF(OR(Q43&lt;-AH43,Q43&gt;AH43),"OOT ERROR",""),"")</f>
        <v/>
      </c>
      <c r="V43" t="str">
        <f>IFERROR(VLOOKUP(B43,UNCERTAINTY[],3,FALSE),"")</f>
        <v/>
      </c>
      <c r="W43" s="48" t="str">
        <f t="shared" si="4"/>
        <v/>
      </c>
      <c r="X43" s="28" t="str">
        <f t="shared" si="5"/>
        <v/>
      </c>
      <c r="Y43" s="48" t="str">
        <f t="shared" si="6"/>
        <v/>
      </c>
      <c r="Z43" s="48" t="str">
        <f t="shared" si="7"/>
        <v/>
      </c>
      <c r="AA43" s="22" t="e">
        <f>Z43-C43</f>
        <v>#VALUE!</v>
      </c>
      <c r="AB43" s="3" t="str">
        <f>IF(J43&gt;0,MAX(J43:N43),"")</f>
        <v/>
      </c>
      <c r="AC43" s="22" t="str">
        <f>IF(J43&gt;0,MIN(J43:N43),"")</f>
        <v/>
      </c>
      <c r="AE43" s="3" t="e">
        <f t="shared" si="8"/>
        <v>#N/A</v>
      </c>
      <c r="AF43" t="e">
        <f t="shared" si="9"/>
        <v>#N/A</v>
      </c>
      <c r="AG43" t="e">
        <f>VLOOKUP(B43,Repeat[],3,FALSE)</f>
        <v>#N/A</v>
      </c>
      <c r="AH43" t="e">
        <f>VLOOKUP(B43,Error[],3,FALSE)</f>
        <v>#N/A</v>
      </c>
      <c r="AI43" t="e">
        <f>IF(A43="no test", ISBLANK(C43), AND(C43&gt;=VLOOKUP(B43,Thresholds[],5,0),C43&lt;VLOOKUP(B43,Thresholds[],6,0)))</f>
        <v>#N/A</v>
      </c>
    </row>
    <row r="44" spans="1:35" ht="16.5" customHeight="1" x14ac:dyDescent="0.3">
      <c r="A44" s="4" t="str">
        <f>IFERROR(VLOOKUP(B44,Thresholds[],4,FALSE),"")</f>
        <v/>
      </c>
      <c r="B44" s="100" t="str">
        <f>IF(L$14="","",L$14)</f>
        <v/>
      </c>
      <c r="C44" s="61"/>
      <c r="D44" s="110"/>
      <c r="E44" s="110"/>
      <c r="F44" s="66"/>
      <c r="G44" s="66"/>
      <c r="H44" s="80" t="str">
        <f>IF(AND(C44-C43&lt;5,C44&gt;0),"Too Close","")</f>
        <v/>
      </c>
      <c r="I44" s="81" t="str">
        <f>IFERROR(IF(OR(AA44&lt;-AH44,AA44&gt;AH44),"AF ERROR",IF(Y44&gt;AG44,"AF REPEAT","")),"")</f>
        <v/>
      </c>
      <c r="J44" s="67"/>
      <c r="K44" s="67"/>
      <c r="L44" s="67"/>
      <c r="M44" s="67"/>
      <c r="N44" s="67"/>
      <c r="O44" s="11" t="str">
        <f>IFERROR(IF(B44="","",AB44-AC44),"")</f>
        <v/>
      </c>
      <c r="P44" s="14" t="str">
        <f>IFERROR(IF(B44="","",AVERAGE(J44:N44)),"")</f>
        <v/>
      </c>
      <c r="Q44" s="11" t="str">
        <f>IFERROR(IF(B44="","",P44-C44),"")</f>
        <v/>
      </c>
      <c r="R44" s="13" t="str">
        <f t="shared" si="22"/>
        <v/>
      </c>
      <c r="S44" s="69" t="str">
        <f>IFERROR(IF(O44&gt;AG44,"OOT REPEATABILITY",""),"")</f>
        <v/>
      </c>
      <c r="T44" s="69" t="str">
        <f>IFERROR(IF(OR(Q44&lt;-AH44,Q44&gt;AH44),"OOT ERROR",""),"")</f>
        <v/>
      </c>
      <c r="V44" t="str">
        <f>IFERROR(VLOOKUP(B44,UNCERTAINTY[],4,FALSE),"")</f>
        <v/>
      </c>
      <c r="W44" s="48" t="str">
        <f t="shared" si="4"/>
        <v/>
      </c>
      <c r="X44" s="28" t="str">
        <f t="shared" si="5"/>
        <v/>
      </c>
      <c r="Y44" s="48" t="str">
        <f t="shared" si="6"/>
        <v/>
      </c>
      <c r="Z44" s="48" t="str">
        <f t="shared" si="7"/>
        <v/>
      </c>
      <c r="AA44" s="22" t="e">
        <f>Z44-C44</f>
        <v>#VALUE!</v>
      </c>
      <c r="AB44" s="3" t="str">
        <f>IF(J44&gt;0,MAX(J44:N44),"")</f>
        <v/>
      </c>
      <c r="AC44" s="22" t="str">
        <f>IF(J44&gt;0,MIN(J44:N44),"")</f>
        <v/>
      </c>
      <c r="AE44" s="3" t="e">
        <f t="shared" si="8"/>
        <v>#N/A</v>
      </c>
      <c r="AF44" t="e">
        <f t="shared" si="9"/>
        <v>#N/A</v>
      </c>
      <c r="AG44" t="e">
        <f>VLOOKUP(B44,Repeat[],4,FALSE)</f>
        <v>#N/A</v>
      </c>
      <c r="AH44" t="e">
        <f>VLOOKUP(B44,Error[],4,FALSE)</f>
        <v>#N/A</v>
      </c>
      <c r="AI44" t="e">
        <f>IF(A44="no test", ISBLANK(C44), C44&gt;=VLOOKUP(B44,Thresholds[],6,0))</f>
        <v>#N/A</v>
      </c>
    </row>
    <row r="45" spans="1:35" ht="7.5" customHeight="1" x14ac:dyDescent="0.25">
      <c r="A45" s="4"/>
      <c r="B45" s="89"/>
      <c r="C45" s="90"/>
      <c r="D45" s="50"/>
      <c r="E45" s="50"/>
      <c r="F45" s="51"/>
      <c r="G45" s="51"/>
      <c r="J45" s="11"/>
      <c r="K45" s="11"/>
      <c r="L45" s="11"/>
      <c r="M45" s="11"/>
      <c r="N45" s="11"/>
      <c r="O45" s="11"/>
      <c r="P45" s="14"/>
      <c r="Q45" s="11"/>
      <c r="R45" s="13"/>
      <c r="S45" s="23"/>
      <c r="T45" s="3"/>
      <c r="U45" s="28"/>
      <c r="V45" s="27"/>
      <c r="W45" s="48"/>
      <c r="X45" s="49"/>
      <c r="Y45" s="48"/>
      <c r="Z45" s="48"/>
      <c r="AA45" s="22"/>
      <c r="AB45" s="3"/>
      <c r="AC45" s="22"/>
      <c r="AI45" s="89"/>
    </row>
    <row r="46" spans="1:35" ht="16.5" customHeight="1" x14ac:dyDescent="0.25">
      <c r="A46" t="s">
        <v>83</v>
      </c>
      <c r="B46" s="125"/>
      <c r="C46" s="126"/>
      <c r="D46" s="126"/>
      <c r="E46" s="126"/>
      <c r="F46" s="126"/>
      <c r="G46" s="126"/>
      <c r="H46" s="126"/>
      <c r="I46" s="126"/>
      <c r="J46" s="126"/>
      <c r="K46" s="126"/>
      <c r="L46" s="127"/>
      <c r="M46" s="9"/>
      <c r="N46" t="s">
        <v>84</v>
      </c>
      <c r="O46" s="129" t="str">
        <f>IFERROR(VLOOKUP(B46,DropDowns!H13:I15,2,FALSE),"")</f>
        <v/>
      </c>
      <c r="P46" s="129"/>
      <c r="Q46" s="12"/>
      <c r="R46" s="12"/>
      <c r="U46" s="27"/>
      <c r="V46" s="27"/>
      <c r="W46" s="27"/>
      <c r="X46" s="27"/>
      <c r="Y46" s="27"/>
      <c r="Z46" s="27"/>
    </row>
    <row r="47" spans="1:35" x14ac:dyDescent="0.25">
      <c r="A47" s="4" t="s">
        <v>85</v>
      </c>
      <c r="B47" s="118"/>
      <c r="C47" s="119"/>
      <c r="D47" s="119"/>
      <c r="E47" s="119"/>
      <c r="F47" s="119"/>
      <c r="G47" s="119"/>
      <c r="H47" s="119"/>
      <c r="I47" s="119"/>
      <c r="J47" s="119"/>
      <c r="K47" s="119"/>
      <c r="L47" s="120"/>
      <c r="N47" t="s">
        <v>86</v>
      </c>
      <c r="O47" s="129" t="str">
        <f>IFERROR(VLOOKUP(B47,DropDowns!H3:I8,2,FALSE),"")</f>
        <v/>
      </c>
      <c r="P47" s="129"/>
    </row>
    <row r="48" spans="1:35" x14ac:dyDescent="0.25">
      <c r="B48" s="79"/>
      <c r="G48" s="4"/>
    </row>
    <row r="52" spans="15:18" ht="14.25" customHeight="1" x14ac:dyDescent="0.25"/>
    <row r="53" spans="15:18" ht="14.25" customHeight="1" x14ac:dyDescent="0.25"/>
    <row r="54" spans="15:18" ht="14.25" customHeight="1" x14ac:dyDescent="0.25"/>
    <row r="55" spans="15:18" ht="14.25" customHeight="1" x14ac:dyDescent="0.25"/>
    <row r="56" spans="15:18" ht="14.25" customHeight="1" x14ac:dyDescent="0.25"/>
    <row r="57" spans="15:18" ht="14.25" customHeight="1" x14ac:dyDescent="0.25"/>
    <row r="58" spans="15:18" ht="14.25" customHeight="1" x14ac:dyDescent="0.25"/>
    <row r="59" spans="15:18" ht="14.25" customHeight="1" x14ac:dyDescent="0.25"/>
    <row r="60" spans="15:18" ht="14.25" customHeight="1" x14ac:dyDescent="0.25"/>
    <row r="61" spans="15:18" ht="14.25" customHeight="1" x14ac:dyDescent="0.25"/>
    <row r="62" spans="15:18" ht="14.25" customHeight="1" x14ac:dyDescent="0.25">
      <c r="O62" s="2"/>
      <c r="P62" s="2"/>
      <c r="Q62" s="2"/>
      <c r="R62" s="2"/>
    </row>
    <row r="63" spans="15:18" ht="14.25" customHeight="1" x14ac:dyDescent="0.25">
      <c r="O63" s="2"/>
      <c r="P63" s="2"/>
      <c r="Q63" s="2"/>
      <c r="R63" s="2"/>
    </row>
  </sheetData>
  <sheetProtection algorithmName="SHA-512" hashValue="qtQsupzw9a7FgRMg+IPkEwW1WprE+GfNHGLjlMY87W4nl5LTMbyEymMKTH4pi2uVlnell8dHtwxE13qHehb82Q==" saltValue="RerebdCFOCx31vQPhXLGdQ==" spinCount="100000" sheet="1" objects="1" scenarios="1" selectLockedCells="1"/>
  <protectedRanges>
    <protectedRange sqref="G4:G6" name="address"/>
  </protectedRanges>
  <mergeCells count="53">
    <mergeCell ref="D8:E8"/>
    <mergeCell ref="D9:E9"/>
    <mergeCell ref="O46:P46"/>
    <mergeCell ref="O47:P47"/>
    <mergeCell ref="D3:E3"/>
    <mergeCell ref="D4:E4"/>
    <mergeCell ref="D5:E5"/>
    <mergeCell ref="D6:E6"/>
    <mergeCell ref="D7:E7"/>
    <mergeCell ref="G3:H3"/>
    <mergeCell ref="G4:H4"/>
    <mergeCell ref="G5:H5"/>
    <mergeCell ref="G6:H6"/>
    <mergeCell ref="G7:H7"/>
    <mergeCell ref="D43:E43"/>
    <mergeCell ref="D30:E30"/>
    <mergeCell ref="P1:S1"/>
    <mergeCell ref="B47:L47"/>
    <mergeCell ref="D28:E28"/>
    <mergeCell ref="D29:E29"/>
    <mergeCell ref="D36:E36"/>
    <mergeCell ref="D41:E41"/>
    <mergeCell ref="D40:E40"/>
    <mergeCell ref="D39:E39"/>
    <mergeCell ref="D38:E38"/>
    <mergeCell ref="B1:O1"/>
    <mergeCell ref="B2:O2"/>
    <mergeCell ref="N3:O3"/>
    <mergeCell ref="N4:O4"/>
    <mergeCell ref="B10:O10"/>
    <mergeCell ref="B46:L46"/>
    <mergeCell ref="D44:E44"/>
    <mergeCell ref="D31:E31"/>
    <mergeCell ref="D32:E32"/>
    <mergeCell ref="D33:E33"/>
    <mergeCell ref="D34:E34"/>
    <mergeCell ref="D35:E35"/>
    <mergeCell ref="D42:E42"/>
    <mergeCell ref="S17:T17"/>
    <mergeCell ref="D37:E37"/>
    <mergeCell ref="D25:E25"/>
    <mergeCell ref="B13:O13"/>
    <mergeCell ref="D27:E27"/>
    <mergeCell ref="B16:C16"/>
    <mergeCell ref="D16:E16"/>
    <mergeCell ref="D18:E18"/>
    <mergeCell ref="D19:E19"/>
    <mergeCell ref="D20:E20"/>
    <mergeCell ref="D21:E21"/>
    <mergeCell ref="D22:E22"/>
    <mergeCell ref="D23:E23"/>
    <mergeCell ref="D24:E24"/>
    <mergeCell ref="D26:E26"/>
  </mergeCells>
  <conditionalFormatting sqref="C18:G44 J18:N44">
    <cfRule type="expression" dxfId="21" priority="1">
      <formula>$A18 = "no test"</formula>
    </cfRule>
  </conditionalFormatting>
  <dataValidations count="15">
    <dataValidation type="list" allowBlank="1" showInputMessage="1" showErrorMessage="1" sqref="V11:V13 J9 D11 V8 V15 V3:V6" xr:uid="{00000000-0002-0000-0000-000000000000}">
      <formula1>yesno</formula1>
    </dataValidation>
    <dataValidation type="list" allowBlank="1" showInputMessage="1" showErrorMessage="1" sqref="L3" xr:uid="{00000000-0002-0000-0000-000001000000}">
      <formula1>Condition</formula1>
    </dataValidation>
    <dataValidation type="list" errorStyle="warning" showInputMessage="1" showErrorMessage="1" sqref="O47" xr:uid="{00000000-0002-0000-0000-000002000000}">
      <formula1>IF(O46="Rejected", "", ResultsAL)</formula1>
    </dataValidation>
    <dataValidation type="list" showInputMessage="1" showErrorMessage="1" sqref="B46" xr:uid="{00000000-0002-0000-0000-000005000000}">
      <formula1>CommentsAF</formula1>
    </dataValidation>
    <dataValidation type="list" showInputMessage="1" showErrorMessage="1" sqref="O46" xr:uid="{00000000-0002-0000-0000-000006000000}">
      <formula1>ResultsAF</formula1>
    </dataValidation>
    <dataValidation type="date" operator="greaterThan" showInputMessage="1" showErrorMessage="1" sqref="N6" xr:uid="{C13D5D0F-8F51-423D-A468-73A663B73DDB}">
      <formula1>32874</formula1>
    </dataValidation>
    <dataValidation type="date" operator="greaterThan" showInputMessage="1" showErrorMessage="1" sqref="N7" xr:uid="{54FD7E65-1884-4683-993B-CD480F0EEB19}">
      <formula1>N6</formula1>
    </dataValidation>
    <dataValidation type="textLength" operator="greaterThan" showInputMessage="1" showErrorMessage="1" sqref="N8:N9 N5" xr:uid="{550C38C5-FA67-4057-A0BD-A0C3D0917911}">
      <formula1>1</formula1>
    </dataValidation>
    <dataValidation type="custom" operator="greaterThan" showErrorMessage="1" errorTitle="Invalid Format" error="Enter a 6-digit number with optional parts:_x000a_+ Prefix: 56561-_x000a_+ Child Order .XX_x000a_+ Order Item -XX_x000a_+ Revision: RX_x000a__x000a_Examples:_x000a_012345, 012345-01R1 56561-012345.01-01R1" sqref="D3" xr:uid="{2AC83E39-ED65-4D7D-A298-E4544061AD09}">
      <formula1>_xlfn.REGEXTEST(D3,"^(56561-)?\d{6}(\.\d{2})?(-\d{2})?(R\d{1,2})?$")</formula1>
    </dataValidation>
    <dataValidation type="custom" showInputMessage="1" showErrorMessage="1" sqref="D6 G3" xr:uid="{C7032BEC-E215-40B1-9F7C-276675DE4ACD}">
      <formula1>NOT(ISBLANK(D3))</formula1>
    </dataValidation>
    <dataValidation type="custom" errorStyle="warning" allowBlank="1" showInputMessage="1" showErrorMessage="1" sqref="C18:C20 C38:C40 C30:C32 C42:C44 C34:C36 C26:C28 C22:C24" xr:uid="{97DA6692-4AE3-4054-95B5-75D1BC9F5EEF}">
      <formula1>AI18</formula1>
    </dataValidation>
    <dataValidation type="list" errorStyle="warning" showInputMessage="1" showErrorMessage="1" sqref="B47" xr:uid="{F6847EAA-D874-4132-B926-FB537F084F4A}">
      <formula1>IF($O46="Rejected", "", IF(D11="NO",Comments,CommentsAL))</formula1>
    </dataValidation>
    <dataValidation allowBlank="1" showInputMessage="1" showErrorMessage="1" sqref="W2:AJ15" xr:uid="{353881DC-DC52-4F9B-80AA-E4BBCA2BA3F0}"/>
    <dataValidation errorStyle="warning" allowBlank="1" showInputMessage="1" showErrorMessage="1" sqref="D7:E7 G7:H7" xr:uid="{856C36FD-4FDA-46ED-850B-3B3354211A65}"/>
    <dataValidation errorStyle="warning" showInputMessage="1" showErrorMessage="1" sqref="D5:E5" xr:uid="{4DAB3B6A-B11F-43C3-AB40-42E3DE0B2051}"/>
  </dataValidations>
  <pageMargins left="0.7" right="0.7" top="0.75" bottom="0.75" header="0.3" footer="0.3"/>
  <pageSetup scale="38" orientation="portrait" horizontalDpi="4294967295" verticalDpi="4294967295"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anchor moveWithCells="1">
                  <from>
                    <xdr:col>8</xdr:col>
                    <xdr:colOff>180975</xdr:colOff>
                    <xdr:row>5</xdr:row>
                    <xdr:rowOff>161925</xdr:rowOff>
                  </from>
                  <to>
                    <xdr:col>10</xdr:col>
                    <xdr:colOff>57150</xdr:colOff>
                    <xdr:row>6</xdr:row>
                    <xdr:rowOff>180975</xdr:rowOff>
                  </to>
                </anchor>
              </controlPr>
            </control>
          </mc:Choice>
        </mc:AlternateContent>
        <mc:AlternateContent xmlns:mc="http://schemas.openxmlformats.org/markup-compatibility/2006">
          <mc:Choice Requires="x14">
            <control shapeId="1053" r:id="rId7" name="Button 29">
              <controlPr defaultSize="0" print="0" autoFill="0" autoPict="0" macro="[0]!ImportData.ImportData">
                <anchor moveWithCells="1">
                  <from>
                    <xdr:col>14</xdr:col>
                    <xdr:colOff>561975</xdr:colOff>
                    <xdr:row>10</xdr:row>
                    <xdr:rowOff>0</xdr:rowOff>
                  </from>
                  <to>
                    <xdr:col>16</xdr:col>
                    <xdr:colOff>219075</xdr:colOff>
                    <xdr:row>11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4000000}">
          <x14:formula1>
            <xm:f>_xlfn.ANCHORARRAY(DropDowns!$B$12)</xm:f>
          </x14:formula1>
          <xm:sqref>F14:O14</xm:sqref>
        </x14:dataValidation>
        <x14:dataValidation type="list" errorStyle="warning" showInputMessage="1" showErrorMessage="1" xr:uid="{C396ED07-DDC6-466F-BDFB-5751D862EC79}">
          <x14:formula1>
            <xm:f>DropDowns!$L$20:$L$1048576</xm:f>
          </x14:formula1>
          <xm:sqref>G6</xm:sqref>
        </x14:dataValidation>
        <x14:dataValidation type="list" errorStyle="warning" showInputMessage="1" showErrorMessage="1" xr:uid="{4D222363-CE05-44B4-AD6D-5611A640DAE5}">
          <x14:formula1>
            <xm:f>DropDowns!$I$20:$I$1048576</xm:f>
          </x14:formula1>
          <xm:sqref>D4</xm:sqref>
        </x14:dataValidation>
        <x14:dataValidation type="list" errorStyle="warning" showInputMessage="1" showErrorMessage="1" xr:uid="{3E98397E-57CF-4F6B-A1D1-61FAF938413B}">
          <x14:formula1>
            <xm:f>DropDowns!$J$20:$J$1048576</xm:f>
          </x14:formula1>
          <xm:sqref>G4</xm:sqref>
        </x14:dataValidation>
        <x14:dataValidation type="list" errorStyle="warning" allowBlank="1" showInputMessage="1" showErrorMessage="1" xr:uid="{B2724134-94F3-4A7A-BE91-4671ABE33010}">
          <x14:formula1>
            <xm:f>DropDowns!$K$20:$K$1048576</xm:f>
          </x14:formula1>
          <xm:sqref>G5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6"/>
  <sheetViews>
    <sheetView workbookViewId="0">
      <selection activeCell="C3" sqref="C3"/>
    </sheetView>
  </sheetViews>
  <sheetFormatPr defaultColWidth="9.140625" defaultRowHeight="15" x14ac:dyDescent="0.25"/>
  <cols>
    <col min="1" max="1" width="5.42578125" style="27" bestFit="1" customWidth="1"/>
    <col min="2" max="2" width="33.140625" style="27" customWidth="1"/>
    <col min="3" max="3" width="6.140625" style="27" bestFit="1" customWidth="1"/>
    <col min="4" max="4" width="9.140625" style="27"/>
    <col min="5" max="5" width="6.42578125" style="27" customWidth="1"/>
    <col min="6" max="6" width="9.140625" style="27" hidden="1" customWidth="1"/>
    <col min="7" max="7" width="28.5703125" style="27" customWidth="1"/>
    <col min="8" max="16384" width="9.140625" style="27"/>
  </cols>
  <sheetData>
    <row r="1" spans="1:3" ht="17.25" customHeight="1" x14ac:dyDescent="0.25">
      <c r="A1" s="27" t="str">
        <f>IF(C3,"A2LA","Blank")</f>
        <v>A2LA</v>
      </c>
    </row>
    <row r="2" spans="1:3" ht="87.75" customHeight="1" x14ac:dyDescent="0.25">
      <c r="B2" s="27" t="e" vm="1">
        <v>#VALUE!</v>
      </c>
    </row>
    <row r="3" spans="1:3" x14ac:dyDescent="0.25">
      <c r="C3" s="104" t="b">
        <v>1</v>
      </c>
    </row>
    <row r="5" spans="1:3" ht="16.5" customHeight="1" x14ac:dyDescent="0.25"/>
    <row r="6" spans="1:3" x14ac:dyDescent="0.25">
      <c r="C6" s="29"/>
    </row>
  </sheetData>
  <sheetProtection algorithmName="SHA-512" hashValue="FFU9c1i0OREkQ4S0XvZwuT9hM59iVI+j6qAC99ILfNjGDoRGrd9PYH+DkZEzzPfQ2SlsMxIDyh+WRKNwjvf3yw==" saltValue="UDRDlLWkTGqrHuCOLh1ILg==" spinCount="100000" sheet="1" objects="1" scenarios="1"/>
  <protectedRanges>
    <protectedRange sqref="C3" name="IsAccredited"/>
  </protectedRanges>
  <pageMargins left="0.7" right="0.7" top="0.75" bottom="0.75" header="0.3" footer="0.3"/>
  <pageSetup orientation="portrait" horizontalDpi="4294967292" r:id="rId1"/>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898B4-0D68-440D-8B0C-1D14EE67EEF7}">
  <sheetPr codeName="Sheet11"/>
  <dimension ref="A1:Q63"/>
  <sheetViews>
    <sheetView workbookViewId="0">
      <selection activeCell="N50" sqref="N50"/>
    </sheetView>
  </sheetViews>
  <sheetFormatPr defaultRowHeight="15" x14ac:dyDescent="0.25"/>
  <sheetData>
    <row r="1" spans="1:16" x14ac:dyDescent="0.25">
      <c r="A1" s="108" t="s">
        <v>834</v>
      </c>
      <c r="B1" s="108" t="s">
        <v>833</v>
      </c>
    </row>
    <row r="2" spans="1:16" x14ac:dyDescent="0.25">
      <c r="A2" t="str">
        <f>IF($B$2, "/P ", " ")</f>
        <v xml:space="preserve"> </v>
      </c>
      <c r="B2" t="b">
        <f>Worksheet!D$11="YES"</f>
        <v>0</v>
      </c>
    </row>
    <row r="3" spans="1:16" s="107" customFormat="1" x14ac:dyDescent="0.25"/>
    <row r="4" spans="1:16" x14ac:dyDescent="0.25">
      <c r="A4" s="99" t="s">
        <v>134</v>
      </c>
    </row>
    <row r="5" spans="1:16" x14ac:dyDescent="0.25">
      <c r="A5" s="94" t="s">
        <v>104</v>
      </c>
      <c r="B5" s="94" t="s">
        <v>53</v>
      </c>
      <c r="C5" s="15" t="s">
        <v>56</v>
      </c>
      <c r="D5" s="15" t="s">
        <v>57</v>
      </c>
      <c r="E5" s="15"/>
      <c r="F5" s="15"/>
      <c r="G5" s="15"/>
      <c r="H5" s="15" t="s">
        <v>61</v>
      </c>
      <c r="I5" s="15" t="s">
        <v>62</v>
      </c>
      <c r="J5" s="15" t="s">
        <v>63</v>
      </c>
      <c r="K5" s="35" t="s">
        <v>64</v>
      </c>
      <c r="L5" s="15" t="s">
        <v>105</v>
      </c>
      <c r="P5" s="15" t="s">
        <v>135</v>
      </c>
    </row>
    <row r="6" spans="1:16" ht="15.75" x14ac:dyDescent="0.25">
      <c r="A6" s="91" t="str">
        <f>IF(Worksheet!C18="", "", Worksheet!B18 &amp; $A$2 &amp; P6)</f>
        <v/>
      </c>
      <c r="B6" s="73" t="str">
        <f>IF(Worksheet!D18="","",Worksheet!D18)</f>
        <v/>
      </c>
      <c r="C6" s="73" t="str">
        <f>IF(Worksheet!F18="","",Worksheet!F18)</f>
        <v/>
      </c>
      <c r="D6" s="73" t="str">
        <f>IF(Worksheet!G18="","",Worksheet!G18)</f>
        <v/>
      </c>
      <c r="E6" s="95"/>
      <c r="F6" s="95"/>
      <c r="G6" s="95"/>
      <c r="H6" s="73" t="str">
        <f>IF(Worksheet!F18="","",Worksheet!Y18)</f>
        <v/>
      </c>
      <c r="I6" s="43" t="str">
        <f>IF(Worksheet!F18="","",Worksheet!Z18)</f>
        <v/>
      </c>
      <c r="J6" s="43" t="str">
        <f>IF(Worksheet!F18="","",Worksheet!AA18)</f>
        <v/>
      </c>
      <c r="K6" s="73" t="str">
        <f>IF(Worksheet!F18="","",Worksheet!R18)</f>
        <v/>
      </c>
      <c r="L6" s="38" t="str">
        <f>IF(Worksheet!F18="","",Worksheet!V18)</f>
        <v/>
      </c>
      <c r="P6" s="19" t="str">
        <f>TEXT(Worksheet!C18,"0.0")</f>
        <v>0.0</v>
      </c>
    </row>
    <row r="7" spans="1:16" ht="15.75" x14ac:dyDescent="0.25">
      <c r="A7" s="92" t="str">
        <f>IF(Worksheet!C19="", "", Worksheet!B19 &amp; $A$2 &amp; P7)</f>
        <v/>
      </c>
      <c r="B7" s="26" t="str">
        <f>IF(Worksheet!D19="","",Worksheet!D19)</f>
        <v/>
      </c>
      <c r="C7" s="26" t="str">
        <f>IF(Worksheet!F19="","",Worksheet!F19)</f>
        <v/>
      </c>
      <c r="D7" s="26" t="str">
        <f>IF(Worksheet!G19="","",Worksheet!G19)</f>
        <v/>
      </c>
      <c r="E7" s="72"/>
      <c r="F7" s="72"/>
      <c r="G7" s="72"/>
      <c r="H7" s="26" t="str">
        <f>IF(Worksheet!F19="","",Worksheet!Y19)</f>
        <v/>
      </c>
      <c r="I7" s="44" t="str">
        <f>IF(Worksheet!F19="","",Worksheet!Z19)</f>
        <v/>
      </c>
      <c r="J7" s="44" t="str">
        <f>IF(Worksheet!F19="","",Worksheet!AA19)</f>
        <v/>
      </c>
      <c r="K7" s="26" t="str">
        <f>IF(Worksheet!F19="","",Worksheet!R19)</f>
        <v/>
      </c>
      <c r="L7" s="39" t="str">
        <f>IF(Worksheet!F19="","",Worksheet!V19)</f>
        <v/>
      </c>
      <c r="P7" s="19" t="str">
        <f>TEXT(Worksheet!C19,"0.0")</f>
        <v>0.0</v>
      </c>
    </row>
    <row r="8" spans="1:16" ht="15.75" x14ac:dyDescent="0.25">
      <c r="A8" s="93" t="str">
        <f>IF(Worksheet!C20="", "", Worksheet!B20 &amp; $A$2 &amp; P8)</f>
        <v/>
      </c>
      <c r="B8" s="74" t="str">
        <f>IF(Worksheet!D20="","",Worksheet!D20)</f>
        <v/>
      </c>
      <c r="C8" s="74" t="str">
        <f>IF(Worksheet!F20="","",Worksheet!F20)</f>
        <v/>
      </c>
      <c r="D8" s="74" t="str">
        <f>IF(Worksheet!G20="","",Worksheet!G20)</f>
        <v/>
      </c>
      <c r="E8" s="96"/>
      <c r="F8" s="96"/>
      <c r="G8" s="96"/>
      <c r="H8" s="74" t="str">
        <f>IF(Worksheet!F20="","",Worksheet!Y20)</f>
        <v/>
      </c>
      <c r="I8" s="45" t="str">
        <f>IF(Worksheet!F20="","",Worksheet!Z20)</f>
        <v/>
      </c>
      <c r="J8" s="45" t="str">
        <f>IF(Worksheet!F20="","",Worksheet!AA20)</f>
        <v/>
      </c>
      <c r="K8" s="74" t="str">
        <f>IF(Worksheet!F20="","",Worksheet!R20)</f>
        <v/>
      </c>
      <c r="L8" s="40" t="str">
        <f>IF(Worksheet!F20="","",Worksheet!V20)</f>
        <v/>
      </c>
      <c r="P8" s="19" t="str">
        <f>TEXT(Worksheet!C20,"0.0")</f>
        <v>0.0</v>
      </c>
    </row>
    <row r="9" spans="1:16" ht="7.5" customHeight="1" x14ac:dyDescent="0.25">
      <c r="A9" s="19"/>
      <c r="B9" s="19"/>
      <c r="C9" s="19"/>
      <c r="D9" s="19"/>
      <c r="E9" s="97"/>
      <c r="F9" s="97"/>
      <c r="G9" s="97"/>
      <c r="H9" s="19"/>
      <c r="I9" s="19"/>
      <c r="J9" s="19"/>
      <c r="K9" s="19"/>
    </row>
    <row r="10" spans="1:16" ht="15.75" x14ac:dyDescent="0.25">
      <c r="A10" s="91" t="str">
        <f>IF(Worksheet!C22="", "", Worksheet!B22 &amp; $A$2 &amp; P10)</f>
        <v/>
      </c>
      <c r="B10" s="73" t="str">
        <f>IF(Worksheet!D22="","",Worksheet!D22)</f>
        <v/>
      </c>
      <c r="C10" s="73" t="str">
        <f>IF(Worksheet!F22="","",Worksheet!F22)</f>
        <v/>
      </c>
      <c r="D10" s="73" t="str">
        <f>IF(Worksheet!G22="","",Worksheet!G22)</f>
        <v/>
      </c>
      <c r="E10" s="95"/>
      <c r="F10" s="95"/>
      <c r="G10" s="95"/>
      <c r="H10" s="73" t="str">
        <f>IF(Worksheet!F22="","",Worksheet!Y22)</f>
        <v/>
      </c>
      <c r="I10" s="43" t="str">
        <f>IF(Worksheet!F22="","",Worksheet!Z22)</f>
        <v/>
      </c>
      <c r="J10" s="43" t="str">
        <f>IF(Worksheet!F22="","",Worksheet!AA22)</f>
        <v/>
      </c>
      <c r="K10" s="73" t="str">
        <f>IF(Worksheet!F22="","",Worksheet!R22)</f>
        <v/>
      </c>
      <c r="L10" s="38" t="str">
        <f>IF(Worksheet!F22="","",Worksheet!V22)</f>
        <v/>
      </c>
      <c r="P10" s="19" t="str">
        <f>TEXT(Worksheet!C22,"0.0")</f>
        <v>0.0</v>
      </c>
    </row>
    <row r="11" spans="1:16" ht="15.75" x14ac:dyDescent="0.25">
      <c r="A11" s="92" t="str">
        <f>IF(Worksheet!C23="", "", Worksheet!B23 &amp; $A$2 &amp; P11)</f>
        <v/>
      </c>
      <c r="B11" s="26" t="str">
        <f>IF(Worksheet!D23="","",Worksheet!D23)</f>
        <v/>
      </c>
      <c r="C11" s="26" t="str">
        <f>IF(Worksheet!F23="","",Worksheet!F23)</f>
        <v/>
      </c>
      <c r="D11" s="26" t="str">
        <f>IF(Worksheet!G23="","",Worksheet!G23)</f>
        <v/>
      </c>
      <c r="E11" s="72"/>
      <c r="F11" s="72"/>
      <c r="G11" s="72"/>
      <c r="H11" s="26" t="str">
        <f>IF(Worksheet!F23="","",Worksheet!Y23)</f>
        <v/>
      </c>
      <c r="I11" s="44" t="str">
        <f>IF(Worksheet!F23="","",Worksheet!Z23)</f>
        <v/>
      </c>
      <c r="J11" s="44" t="str">
        <f>IF(Worksheet!F23="","",Worksheet!AA23)</f>
        <v/>
      </c>
      <c r="K11" s="26" t="str">
        <f>IF(Worksheet!F23="","",Worksheet!R23)</f>
        <v/>
      </c>
      <c r="L11" s="39" t="str">
        <f>IF(Worksheet!F23="","",Worksheet!V23)</f>
        <v/>
      </c>
      <c r="P11" s="19" t="str">
        <f>TEXT(Worksheet!C23,"0.0")</f>
        <v>0.0</v>
      </c>
    </row>
    <row r="12" spans="1:16" ht="15.75" x14ac:dyDescent="0.25">
      <c r="A12" s="93" t="str">
        <f>IF(Worksheet!C24="", "", Worksheet!B24 &amp; $A$2 &amp; P12)</f>
        <v/>
      </c>
      <c r="B12" s="74" t="str">
        <f>IF(Worksheet!D24="","",Worksheet!D24)</f>
        <v/>
      </c>
      <c r="C12" s="74" t="str">
        <f>IF(Worksheet!F24="","",Worksheet!F24)</f>
        <v/>
      </c>
      <c r="D12" s="74" t="str">
        <f>IF(Worksheet!G24="","",Worksheet!G24)</f>
        <v/>
      </c>
      <c r="E12" s="96"/>
      <c r="F12" s="96"/>
      <c r="G12" s="96"/>
      <c r="H12" s="74" t="str">
        <f>IF(Worksheet!F24="","",Worksheet!Y24)</f>
        <v/>
      </c>
      <c r="I12" s="45" t="str">
        <f>IF(Worksheet!F24="","",Worksheet!Z24)</f>
        <v/>
      </c>
      <c r="J12" s="45" t="str">
        <f>IF(Worksheet!F24="","",Worksheet!AA24)</f>
        <v/>
      </c>
      <c r="K12" s="74" t="str">
        <f>IF(Worksheet!F24="","",Worksheet!R24)</f>
        <v/>
      </c>
      <c r="L12" s="40" t="str">
        <f>IF(Worksheet!F24="","",Worksheet!V24)</f>
        <v/>
      </c>
      <c r="P12" s="19" t="str">
        <f>TEXT(Worksheet!C24,"0.0")</f>
        <v>0.0</v>
      </c>
    </row>
    <row r="13" spans="1:16" ht="7.5" customHeight="1" x14ac:dyDescent="0.25">
      <c r="A13" s="19"/>
      <c r="B13" s="19"/>
      <c r="C13" s="19"/>
      <c r="D13" s="19"/>
      <c r="E13" s="97"/>
      <c r="F13" s="97"/>
      <c r="G13" s="97"/>
      <c r="H13" s="19"/>
      <c r="I13" s="19"/>
      <c r="J13" s="19"/>
      <c r="K13" s="19"/>
    </row>
    <row r="14" spans="1:16" ht="15.75" x14ac:dyDescent="0.25">
      <c r="A14" s="91" t="str">
        <f>IF(Worksheet!C26="", "", Worksheet!B26 &amp; $A$2 &amp; P14)</f>
        <v/>
      </c>
      <c r="B14" s="73" t="str">
        <f>IF(Worksheet!D26="","",Worksheet!D26)</f>
        <v/>
      </c>
      <c r="C14" s="73" t="str">
        <f>IF(Worksheet!F26="","",Worksheet!F26)</f>
        <v/>
      </c>
      <c r="D14" s="73" t="str">
        <f>IF(Worksheet!G26="","",Worksheet!G26)</f>
        <v/>
      </c>
      <c r="E14" s="95"/>
      <c r="F14" s="95"/>
      <c r="G14" s="95"/>
      <c r="H14" s="73" t="str">
        <f>IF(Worksheet!F26="","",Worksheet!Y26)</f>
        <v/>
      </c>
      <c r="I14" s="43" t="str">
        <f>IF(Worksheet!F26="","",Worksheet!Z26)</f>
        <v/>
      </c>
      <c r="J14" s="43" t="str">
        <f>IF(Worksheet!F26="","",Worksheet!AA26)</f>
        <v/>
      </c>
      <c r="K14" s="73" t="str">
        <f>IF(Worksheet!F26="","",Worksheet!R26)</f>
        <v/>
      </c>
      <c r="L14" s="38" t="str">
        <f>IF(Worksheet!F26="","",Worksheet!V26)</f>
        <v/>
      </c>
      <c r="P14" s="19" t="str">
        <f>TEXT(Worksheet!C26,"0.0")</f>
        <v>0.0</v>
      </c>
    </row>
    <row r="15" spans="1:16" ht="15.75" x14ac:dyDescent="0.25">
      <c r="A15" s="92" t="str">
        <f>IF(Worksheet!C27="", "", Worksheet!B27 &amp; $A$2 &amp; P15)</f>
        <v/>
      </c>
      <c r="B15" s="26" t="str">
        <f>IF(Worksheet!D27="","",Worksheet!D27)</f>
        <v/>
      </c>
      <c r="C15" s="26" t="str">
        <f>IF(Worksheet!F27="","",Worksheet!F27)</f>
        <v/>
      </c>
      <c r="D15" s="26" t="str">
        <f>IF(Worksheet!G27="","",Worksheet!G27)</f>
        <v/>
      </c>
      <c r="E15" s="72"/>
      <c r="F15" s="72"/>
      <c r="G15" s="72"/>
      <c r="H15" s="26" t="str">
        <f>IF(Worksheet!F27="","",Worksheet!Y27)</f>
        <v/>
      </c>
      <c r="I15" s="44" t="str">
        <f>IF(Worksheet!F27="","",Worksheet!Z27)</f>
        <v/>
      </c>
      <c r="J15" s="44" t="str">
        <f>IF(Worksheet!F27="","",Worksheet!AA27)</f>
        <v/>
      </c>
      <c r="K15" s="26" t="str">
        <f>IF(Worksheet!F27="","",Worksheet!R27)</f>
        <v/>
      </c>
      <c r="L15" s="39" t="str">
        <f>IF(Worksheet!F27="","",Worksheet!V27)</f>
        <v/>
      </c>
      <c r="P15" s="19" t="str">
        <f>TEXT(Worksheet!C27,"0.0")</f>
        <v>0.0</v>
      </c>
    </row>
    <row r="16" spans="1:16" ht="15.75" x14ac:dyDescent="0.25">
      <c r="A16" s="93" t="str">
        <f>IF(Worksheet!C28="", "", Worksheet!B28 &amp; $A$2 &amp; P16)</f>
        <v/>
      </c>
      <c r="B16" s="74" t="str">
        <f>IF(Worksheet!D28="","",Worksheet!D28)</f>
        <v/>
      </c>
      <c r="C16" s="74" t="str">
        <f>IF(Worksheet!F28="","",Worksheet!F28)</f>
        <v/>
      </c>
      <c r="D16" s="74" t="str">
        <f>IF(Worksheet!G28="","",Worksheet!G28)</f>
        <v/>
      </c>
      <c r="E16" s="96"/>
      <c r="F16" s="96"/>
      <c r="G16" s="96"/>
      <c r="H16" s="74" t="str">
        <f>IF(Worksheet!F28="","",Worksheet!Y28)</f>
        <v/>
      </c>
      <c r="I16" s="45" t="str">
        <f>IF(Worksheet!F28="","",Worksheet!Z28)</f>
        <v/>
      </c>
      <c r="J16" s="45" t="str">
        <f>IF(Worksheet!F28="","",Worksheet!AA28)</f>
        <v/>
      </c>
      <c r="K16" s="74" t="str">
        <f>IF(Worksheet!F28="","",Worksheet!R28)</f>
        <v/>
      </c>
      <c r="L16" s="40" t="str">
        <f>IF(Worksheet!F28="","",Worksheet!V28)</f>
        <v/>
      </c>
      <c r="P16" s="19" t="str">
        <f>TEXT(Worksheet!C28,"0.0")</f>
        <v>0.0</v>
      </c>
    </row>
    <row r="17" spans="1:16" ht="7.5" customHeight="1" x14ac:dyDescent="0.25">
      <c r="A17" s="19"/>
      <c r="B17" s="19"/>
      <c r="C17" s="19"/>
      <c r="D17" s="19"/>
      <c r="E17" s="97"/>
      <c r="F17" s="97"/>
      <c r="G17" s="97"/>
      <c r="H17" s="19"/>
      <c r="I17" s="19"/>
      <c r="J17" s="19"/>
      <c r="K17" s="19"/>
    </row>
    <row r="18" spans="1:16" ht="15.75" x14ac:dyDescent="0.25">
      <c r="A18" s="91" t="str">
        <f>IF(Worksheet!C30="", "", Worksheet!B30 &amp; $A$2 &amp; P18)</f>
        <v/>
      </c>
      <c r="B18" s="73" t="str">
        <f>IF(Worksheet!D30="","",Worksheet!D30)</f>
        <v/>
      </c>
      <c r="C18" s="73" t="str">
        <f>IF(Worksheet!F30="","",Worksheet!F30)</f>
        <v/>
      </c>
      <c r="D18" s="73" t="str">
        <f>IF(Worksheet!G30="","",Worksheet!G30)</f>
        <v/>
      </c>
      <c r="E18" s="95"/>
      <c r="F18" s="95"/>
      <c r="G18" s="95"/>
      <c r="H18" s="73" t="str">
        <f>IF(Worksheet!F30="","",Worksheet!Y30)</f>
        <v/>
      </c>
      <c r="I18" s="43" t="str">
        <f>IF(Worksheet!F30="","",Worksheet!Z30)</f>
        <v/>
      </c>
      <c r="J18" s="43" t="str">
        <f>IF(Worksheet!F30="","",Worksheet!AA30)</f>
        <v/>
      </c>
      <c r="K18" s="73" t="str">
        <f>IF(Worksheet!F30="","",Worksheet!R30)</f>
        <v/>
      </c>
      <c r="L18" s="38" t="str">
        <f>IF(Worksheet!F30="","",Worksheet!V30)</f>
        <v/>
      </c>
      <c r="P18" s="19" t="str">
        <f>TEXT(Worksheet!C30,"0.0")</f>
        <v>0.0</v>
      </c>
    </row>
    <row r="19" spans="1:16" ht="15.75" x14ac:dyDescent="0.25">
      <c r="A19" s="92" t="str">
        <f>IF(Worksheet!C31="", "", Worksheet!B31 &amp; $A$2 &amp; P19)</f>
        <v/>
      </c>
      <c r="B19" s="26" t="str">
        <f>IF(Worksheet!D31="","",Worksheet!D31)</f>
        <v/>
      </c>
      <c r="C19" s="26" t="str">
        <f>IF(Worksheet!F31="","",Worksheet!F31)</f>
        <v/>
      </c>
      <c r="D19" s="26" t="str">
        <f>IF(Worksheet!G31="","",Worksheet!G31)</f>
        <v/>
      </c>
      <c r="E19" s="72"/>
      <c r="F19" s="72"/>
      <c r="G19" s="72"/>
      <c r="H19" s="26" t="str">
        <f>IF(Worksheet!F31="","",Worksheet!Y31)</f>
        <v/>
      </c>
      <c r="I19" s="44" t="str">
        <f>IF(Worksheet!F31="","",Worksheet!Z31)</f>
        <v/>
      </c>
      <c r="J19" s="44" t="str">
        <f>IF(Worksheet!F31="","",Worksheet!AA31)</f>
        <v/>
      </c>
      <c r="K19" s="26" t="str">
        <f>IF(Worksheet!F31="","",Worksheet!R31)</f>
        <v/>
      </c>
      <c r="L19" s="39" t="str">
        <f>IF(Worksheet!F31="","",Worksheet!V31)</f>
        <v/>
      </c>
      <c r="P19" s="19" t="str">
        <f>TEXT(Worksheet!C31,"0.0")</f>
        <v>0.0</v>
      </c>
    </row>
    <row r="20" spans="1:16" ht="15.75" x14ac:dyDescent="0.25">
      <c r="A20" s="93" t="str">
        <f>IF(Worksheet!C32="", "", Worksheet!B32 &amp; $A$2 &amp; P20)</f>
        <v/>
      </c>
      <c r="B20" s="74" t="str">
        <f>IF(Worksheet!D32="","",Worksheet!D32)</f>
        <v/>
      </c>
      <c r="C20" s="74" t="str">
        <f>IF(Worksheet!F32="","",Worksheet!F32)</f>
        <v/>
      </c>
      <c r="D20" s="74" t="str">
        <f>IF(Worksheet!G32="","",Worksheet!G32)</f>
        <v/>
      </c>
      <c r="E20" s="96"/>
      <c r="F20" s="96"/>
      <c r="G20" s="96"/>
      <c r="H20" s="74" t="str">
        <f>IF(Worksheet!F32="","",Worksheet!Y32)</f>
        <v/>
      </c>
      <c r="I20" s="45" t="str">
        <f>IF(Worksheet!F32="","",Worksheet!Z32)</f>
        <v/>
      </c>
      <c r="J20" s="45" t="str">
        <f>IF(Worksheet!F32="","",Worksheet!AA32)</f>
        <v/>
      </c>
      <c r="K20" s="74" t="str">
        <f>IF(Worksheet!F32="","",Worksheet!R32)</f>
        <v/>
      </c>
      <c r="L20" s="40" t="str">
        <f>IF(Worksheet!F32="","",Worksheet!V32)</f>
        <v/>
      </c>
      <c r="P20" s="19" t="str">
        <f>TEXT(Worksheet!C32,"0.0")</f>
        <v>0.0</v>
      </c>
    </row>
    <row r="21" spans="1:16" ht="7.5" customHeight="1" x14ac:dyDescent="0.25">
      <c r="A21" s="19"/>
      <c r="B21" s="19"/>
      <c r="C21" s="19"/>
      <c r="D21" s="19"/>
      <c r="E21" s="97"/>
      <c r="F21" s="97"/>
      <c r="G21" s="97"/>
      <c r="H21" s="19"/>
      <c r="I21" s="19"/>
      <c r="J21" s="19"/>
      <c r="K21" s="19"/>
    </row>
    <row r="22" spans="1:16" ht="15.75" x14ac:dyDescent="0.25">
      <c r="A22" s="91" t="str">
        <f>IF(Worksheet!C34="", "", Worksheet!B34 &amp; $A$2 &amp; P22)</f>
        <v/>
      </c>
      <c r="B22" s="73" t="str">
        <f>IF(Worksheet!D34="","",Worksheet!D34)</f>
        <v/>
      </c>
      <c r="C22" s="73" t="str">
        <f>IF(Worksheet!F34="","",Worksheet!F34)</f>
        <v/>
      </c>
      <c r="D22" s="73" t="str">
        <f>IF(Worksheet!G34="","",Worksheet!G34)</f>
        <v/>
      </c>
      <c r="E22" s="95"/>
      <c r="F22" s="95"/>
      <c r="G22" s="95"/>
      <c r="H22" s="73" t="str">
        <f>IF(Worksheet!F34="","",Worksheet!Y34)</f>
        <v/>
      </c>
      <c r="I22" s="43" t="str">
        <f>IF(Worksheet!F34="","",Worksheet!Z34)</f>
        <v/>
      </c>
      <c r="J22" s="43" t="str">
        <f>IF(Worksheet!F34="","",Worksheet!AA34)</f>
        <v/>
      </c>
      <c r="K22" s="73" t="str">
        <f>IF(Worksheet!F34="","",Worksheet!R34)</f>
        <v/>
      </c>
      <c r="L22" s="38" t="str">
        <f>IF(Worksheet!F34="","",Worksheet!V34)</f>
        <v/>
      </c>
      <c r="P22" s="19" t="str">
        <f>TEXT(Worksheet!C34,"0.0")</f>
        <v>0.0</v>
      </c>
    </row>
    <row r="23" spans="1:16" ht="15.75" x14ac:dyDescent="0.25">
      <c r="A23" s="92" t="str">
        <f>IF(Worksheet!C35="", "", Worksheet!B35 &amp; $A$2 &amp; P23)</f>
        <v/>
      </c>
      <c r="B23" s="26" t="str">
        <f>IF(Worksheet!D35="","",Worksheet!D35)</f>
        <v/>
      </c>
      <c r="C23" s="26" t="str">
        <f>IF(Worksheet!F35="","",Worksheet!F35)</f>
        <v/>
      </c>
      <c r="D23" s="26" t="str">
        <f>IF(Worksheet!G35="","",Worksheet!G35)</f>
        <v/>
      </c>
      <c r="E23" s="72"/>
      <c r="F23" s="72"/>
      <c r="G23" s="72"/>
      <c r="H23" s="26" t="str">
        <f>IF(Worksheet!F35="","",Worksheet!Y35)</f>
        <v/>
      </c>
      <c r="I23" s="44" t="str">
        <f>IF(Worksheet!F35="","",Worksheet!Z35)</f>
        <v/>
      </c>
      <c r="J23" s="44" t="str">
        <f>IF(Worksheet!F35="","",Worksheet!AA35)</f>
        <v/>
      </c>
      <c r="K23" s="26" t="str">
        <f>IF(Worksheet!F35="","",Worksheet!R35)</f>
        <v/>
      </c>
      <c r="L23" s="39" t="str">
        <f>IF(Worksheet!F35="","",Worksheet!V35)</f>
        <v/>
      </c>
      <c r="P23" s="19" t="str">
        <f>TEXT(Worksheet!C35,"0.0")</f>
        <v>0.0</v>
      </c>
    </row>
    <row r="24" spans="1:16" ht="15.75" x14ac:dyDescent="0.25">
      <c r="A24" s="93" t="str">
        <f>IF(Worksheet!C36="", "", Worksheet!B36 &amp; $A$2 &amp; P24)</f>
        <v/>
      </c>
      <c r="B24" s="74" t="str">
        <f>IF(Worksheet!D36="","",Worksheet!D36)</f>
        <v/>
      </c>
      <c r="C24" s="74" t="str">
        <f>IF(Worksheet!F36="","",Worksheet!F36)</f>
        <v/>
      </c>
      <c r="D24" s="74" t="str">
        <f>IF(Worksheet!G36="","",Worksheet!G36)</f>
        <v/>
      </c>
      <c r="E24" s="96"/>
      <c r="F24" s="96"/>
      <c r="G24" s="96"/>
      <c r="H24" s="74" t="str">
        <f>IF(Worksheet!F36="","",Worksheet!Y36)</f>
        <v/>
      </c>
      <c r="I24" s="45" t="str">
        <f>IF(Worksheet!F36="","",Worksheet!Z36)</f>
        <v/>
      </c>
      <c r="J24" s="45" t="str">
        <f>IF(Worksheet!F36="","",Worksheet!AA36)</f>
        <v/>
      </c>
      <c r="K24" s="74" t="str">
        <f>IF(Worksheet!F36="","",Worksheet!R36)</f>
        <v/>
      </c>
      <c r="L24" s="40" t="str">
        <f>IF(Worksheet!F36="","",Worksheet!V36)</f>
        <v/>
      </c>
      <c r="P24" s="19" t="str">
        <f>TEXT(Worksheet!C36,"0.0")</f>
        <v>0.0</v>
      </c>
    </row>
    <row r="25" spans="1:16" ht="7.5" customHeight="1" x14ac:dyDescent="0.25">
      <c r="A25" s="19"/>
      <c r="B25" s="19"/>
      <c r="C25" s="19"/>
      <c r="D25" s="19"/>
      <c r="E25" s="97"/>
      <c r="F25" s="97"/>
      <c r="G25" s="97"/>
      <c r="H25" s="19"/>
      <c r="I25" s="19"/>
      <c r="J25" s="19"/>
      <c r="K25" s="19"/>
    </row>
    <row r="26" spans="1:16" ht="15.75" x14ac:dyDescent="0.25">
      <c r="A26" s="91" t="str">
        <f>IF(Worksheet!C38="", "", Worksheet!B38 &amp; $A$2 &amp; P26)</f>
        <v/>
      </c>
      <c r="B26" s="73" t="str">
        <f>IF(Worksheet!D38="","",Worksheet!D38)</f>
        <v/>
      </c>
      <c r="C26" s="73" t="str">
        <f>IF(Worksheet!F38="","",Worksheet!F38)</f>
        <v/>
      </c>
      <c r="D26" s="73" t="str">
        <f>IF(Worksheet!G38="","",Worksheet!G38)</f>
        <v/>
      </c>
      <c r="E26" s="95"/>
      <c r="F26" s="95"/>
      <c r="G26" s="95"/>
      <c r="H26" s="73" t="str">
        <f>IF(Worksheet!F38="","",Worksheet!Y38)</f>
        <v/>
      </c>
      <c r="I26" s="43" t="str">
        <f>IF(Worksheet!F38="","",Worksheet!Z38)</f>
        <v/>
      </c>
      <c r="J26" s="43" t="str">
        <f>IF(Worksheet!F38="","",Worksheet!AA38)</f>
        <v/>
      </c>
      <c r="K26" s="73" t="str">
        <f>IF(Worksheet!F38="","",Worksheet!R38)</f>
        <v/>
      </c>
      <c r="L26" s="38" t="str">
        <f>IF(Worksheet!F38="","",Worksheet!V38)</f>
        <v/>
      </c>
      <c r="P26" s="19" t="str">
        <f>TEXT(Worksheet!C38,"0.0")</f>
        <v>0.0</v>
      </c>
    </row>
    <row r="27" spans="1:16" ht="15.75" x14ac:dyDescent="0.25">
      <c r="A27" s="92" t="str">
        <f>IF(Worksheet!C39="", "", Worksheet!B39 &amp; $A$2 &amp; P27)</f>
        <v/>
      </c>
      <c r="B27" s="26" t="str">
        <f>IF(Worksheet!D39="","",Worksheet!D39)</f>
        <v/>
      </c>
      <c r="C27" s="26" t="str">
        <f>IF(Worksheet!F39="","",Worksheet!F39)</f>
        <v/>
      </c>
      <c r="D27" s="26" t="str">
        <f>IF(Worksheet!G39="","",Worksheet!G39)</f>
        <v/>
      </c>
      <c r="E27" s="72"/>
      <c r="F27" s="72"/>
      <c r="G27" s="72"/>
      <c r="H27" s="26" t="str">
        <f>IF(Worksheet!F39="","",Worksheet!Y39)</f>
        <v/>
      </c>
      <c r="I27" s="44" t="str">
        <f>IF(Worksheet!F39="","",Worksheet!Z39)</f>
        <v/>
      </c>
      <c r="J27" s="44" t="str">
        <f>IF(Worksheet!F39="","",Worksheet!AA39)</f>
        <v/>
      </c>
      <c r="K27" s="26" t="str">
        <f>IF(Worksheet!F39="","",Worksheet!R39)</f>
        <v/>
      </c>
      <c r="L27" s="39" t="str">
        <f>IF(Worksheet!F39="","",Worksheet!V39)</f>
        <v/>
      </c>
      <c r="P27" s="19" t="str">
        <f>TEXT(Worksheet!C39,"0.0")</f>
        <v>0.0</v>
      </c>
    </row>
    <row r="28" spans="1:16" ht="15.75" x14ac:dyDescent="0.25">
      <c r="A28" s="93" t="str">
        <f>IF(Worksheet!C40="", "", Worksheet!B40 &amp; $A$2 &amp; P28)</f>
        <v/>
      </c>
      <c r="B28" s="74" t="str">
        <f>IF(Worksheet!D40="","",Worksheet!D40)</f>
        <v/>
      </c>
      <c r="C28" s="74" t="str">
        <f>IF(Worksheet!F40="","",Worksheet!F40)</f>
        <v/>
      </c>
      <c r="D28" s="74" t="str">
        <f>IF(Worksheet!G40="","",Worksheet!G40)</f>
        <v/>
      </c>
      <c r="E28" s="96"/>
      <c r="F28" s="96"/>
      <c r="G28" s="96"/>
      <c r="H28" s="74" t="str">
        <f>IF(Worksheet!F40="","",Worksheet!Y40)</f>
        <v/>
      </c>
      <c r="I28" s="45" t="str">
        <f>IF(Worksheet!F40="","",Worksheet!Z40)</f>
        <v/>
      </c>
      <c r="J28" s="45" t="str">
        <f>IF(Worksheet!F40="","",Worksheet!AA40)</f>
        <v/>
      </c>
      <c r="K28" s="74" t="str">
        <f>IF(Worksheet!F40="","",Worksheet!R40)</f>
        <v/>
      </c>
      <c r="L28" s="40" t="str">
        <f>IF(Worksheet!F40="","",Worksheet!V40)</f>
        <v/>
      </c>
      <c r="P28" s="19" t="str">
        <f>TEXT(Worksheet!C40,"0.0")</f>
        <v>0.0</v>
      </c>
    </row>
    <row r="29" spans="1:16" ht="7.5" customHeight="1" x14ac:dyDescent="0.25">
      <c r="A29" s="19"/>
      <c r="B29" s="19"/>
      <c r="C29" s="19"/>
      <c r="D29" s="19"/>
      <c r="E29" s="97"/>
      <c r="F29" s="97"/>
      <c r="G29" s="97"/>
      <c r="H29" s="19"/>
      <c r="I29" s="19"/>
      <c r="J29" s="19"/>
      <c r="K29" s="19"/>
    </row>
    <row r="30" spans="1:16" ht="15.75" x14ac:dyDescent="0.25">
      <c r="A30" s="91" t="str">
        <f>IF(Worksheet!C42="", "", Worksheet!B42 &amp; $A$2 &amp; P30)</f>
        <v/>
      </c>
      <c r="B30" s="73" t="str">
        <f>IF(Worksheet!D42="","",Worksheet!D42)</f>
        <v/>
      </c>
      <c r="C30" s="73" t="str">
        <f>IF(Worksheet!F42="","",Worksheet!F42)</f>
        <v/>
      </c>
      <c r="D30" s="73" t="str">
        <f>IF(Worksheet!G42="","",Worksheet!G42)</f>
        <v/>
      </c>
      <c r="E30" s="95"/>
      <c r="F30" s="95"/>
      <c r="G30" s="95"/>
      <c r="H30" s="73" t="str">
        <f>IF(Worksheet!F42="","",Worksheet!Y42)</f>
        <v/>
      </c>
      <c r="I30" s="43" t="str">
        <f>IF(Worksheet!F42="","",Worksheet!Z42)</f>
        <v/>
      </c>
      <c r="J30" s="43" t="str">
        <f>IF(Worksheet!F42="","",Worksheet!AA42)</f>
        <v/>
      </c>
      <c r="K30" s="73" t="str">
        <f>IF(Worksheet!F42="","",Worksheet!R42)</f>
        <v/>
      </c>
      <c r="L30" s="38" t="str">
        <f>IF(Worksheet!F42="","",Worksheet!V42)</f>
        <v/>
      </c>
      <c r="P30" s="19" t="str">
        <f>TEXT(Worksheet!C42,"0.0")</f>
        <v>0.0</v>
      </c>
    </row>
    <row r="31" spans="1:16" ht="15.75" x14ac:dyDescent="0.25">
      <c r="A31" s="92" t="str">
        <f>IF(Worksheet!C43="", "", Worksheet!B43 &amp; $A$2 &amp; P31)</f>
        <v/>
      </c>
      <c r="B31" s="26" t="str">
        <f>IF(Worksheet!D43="","",Worksheet!D43)</f>
        <v/>
      </c>
      <c r="C31" s="26" t="str">
        <f>IF(Worksheet!F43="","",Worksheet!F43)</f>
        <v/>
      </c>
      <c r="D31" s="26" t="str">
        <f>IF(Worksheet!G43="","",Worksheet!G43)</f>
        <v/>
      </c>
      <c r="E31" s="72"/>
      <c r="F31" s="72"/>
      <c r="G31" s="72"/>
      <c r="H31" s="26" t="str">
        <f>IF(Worksheet!F43="","",Worksheet!Y43)</f>
        <v/>
      </c>
      <c r="I31" s="44" t="str">
        <f>IF(Worksheet!F43="","",Worksheet!Z43)</f>
        <v/>
      </c>
      <c r="J31" s="44" t="str">
        <f>IF(Worksheet!F43="","",Worksheet!AA43)</f>
        <v/>
      </c>
      <c r="K31" s="26" t="str">
        <f>IF(Worksheet!F43="","",Worksheet!R43)</f>
        <v/>
      </c>
      <c r="L31" s="39" t="str">
        <f>IF(Worksheet!F43="","",Worksheet!V43)</f>
        <v/>
      </c>
      <c r="P31" s="19" t="str">
        <f>TEXT(Worksheet!C43,"0.0")</f>
        <v>0.0</v>
      </c>
    </row>
    <row r="32" spans="1:16" ht="15.75" x14ac:dyDescent="0.25">
      <c r="A32" s="93" t="str">
        <f>IF(Worksheet!C44="", "", Worksheet!B44 &amp; $A$2 &amp; P32)</f>
        <v/>
      </c>
      <c r="B32" s="74" t="str">
        <f>IF(Worksheet!D44="","",Worksheet!D44)</f>
        <v/>
      </c>
      <c r="C32" s="74" t="str">
        <f>IF(Worksheet!F44="","",Worksheet!F44)</f>
        <v/>
      </c>
      <c r="D32" s="74" t="str">
        <f>IF(Worksheet!G44="","",Worksheet!G44)</f>
        <v/>
      </c>
      <c r="E32" s="96"/>
      <c r="F32" s="96"/>
      <c r="G32" s="96"/>
      <c r="H32" s="74" t="str">
        <f>IF(Worksheet!F44="","",Worksheet!Y44)</f>
        <v/>
      </c>
      <c r="I32" s="45" t="str">
        <f>IF(Worksheet!F44="","",Worksheet!Z44)</f>
        <v/>
      </c>
      <c r="J32" s="45" t="str">
        <f>IF(Worksheet!F44="","",Worksheet!AA44)</f>
        <v/>
      </c>
      <c r="K32" s="74" t="str">
        <f>IF(Worksheet!F44="","",Worksheet!R44)</f>
        <v/>
      </c>
      <c r="L32" s="40" t="str">
        <f>IF(Worksheet!F44="","",Worksheet!V44)</f>
        <v/>
      </c>
      <c r="P32" s="19" t="str">
        <f>TEXT(Worksheet!C44,"0.0")</f>
        <v>0.0</v>
      </c>
    </row>
    <row r="33" spans="1:17" ht="15.75" x14ac:dyDescent="0.25">
      <c r="A33" s="19"/>
      <c r="B33" s="19"/>
      <c r="C33" s="19"/>
      <c r="D33" s="19"/>
      <c r="E33" s="19"/>
      <c r="F33" s="19"/>
      <c r="G33" s="19"/>
      <c r="H33" s="19"/>
      <c r="I33" s="19"/>
      <c r="J33" s="19"/>
      <c r="K33" s="19"/>
    </row>
    <row r="34" spans="1:17" ht="15.75" x14ac:dyDescent="0.25">
      <c r="A34" s="99" t="s">
        <v>136</v>
      </c>
      <c r="B34" s="19"/>
      <c r="C34" s="19"/>
      <c r="D34" s="19"/>
      <c r="E34" s="19"/>
      <c r="F34" s="19"/>
      <c r="G34" s="19"/>
      <c r="H34" s="19"/>
      <c r="I34" s="19"/>
      <c r="J34" s="19"/>
      <c r="K34" s="19"/>
    </row>
    <row r="35" spans="1:17" x14ac:dyDescent="0.25">
      <c r="A35" s="94" t="s">
        <v>104</v>
      </c>
      <c r="B35" s="94" t="s">
        <v>53</v>
      </c>
      <c r="C35" s="15" t="s">
        <v>56</v>
      </c>
      <c r="D35" s="15" t="s">
        <v>57</v>
      </c>
      <c r="E35" s="15" t="s">
        <v>58</v>
      </c>
      <c r="F35" s="15" t="s">
        <v>59</v>
      </c>
      <c r="G35" s="15" t="s">
        <v>60</v>
      </c>
      <c r="H35" s="15" t="s">
        <v>61</v>
      </c>
      <c r="I35" s="15" t="s">
        <v>62</v>
      </c>
      <c r="J35" s="15" t="s">
        <v>63</v>
      </c>
      <c r="K35" s="35" t="s">
        <v>64</v>
      </c>
      <c r="L35" s="15" t="s">
        <v>105</v>
      </c>
    </row>
    <row r="36" spans="1:17" ht="15.75" x14ac:dyDescent="0.25">
      <c r="A36" s="73" t="str">
        <f>IF(Worksheet!C18="", "", Worksheet!B18 &amp; $A$2 &amp; P36)</f>
        <v/>
      </c>
      <c r="B36" s="73" t="str">
        <f>IF(Worksheet!D18="","",Worksheet!D18)</f>
        <v/>
      </c>
      <c r="C36" s="43" t="str">
        <f>IF(Worksheet!J18="","",Worksheet!J18)</f>
        <v/>
      </c>
      <c r="D36" s="43" t="str">
        <f>IF(Worksheet!K18="","",Worksheet!K18)</f>
        <v/>
      </c>
      <c r="E36" s="43" t="str">
        <f>IF(Worksheet!L18="","",Worksheet!L18)</f>
        <v/>
      </c>
      <c r="F36" s="43" t="str">
        <f>IF(Worksheet!M18="","",Worksheet!M18)</f>
        <v/>
      </c>
      <c r="G36" s="43" t="str">
        <f>IF(Worksheet!N18="","",Worksheet!N18)</f>
        <v/>
      </c>
      <c r="H36" s="73" t="str">
        <f>IF(Worksheet!O18="","",Worksheet!O18)</f>
        <v/>
      </c>
      <c r="I36" s="43" t="str">
        <f>IF(Worksheet!P18="","",Worksheet!P18)</f>
        <v/>
      </c>
      <c r="J36" s="43" t="str">
        <f>IF(Worksheet!Q18="","",Worksheet!Q18)</f>
        <v/>
      </c>
      <c r="K36" s="73" t="str">
        <f>IF(Worksheet!J18="","",Worksheet!R18)</f>
        <v/>
      </c>
      <c r="L36" s="38" t="str">
        <f>IF(Worksheet!P18="","",Worksheet!V18)</f>
        <v/>
      </c>
      <c r="N36" s="37"/>
      <c r="P36" s="19" t="str">
        <f>TEXT(Worksheet!C18,"0.0")</f>
        <v>0.0</v>
      </c>
      <c r="Q36" s="19"/>
    </row>
    <row r="37" spans="1:17" ht="15.75" x14ac:dyDescent="0.25">
      <c r="A37" s="26" t="str">
        <f>IF(Worksheet!C19="", "", Worksheet!B19 &amp; $A$2 &amp; P37)</f>
        <v/>
      </c>
      <c r="B37" s="26" t="str">
        <f>IF(Worksheet!D19="","",Worksheet!D19)</f>
        <v/>
      </c>
      <c r="C37" s="44" t="str">
        <f>IF(Worksheet!J19="","",Worksheet!J19)</f>
        <v/>
      </c>
      <c r="D37" s="44" t="str">
        <f>IF(Worksheet!K19="","",Worksheet!K19)</f>
        <v/>
      </c>
      <c r="E37" s="44" t="str">
        <f>IF(Worksheet!L19="","",Worksheet!L19)</f>
        <v/>
      </c>
      <c r="F37" s="44" t="str">
        <f>IF(Worksheet!M19="","",Worksheet!M19)</f>
        <v/>
      </c>
      <c r="G37" s="44" t="str">
        <f>IF(Worksheet!N19="","",Worksheet!N19)</f>
        <v/>
      </c>
      <c r="H37" s="26" t="str">
        <f>IF(Worksheet!O19="","",Worksheet!O19)</f>
        <v/>
      </c>
      <c r="I37" s="44" t="str">
        <f>IF(Worksheet!P19="","",Worksheet!P19)</f>
        <v/>
      </c>
      <c r="J37" s="44" t="str">
        <f>IF(Worksheet!Q19="","",Worksheet!Q19)</f>
        <v/>
      </c>
      <c r="K37" s="26" t="str">
        <f>IF(Worksheet!J19="","",Worksheet!R19)</f>
        <v/>
      </c>
      <c r="L37" s="39" t="str">
        <f>IF(Worksheet!P19="","",Worksheet!V19)</f>
        <v/>
      </c>
      <c r="P37" s="19" t="str">
        <f>TEXT(Worksheet!C19,"0.0")</f>
        <v>0.0</v>
      </c>
      <c r="Q37" s="19"/>
    </row>
    <row r="38" spans="1:17" ht="15.75" x14ac:dyDescent="0.25">
      <c r="A38" s="74" t="str">
        <f>IF(Worksheet!C20="", "", Worksheet!B20 &amp; $A$2 &amp; P38)</f>
        <v/>
      </c>
      <c r="B38" s="74" t="str">
        <f>IF(Worksheet!D20="","",Worksheet!D20)</f>
        <v/>
      </c>
      <c r="C38" s="45" t="str">
        <f>IF(Worksheet!J20="","",Worksheet!J20)</f>
        <v/>
      </c>
      <c r="D38" s="45" t="str">
        <f>IF(Worksheet!K20="","",Worksheet!K20)</f>
        <v/>
      </c>
      <c r="E38" s="45" t="str">
        <f>IF(Worksheet!L20="","",Worksheet!L20)</f>
        <v/>
      </c>
      <c r="F38" s="45" t="str">
        <f>IF(Worksheet!M20="","",Worksheet!M20)</f>
        <v/>
      </c>
      <c r="G38" s="45" t="str">
        <f>IF(Worksheet!N20="","",Worksheet!N20)</f>
        <v/>
      </c>
      <c r="H38" s="74" t="str">
        <f>IF(Worksheet!O20="","",Worksheet!O20)</f>
        <v/>
      </c>
      <c r="I38" s="45" t="str">
        <f>IF(Worksheet!P20="","",Worksheet!P20)</f>
        <v/>
      </c>
      <c r="J38" s="45" t="str">
        <f>IF(Worksheet!Q20="","",Worksheet!Q20)</f>
        <v/>
      </c>
      <c r="K38" s="74" t="str">
        <f>IF(Worksheet!J20="","",Worksheet!R20)</f>
        <v/>
      </c>
      <c r="L38" s="40" t="str">
        <f>IF(Worksheet!P20="","",Worksheet!V20)</f>
        <v/>
      </c>
      <c r="P38" s="19" t="str">
        <f>TEXT(Worksheet!C20,"0.0")</f>
        <v>0.0</v>
      </c>
      <c r="Q38" s="19"/>
    </row>
    <row r="39" spans="1:17" ht="7.5" customHeight="1" x14ac:dyDescent="0.25">
      <c r="A39" s="19"/>
      <c r="B39" s="19"/>
      <c r="C39" s="19"/>
      <c r="D39" s="19"/>
      <c r="E39" s="19"/>
      <c r="F39" s="19"/>
      <c r="G39" s="19"/>
      <c r="H39" s="19"/>
      <c r="I39" s="75"/>
      <c r="J39" s="75"/>
      <c r="K39" s="19"/>
    </row>
    <row r="40" spans="1:17" ht="15.75" x14ac:dyDescent="0.25">
      <c r="A40" s="73" t="str">
        <f>IF(Worksheet!C22="", "", Worksheet!B22 &amp; $A$2 &amp; P40)</f>
        <v/>
      </c>
      <c r="B40" s="73" t="str">
        <f>IF(Worksheet!D22="","",Worksheet!D22)</f>
        <v/>
      </c>
      <c r="C40" s="43" t="str">
        <f>IF(Worksheet!J22="","",Worksheet!J22)</f>
        <v/>
      </c>
      <c r="D40" s="43" t="str">
        <f>IF(Worksheet!K22="","",Worksheet!K22)</f>
        <v/>
      </c>
      <c r="E40" s="43" t="str">
        <f>IF(Worksheet!L22="","",Worksheet!L22)</f>
        <v/>
      </c>
      <c r="F40" s="43" t="str">
        <f>IF(Worksheet!M22="","",Worksheet!M22)</f>
        <v/>
      </c>
      <c r="G40" s="43" t="str">
        <f>IF(Worksheet!N22="","",Worksheet!N22)</f>
        <v/>
      </c>
      <c r="H40" s="73" t="str">
        <f>IF(Worksheet!O22="","",Worksheet!O22)</f>
        <v/>
      </c>
      <c r="I40" s="43" t="str">
        <f>IF(Worksheet!P22="","",Worksheet!P22)</f>
        <v/>
      </c>
      <c r="J40" s="43" t="str">
        <f>IF(Worksheet!Q22="","",Worksheet!Q22)</f>
        <v/>
      </c>
      <c r="K40" s="73" t="str">
        <f>IF(Worksheet!J22="","",Worksheet!R22)</f>
        <v/>
      </c>
      <c r="L40" s="38" t="str">
        <f>IF(Worksheet!P22="","",Worksheet!V22)</f>
        <v/>
      </c>
      <c r="P40" s="19" t="str">
        <f>TEXT(Worksheet!C22,"0.0")</f>
        <v>0.0</v>
      </c>
    </row>
    <row r="41" spans="1:17" ht="15.75" x14ac:dyDescent="0.25">
      <c r="A41" s="26" t="str">
        <f>IF(Worksheet!C23="", "", Worksheet!B23 &amp; $A$2 &amp; P41)</f>
        <v/>
      </c>
      <c r="B41" s="26" t="str">
        <f>IF(Worksheet!D23="","",Worksheet!D23)</f>
        <v/>
      </c>
      <c r="C41" s="44" t="str">
        <f>IF(Worksheet!J23="","",Worksheet!J23)</f>
        <v/>
      </c>
      <c r="D41" s="44" t="str">
        <f>IF(Worksheet!K23="","",Worksheet!K23)</f>
        <v/>
      </c>
      <c r="E41" s="44" t="str">
        <f>IF(Worksheet!L23="","",Worksheet!L23)</f>
        <v/>
      </c>
      <c r="F41" s="44" t="str">
        <f>IF(Worksheet!M23="","",Worksheet!M23)</f>
        <v/>
      </c>
      <c r="G41" s="44" t="str">
        <f>IF(Worksheet!N23="","",Worksheet!N23)</f>
        <v/>
      </c>
      <c r="H41" s="26" t="str">
        <f>IF(Worksheet!O23="","",Worksheet!O23)</f>
        <v/>
      </c>
      <c r="I41" s="44" t="str">
        <f>IF(Worksheet!P23="","",Worksheet!P23)</f>
        <v/>
      </c>
      <c r="J41" s="44" t="str">
        <f>IF(Worksheet!Q23="","",Worksheet!Q23)</f>
        <v/>
      </c>
      <c r="K41" s="26" t="str">
        <f>IF(Worksheet!J23="","",Worksheet!R23)</f>
        <v/>
      </c>
      <c r="L41" s="39" t="str">
        <f>IF(Worksheet!P23="","",Worksheet!V23)</f>
        <v/>
      </c>
      <c r="P41" s="19" t="str">
        <f>TEXT(Worksheet!C23,"0.0")</f>
        <v>0.0</v>
      </c>
    </row>
    <row r="42" spans="1:17" ht="15.75" x14ac:dyDescent="0.25">
      <c r="A42" s="74" t="str">
        <f>IF(Worksheet!C24="", "", Worksheet!B24 &amp; $A$2 &amp; P42)</f>
        <v/>
      </c>
      <c r="B42" s="74" t="str">
        <f>IF(Worksheet!D24="","",Worksheet!D24)</f>
        <v/>
      </c>
      <c r="C42" s="45" t="str">
        <f>IF(Worksheet!J24="","",Worksheet!J24)</f>
        <v/>
      </c>
      <c r="D42" s="45" t="str">
        <f>IF(Worksheet!K24="","",Worksheet!K24)</f>
        <v/>
      </c>
      <c r="E42" s="45" t="str">
        <f>IF(Worksheet!L24="","",Worksheet!L24)</f>
        <v/>
      </c>
      <c r="F42" s="45" t="str">
        <f>IF(Worksheet!M24="","",Worksheet!M24)</f>
        <v/>
      </c>
      <c r="G42" s="45" t="str">
        <f>IF(Worksheet!N24="","",Worksheet!N24)</f>
        <v/>
      </c>
      <c r="H42" s="74" t="str">
        <f>IF(Worksheet!O24="","",Worksheet!O24)</f>
        <v/>
      </c>
      <c r="I42" s="45" t="str">
        <f>IF(Worksheet!P24="","",Worksheet!P24)</f>
        <v/>
      </c>
      <c r="J42" s="45" t="str">
        <f>IF(Worksheet!Q24="","",Worksheet!Q24)</f>
        <v/>
      </c>
      <c r="K42" s="74" t="str">
        <f>IF(Worksheet!J24="","",Worksheet!R24)</f>
        <v/>
      </c>
      <c r="L42" s="40" t="str">
        <f>IF(Worksheet!P24="","",Worksheet!V24)</f>
        <v/>
      </c>
      <c r="P42" s="19" t="str">
        <f>TEXT(Worksheet!C24,"0.0")</f>
        <v>0.0</v>
      </c>
    </row>
    <row r="43" spans="1:17" ht="7.5" customHeight="1" x14ac:dyDescent="0.25">
      <c r="A43" s="19"/>
      <c r="B43" s="19"/>
      <c r="C43" s="19"/>
      <c r="D43" s="19"/>
      <c r="E43" s="19"/>
      <c r="F43" s="19"/>
      <c r="G43" s="19"/>
      <c r="H43" s="19"/>
      <c r="I43" s="75"/>
      <c r="J43" s="75"/>
      <c r="K43" s="19"/>
    </row>
    <row r="44" spans="1:17" ht="15.75" x14ac:dyDescent="0.25">
      <c r="A44" s="73" t="str">
        <f>IF(Worksheet!C26="", "", Worksheet!B26 &amp; $A$2 &amp; P44)</f>
        <v/>
      </c>
      <c r="B44" s="73" t="str">
        <f>IF(Worksheet!D26="","",Worksheet!D26)</f>
        <v/>
      </c>
      <c r="C44" s="43" t="str">
        <f>IF(Worksheet!J26="","",Worksheet!J26)</f>
        <v/>
      </c>
      <c r="D44" s="43" t="str">
        <f>IF(Worksheet!K26="","",Worksheet!K26)</f>
        <v/>
      </c>
      <c r="E44" s="43" t="str">
        <f>IF(Worksheet!L26="","",Worksheet!L26)</f>
        <v/>
      </c>
      <c r="F44" s="43" t="str">
        <f>IF(Worksheet!M26="","",Worksheet!M26)</f>
        <v/>
      </c>
      <c r="G44" s="43" t="str">
        <f>IF(Worksheet!N26="","",Worksheet!N26)</f>
        <v/>
      </c>
      <c r="H44" s="73" t="str">
        <f>IF(Worksheet!O26="","",Worksheet!O26)</f>
        <v/>
      </c>
      <c r="I44" s="43" t="str">
        <f>IF(Worksheet!P26="","",Worksheet!P26)</f>
        <v/>
      </c>
      <c r="J44" s="43" t="str">
        <f>IF(Worksheet!Q26="","",Worksheet!Q26)</f>
        <v/>
      </c>
      <c r="K44" s="73" t="str">
        <f>IF(Worksheet!J26="","",Worksheet!R26)</f>
        <v/>
      </c>
      <c r="L44" s="38" t="str">
        <f>IF(Worksheet!P26="","",Worksheet!V26)</f>
        <v/>
      </c>
      <c r="P44" s="19" t="str">
        <f>TEXT(Worksheet!C26,"0.0")</f>
        <v>0.0</v>
      </c>
    </row>
    <row r="45" spans="1:17" ht="15.75" x14ac:dyDescent="0.25">
      <c r="A45" s="26" t="str">
        <f>IF(Worksheet!C27="", "", Worksheet!B27 &amp; $A$2 &amp; P45)</f>
        <v/>
      </c>
      <c r="B45" s="26" t="str">
        <f>IF(Worksheet!D27="","",Worksheet!D27)</f>
        <v/>
      </c>
      <c r="C45" s="44" t="str">
        <f>IF(Worksheet!J27="","",Worksheet!J27)</f>
        <v/>
      </c>
      <c r="D45" s="44" t="str">
        <f>IF(Worksheet!K27="","",Worksheet!K27)</f>
        <v/>
      </c>
      <c r="E45" s="44" t="str">
        <f>IF(Worksheet!L27="","",Worksheet!L27)</f>
        <v/>
      </c>
      <c r="F45" s="44" t="str">
        <f>IF(Worksheet!M27="","",Worksheet!M27)</f>
        <v/>
      </c>
      <c r="G45" s="44" t="str">
        <f>IF(Worksheet!N27="","",Worksheet!N27)</f>
        <v/>
      </c>
      <c r="H45" s="26" t="str">
        <f>IF(Worksheet!O27="","",Worksheet!O27)</f>
        <v/>
      </c>
      <c r="I45" s="44" t="str">
        <f>IF(Worksheet!P27="","",Worksheet!P27)</f>
        <v/>
      </c>
      <c r="J45" s="44" t="str">
        <f>IF(Worksheet!Q27="","",Worksheet!Q27)</f>
        <v/>
      </c>
      <c r="K45" s="26" t="str">
        <f>IF(Worksheet!J27="","",Worksheet!R27)</f>
        <v/>
      </c>
      <c r="L45" s="39" t="str">
        <f>IF(Worksheet!P27="","",Worksheet!V27)</f>
        <v/>
      </c>
      <c r="P45" s="19" t="str">
        <f>TEXT(Worksheet!C27,"0.0")</f>
        <v>0.0</v>
      </c>
    </row>
    <row r="46" spans="1:17" ht="15.75" x14ac:dyDescent="0.25">
      <c r="A46" s="74" t="str">
        <f>IF(Worksheet!C28="", "", Worksheet!B28 &amp; $A$2 &amp; P46)</f>
        <v/>
      </c>
      <c r="B46" s="74" t="str">
        <f>IF(Worksheet!D28="","",Worksheet!D28)</f>
        <v/>
      </c>
      <c r="C46" s="45" t="str">
        <f>IF(Worksheet!J28="","",Worksheet!J28)</f>
        <v/>
      </c>
      <c r="D46" s="45" t="str">
        <f>IF(Worksheet!K28="","",Worksheet!K28)</f>
        <v/>
      </c>
      <c r="E46" s="45" t="str">
        <f>IF(Worksheet!L28="","",Worksheet!L28)</f>
        <v/>
      </c>
      <c r="F46" s="45" t="str">
        <f>IF(Worksheet!M28="","",Worksheet!M28)</f>
        <v/>
      </c>
      <c r="G46" s="45" t="str">
        <f>IF(Worksheet!N28="","",Worksheet!N28)</f>
        <v/>
      </c>
      <c r="H46" s="74" t="str">
        <f>IF(Worksheet!O28="","",Worksheet!O28)</f>
        <v/>
      </c>
      <c r="I46" s="45" t="str">
        <f>IF(Worksheet!P28="","",Worksheet!P28)</f>
        <v/>
      </c>
      <c r="J46" s="45" t="str">
        <f>IF(Worksheet!Q28="","",Worksheet!Q28)</f>
        <v/>
      </c>
      <c r="K46" s="74" t="str">
        <f>IF(Worksheet!J28="","",Worksheet!R28)</f>
        <v/>
      </c>
      <c r="L46" s="40" t="str">
        <f>IF(Worksheet!P28="","",Worksheet!V28)</f>
        <v/>
      </c>
      <c r="P46" s="19" t="str">
        <f>TEXT(Worksheet!C28,"0.0")</f>
        <v>0.0</v>
      </c>
    </row>
    <row r="47" spans="1:17" ht="7.5" customHeight="1" x14ac:dyDescent="0.25">
      <c r="A47" s="19"/>
      <c r="B47" s="19"/>
      <c r="C47" s="19"/>
      <c r="D47" s="19"/>
      <c r="E47" s="19"/>
      <c r="F47" s="19"/>
      <c r="G47" s="19"/>
      <c r="H47" s="19"/>
      <c r="I47" s="75"/>
      <c r="J47" s="75"/>
      <c r="K47" s="19"/>
    </row>
    <row r="48" spans="1:17" ht="15.75" x14ac:dyDescent="0.25">
      <c r="A48" s="73" t="str">
        <f>IF(Worksheet!C30="", "", Worksheet!B30 &amp; $A$2 &amp; P48)</f>
        <v/>
      </c>
      <c r="B48" s="73" t="str">
        <f>IF(Worksheet!D30="","",Worksheet!D30)</f>
        <v/>
      </c>
      <c r="C48" s="43" t="str">
        <f>IF(Worksheet!J30="","",Worksheet!J30)</f>
        <v/>
      </c>
      <c r="D48" s="43" t="str">
        <f>IF(Worksheet!K30="","",Worksheet!K30)</f>
        <v/>
      </c>
      <c r="E48" s="43" t="str">
        <f>IF(Worksheet!L30="","",Worksheet!L30)</f>
        <v/>
      </c>
      <c r="F48" s="43" t="str">
        <f>IF(Worksheet!M30="","",Worksheet!M30)</f>
        <v/>
      </c>
      <c r="G48" s="43" t="str">
        <f>IF(Worksheet!N30="","",Worksheet!N30)</f>
        <v/>
      </c>
      <c r="H48" s="73" t="str">
        <f>IF(Worksheet!O30="","",Worksheet!O30)</f>
        <v/>
      </c>
      <c r="I48" s="43" t="str">
        <f>IF(Worksheet!P30="","",Worksheet!P30)</f>
        <v/>
      </c>
      <c r="J48" s="43" t="str">
        <f>IF(Worksheet!Q30="","",Worksheet!Q30)</f>
        <v/>
      </c>
      <c r="K48" s="73" t="str">
        <f>IF(Worksheet!J30="","",Worksheet!R30)</f>
        <v/>
      </c>
      <c r="L48" s="38" t="str">
        <f>IF(Worksheet!P30="","",Worksheet!V30)</f>
        <v/>
      </c>
      <c r="P48" s="19" t="str">
        <f>TEXT(Worksheet!C30,"0.0")</f>
        <v>0.0</v>
      </c>
    </row>
    <row r="49" spans="1:16" ht="15.75" x14ac:dyDescent="0.25">
      <c r="A49" s="26" t="str">
        <f>IF(Worksheet!C31="", "", Worksheet!B31 &amp; $A$2 &amp; P49)</f>
        <v/>
      </c>
      <c r="B49" s="26" t="str">
        <f>IF(Worksheet!D31="","",Worksheet!D31)</f>
        <v/>
      </c>
      <c r="C49" s="44" t="str">
        <f>IF(Worksheet!J31="","",Worksheet!J31)</f>
        <v/>
      </c>
      <c r="D49" s="44" t="str">
        <f>IF(Worksheet!K31="","",Worksheet!K31)</f>
        <v/>
      </c>
      <c r="E49" s="44" t="str">
        <f>IF(Worksheet!L31="","",Worksheet!L31)</f>
        <v/>
      </c>
      <c r="F49" s="44" t="str">
        <f>IF(Worksheet!M31="","",Worksheet!M31)</f>
        <v/>
      </c>
      <c r="G49" s="44" t="str">
        <f>IF(Worksheet!N31="","",Worksheet!N31)</f>
        <v/>
      </c>
      <c r="H49" s="26" t="str">
        <f>IF(Worksheet!O31="","",Worksheet!O31)</f>
        <v/>
      </c>
      <c r="I49" s="44" t="str">
        <f>IF(Worksheet!P31="","",Worksheet!P31)</f>
        <v/>
      </c>
      <c r="J49" s="44" t="str">
        <f>IF(Worksheet!Q31="","",Worksheet!Q31)</f>
        <v/>
      </c>
      <c r="K49" s="26" t="str">
        <f>IF(Worksheet!J31="","",Worksheet!R31)</f>
        <v/>
      </c>
      <c r="L49" s="39" t="str">
        <f>IF(Worksheet!P31="","",Worksheet!V31)</f>
        <v/>
      </c>
      <c r="P49" s="19" t="str">
        <f>TEXT(Worksheet!C31,"0.0")</f>
        <v>0.0</v>
      </c>
    </row>
    <row r="50" spans="1:16" ht="15.75" x14ac:dyDescent="0.25">
      <c r="A50" s="74" t="str">
        <f>IF(Worksheet!C32="", "", Worksheet!B32 &amp; $A$2 &amp; P50)</f>
        <v/>
      </c>
      <c r="B50" s="74" t="str">
        <f>IF(Worksheet!D32="","",Worksheet!D32)</f>
        <v/>
      </c>
      <c r="C50" s="45" t="str">
        <f>IF(Worksheet!J32="","",Worksheet!J32)</f>
        <v/>
      </c>
      <c r="D50" s="45" t="str">
        <f>IF(Worksheet!K32="","",Worksheet!K32)</f>
        <v/>
      </c>
      <c r="E50" s="45" t="str">
        <f>IF(Worksheet!L32="","",Worksheet!L32)</f>
        <v/>
      </c>
      <c r="F50" s="45" t="str">
        <f>IF(Worksheet!M32="","",Worksheet!M32)</f>
        <v/>
      </c>
      <c r="G50" s="45" t="str">
        <f>IF(Worksheet!N32="","",Worksheet!N32)</f>
        <v/>
      </c>
      <c r="H50" s="74" t="str">
        <f>IF(Worksheet!O32="","",Worksheet!O32)</f>
        <v/>
      </c>
      <c r="I50" s="45" t="str">
        <f>IF(Worksheet!P32="","",Worksheet!P32)</f>
        <v/>
      </c>
      <c r="J50" s="45" t="str">
        <f>IF(Worksheet!Q32="","",Worksheet!Q32)</f>
        <v/>
      </c>
      <c r="K50" s="74" t="str">
        <f>IF(Worksheet!J32="","",Worksheet!R32)</f>
        <v/>
      </c>
      <c r="L50" s="40" t="str">
        <f>IF(Worksheet!P32="","",Worksheet!V32)</f>
        <v/>
      </c>
      <c r="P50" s="19" t="str">
        <f>TEXT(Worksheet!C32,"0.0")</f>
        <v>0.0</v>
      </c>
    </row>
    <row r="51" spans="1:16" ht="7.5" customHeight="1" x14ac:dyDescent="0.25">
      <c r="A51" s="19"/>
      <c r="B51" s="19"/>
      <c r="C51" s="19"/>
      <c r="D51" s="19"/>
      <c r="E51" s="19"/>
      <c r="F51" s="19"/>
      <c r="G51" s="19"/>
      <c r="H51" s="19"/>
      <c r="I51" s="75"/>
      <c r="J51" s="75"/>
      <c r="K51" s="19"/>
    </row>
    <row r="52" spans="1:16" ht="15.75" x14ac:dyDescent="0.25">
      <c r="A52" s="73" t="str">
        <f>IF(Worksheet!C34="", "", Worksheet!B34 &amp; $A$2 &amp; P52)</f>
        <v/>
      </c>
      <c r="B52" s="73" t="str">
        <f>IF(Worksheet!D34="","",Worksheet!D34)</f>
        <v/>
      </c>
      <c r="C52" s="43" t="str">
        <f>IF(Worksheet!J34="","",Worksheet!J34)</f>
        <v/>
      </c>
      <c r="D52" s="43" t="str">
        <f>IF(Worksheet!K34="","",Worksheet!K34)</f>
        <v/>
      </c>
      <c r="E52" s="43" t="str">
        <f>IF(Worksheet!L34="","",Worksheet!L34)</f>
        <v/>
      </c>
      <c r="F52" s="43" t="str">
        <f>IF(Worksheet!M34="","",Worksheet!M34)</f>
        <v/>
      </c>
      <c r="G52" s="43" t="str">
        <f>IF(Worksheet!N34="","",Worksheet!N34)</f>
        <v/>
      </c>
      <c r="H52" s="73" t="str">
        <f>IF(Worksheet!O34="","",Worksheet!O34)</f>
        <v/>
      </c>
      <c r="I52" s="43" t="str">
        <f>IF(Worksheet!P34="","",Worksheet!P34)</f>
        <v/>
      </c>
      <c r="J52" s="43" t="str">
        <f>IF(Worksheet!Q34="","",Worksheet!Q34)</f>
        <v/>
      </c>
      <c r="K52" s="73" t="str">
        <f>IF(Worksheet!J34="","",Worksheet!R34)</f>
        <v/>
      </c>
      <c r="L52" s="38" t="str">
        <f>IF(Worksheet!P34="","",Worksheet!V34)</f>
        <v/>
      </c>
      <c r="P52" s="19" t="str">
        <f>TEXT(Worksheet!C34,"0.0")</f>
        <v>0.0</v>
      </c>
    </row>
    <row r="53" spans="1:16" ht="15.75" x14ac:dyDescent="0.25">
      <c r="A53" s="26" t="str">
        <f>IF(Worksheet!C35="", "", Worksheet!B35 &amp; $A$2 &amp; P53)</f>
        <v/>
      </c>
      <c r="B53" s="26" t="str">
        <f>IF(Worksheet!D35="","",Worksheet!D35)</f>
        <v/>
      </c>
      <c r="C53" s="44" t="str">
        <f>IF(Worksheet!J35="","",Worksheet!J35)</f>
        <v/>
      </c>
      <c r="D53" s="44" t="str">
        <f>IF(Worksheet!K35="","",Worksheet!K35)</f>
        <v/>
      </c>
      <c r="E53" s="44" t="str">
        <f>IF(Worksheet!L35="","",Worksheet!L35)</f>
        <v/>
      </c>
      <c r="F53" s="44" t="str">
        <f>IF(Worksheet!M35="","",Worksheet!M35)</f>
        <v/>
      </c>
      <c r="G53" s="44" t="str">
        <f>IF(Worksheet!N35="","",Worksheet!N35)</f>
        <v/>
      </c>
      <c r="H53" s="26" t="str">
        <f>IF(Worksheet!O35="","",Worksheet!O35)</f>
        <v/>
      </c>
      <c r="I53" s="44" t="str">
        <f>IF(Worksheet!P35="","",Worksheet!P35)</f>
        <v/>
      </c>
      <c r="J53" s="44" t="str">
        <f>IF(Worksheet!Q35="","",Worksheet!Q35)</f>
        <v/>
      </c>
      <c r="K53" s="26" t="str">
        <f>IF(Worksheet!J35="","",Worksheet!R35)</f>
        <v/>
      </c>
      <c r="L53" s="39" t="str">
        <f>IF(Worksheet!P35="","",Worksheet!V35)</f>
        <v/>
      </c>
      <c r="P53" s="19" t="str">
        <f>TEXT(Worksheet!C35,"0.0")</f>
        <v>0.0</v>
      </c>
    </row>
    <row r="54" spans="1:16" ht="15.75" x14ac:dyDescent="0.25">
      <c r="A54" s="74" t="str">
        <f>IF(Worksheet!C36="", "", Worksheet!B36 &amp; $A$2 &amp; P54)</f>
        <v/>
      </c>
      <c r="B54" s="74" t="str">
        <f>IF(Worksheet!D36="","",Worksheet!D36)</f>
        <v/>
      </c>
      <c r="C54" s="45" t="str">
        <f>IF(Worksheet!J36="","",Worksheet!J36)</f>
        <v/>
      </c>
      <c r="D54" s="45" t="str">
        <f>IF(Worksheet!K36="","",Worksheet!K36)</f>
        <v/>
      </c>
      <c r="E54" s="45" t="str">
        <f>IF(Worksheet!L36="","",Worksheet!L36)</f>
        <v/>
      </c>
      <c r="F54" s="45" t="str">
        <f>IF(Worksheet!M36="","",Worksheet!M36)</f>
        <v/>
      </c>
      <c r="G54" s="45" t="str">
        <f>IF(Worksheet!N36="","",Worksheet!N36)</f>
        <v/>
      </c>
      <c r="H54" s="74" t="str">
        <f>IF(Worksheet!O36="","",Worksheet!O36)</f>
        <v/>
      </c>
      <c r="I54" s="45" t="str">
        <f>IF(Worksheet!P36="","",Worksheet!P36)</f>
        <v/>
      </c>
      <c r="J54" s="45" t="str">
        <f>IF(Worksheet!Q36="","",Worksheet!Q36)</f>
        <v/>
      </c>
      <c r="K54" s="74" t="str">
        <f>IF(Worksheet!J36="","",Worksheet!R36)</f>
        <v/>
      </c>
      <c r="L54" s="40" t="str">
        <f>IF(Worksheet!P36="","",Worksheet!V36)</f>
        <v/>
      </c>
      <c r="P54" s="19" t="str">
        <f>TEXT(Worksheet!C36,"0.0")</f>
        <v>0.0</v>
      </c>
    </row>
    <row r="55" spans="1:16" ht="7.5" customHeight="1" x14ac:dyDescent="0.25">
      <c r="A55" s="19"/>
      <c r="B55" s="19"/>
      <c r="C55" s="19"/>
      <c r="D55" s="19"/>
      <c r="E55" s="19"/>
      <c r="F55" s="19"/>
      <c r="G55" s="19"/>
      <c r="H55" s="19"/>
      <c r="I55" s="75"/>
      <c r="J55" s="75"/>
      <c r="K55" s="19"/>
    </row>
    <row r="56" spans="1:16" ht="15.75" x14ac:dyDescent="0.25">
      <c r="A56" s="73" t="str">
        <f>IF(Worksheet!C38="", "", Worksheet!B38 &amp; $A$2 &amp; P56)</f>
        <v/>
      </c>
      <c r="B56" s="73" t="str">
        <f>IF(Worksheet!D38="","",Worksheet!D38)</f>
        <v/>
      </c>
      <c r="C56" s="43" t="str">
        <f>IF(Worksheet!J38="","",Worksheet!J38)</f>
        <v/>
      </c>
      <c r="D56" s="43" t="str">
        <f>IF(Worksheet!K38="","",Worksheet!K38)</f>
        <v/>
      </c>
      <c r="E56" s="43" t="str">
        <f>IF(Worksheet!L38="","",Worksheet!L38)</f>
        <v/>
      </c>
      <c r="F56" s="43" t="str">
        <f>IF(Worksheet!M38="","",Worksheet!M38)</f>
        <v/>
      </c>
      <c r="G56" s="43" t="str">
        <f>IF(Worksheet!N38="","",Worksheet!N38)</f>
        <v/>
      </c>
      <c r="H56" s="73" t="str">
        <f>IF(Worksheet!O38="","",Worksheet!O38)</f>
        <v/>
      </c>
      <c r="I56" s="43" t="str">
        <f>IF(Worksheet!P38="","",Worksheet!P38)</f>
        <v/>
      </c>
      <c r="J56" s="43" t="str">
        <f>IF(Worksheet!Q38="","",Worksheet!Q38)</f>
        <v/>
      </c>
      <c r="K56" s="73" t="str">
        <f>IF(Worksheet!J38="","",Worksheet!R38)</f>
        <v/>
      </c>
      <c r="L56" s="38" t="str">
        <f>IF(Worksheet!P38="","",Worksheet!V38)</f>
        <v/>
      </c>
      <c r="P56" s="19" t="str">
        <f>TEXT(Worksheet!C38,"0.0")</f>
        <v>0.0</v>
      </c>
    </row>
    <row r="57" spans="1:16" ht="15.75" x14ac:dyDescent="0.25">
      <c r="A57" s="26" t="str">
        <f>IF(Worksheet!C39="", "", Worksheet!B39 &amp; $A$2 &amp; P57)</f>
        <v/>
      </c>
      <c r="B57" s="26" t="str">
        <f>IF(Worksheet!D39="","",Worksheet!D39)</f>
        <v/>
      </c>
      <c r="C57" s="44" t="str">
        <f>IF(Worksheet!J39="","",Worksheet!J39)</f>
        <v/>
      </c>
      <c r="D57" s="44" t="str">
        <f>IF(Worksheet!K39="","",Worksheet!K39)</f>
        <v/>
      </c>
      <c r="E57" s="44" t="str">
        <f>IF(Worksheet!L39="","",Worksheet!L39)</f>
        <v/>
      </c>
      <c r="F57" s="44" t="str">
        <f>IF(Worksheet!M39="","",Worksheet!M39)</f>
        <v/>
      </c>
      <c r="G57" s="44" t="str">
        <f>IF(Worksheet!N39="","",Worksheet!N39)</f>
        <v/>
      </c>
      <c r="H57" s="26" t="str">
        <f>IF(Worksheet!O39="","",Worksheet!O39)</f>
        <v/>
      </c>
      <c r="I57" s="44" t="str">
        <f>IF(Worksheet!P39="","",Worksheet!P39)</f>
        <v/>
      </c>
      <c r="J57" s="44" t="str">
        <f>IF(Worksheet!Q39="","",Worksheet!Q39)</f>
        <v/>
      </c>
      <c r="K57" s="26" t="str">
        <f>IF(Worksheet!J39="","",Worksheet!R39)</f>
        <v/>
      </c>
      <c r="L57" s="39" t="str">
        <f>IF(Worksheet!P39="","",Worksheet!V39)</f>
        <v/>
      </c>
      <c r="P57" s="19" t="str">
        <f>TEXT(Worksheet!C39,"0.0")</f>
        <v>0.0</v>
      </c>
    </row>
    <row r="58" spans="1:16" ht="15.75" x14ac:dyDescent="0.25">
      <c r="A58" s="74" t="str">
        <f>IF(Worksheet!C40="", "", Worksheet!B40 &amp; $A$2 &amp; P58)</f>
        <v/>
      </c>
      <c r="B58" s="74" t="str">
        <f>IF(Worksheet!D40="","",Worksheet!D40)</f>
        <v/>
      </c>
      <c r="C58" s="45" t="str">
        <f>IF(Worksheet!J40="","",Worksheet!J40)</f>
        <v/>
      </c>
      <c r="D58" s="45" t="str">
        <f>IF(Worksheet!K40="","",Worksheet!K40)</f>
        <v/>
      </c>
      <c r="E58" s="45" t="str">
        <f>IF(Worksheet!L40="","",Worksheet!L40)</f>
        <v/>
      </c>
      <c r="F58" s="45" t="str">
        <f>IF(Worksheet!M40="","",Worksheet!M40)</f>
        <v/>
      </c>
      <c r="G58" s="45" t="str">
        <f>IF(Worksheet!N40="","",Worksheet!N40)</f>
        <v/>
      </c>
      <c r="H58" s="74" t="str">
        <f>IF(Worksheet!O40="","",Worksheet!O40)</f>
        <v/>
      </c>
      <c r="I58" s="45" t="str">
        <f>IF(Worksheet!P40="","",Worksheet!P40)</f>
        <v/>
      </c>
      <c r="J58" s="45" t="str">
        <f>IF(Worksheet!Q40="","",Worksheet!Q40)</f>
        <v/>
      </c>
      <c r="K58" s="74" t="str">
        <f>IF(Worksheet!J40="","",Worksheet!R40)</f>
        <v/>
      </c>
      <c r="L58" s="40" t="str">
        <f>IF(Worksheet!P40="","",Worksheet!V40)</f>
        <v/>
      </c>
      <c r="P58" s="19" t="str">
        <f>TEXT(Worksheet!C40,"0.0")</f>
        <v>0.0</v>
      </c>
    </row>
    <row r="59" spans="1:16" ht="7.5" customHeight="1" x14ac:dyDescent="0.25">
      <c r="A59" s="19"/>
      <c r="B59" s="19"/>
      <c r="C59" s="19"/>
      <c r="D59" s="19"/>
      <c r="E59" s="19"/>
      <c r="F59" s="19"/>
      <c r="G59" s="19"/>
      <c r="H59" s="19"/>
      <c r="I59" s="75"/>
      <c r="J59" s="75"/>
      <c r="K59" s="19"/>
    </row>
    <row r="60" spans="1:16" ht="15.75" x14ac:dyDescent="0.25">
      <c r="A60" s="73" t="str">
        <f>IF(Worksheet!C42="", "", Worksheet!B42 &amp; $A$2 &amp; P60)</f>
        <v/>
      </c>
      <c r="B60" s="73" t="str">
        <f>IF(Worksheet!D42="","",Worksheet!D42)</f>
        <v/>
      </c>
      <c r="C60" s="43" t="str">
        <f>IF(Worksheet!J42="","",Worksheet!J42)</f>
        <v/>
      </c>
      <c r="D60" s="43" t="str">
        <f>IF(Worksheet!K42="","",Worksheet!K42)</f>
        <v/>
      </c>
      <c r="E60" s="43" t="str">
        <f>IF(Worksheet!L42="","",Worksheet!L42)</f>
        <v/>
      </c>
      <c r="F60" s="43" t="str">
        <f>IF(Worksheet!M42="","",Worksheet!M42)</f>
        <v/>
      </c>
      <c r="G60" s="43" t="str">
        <f>IF(Worksheet!N42="","",Worksheet!N42)</f>
        <v/>
      </c>
      <c r="H60" s="73" t="str">
        <f>IF(Worksheet!O42="","",Worksheet!O42)</f>
        <v/>
      </c>
      <c r="I60" s="43" t="str">
        <f>IF(Worksheet!P42="","",Worksheet!P42)</f>
        <v/>
      </c>
      <c r="J60" s="43" t="str">
        <f>IF(Worksheet!Q42="","",Worksheet!Q42)</f>
        <v/>
      </c>
      <c r="K60" s="73" t="str">
        <f>IF(Worksheet!J42="","",Worksheet!R42)</f>
        <v/>
      </c>
      <c r="L60" s="38" t="str">
        <f>IF(Worksheet!P42="","",Worksheet!V42)</f>
        <v/>
      </c>
      <c r="P60" s="19" t="str">
        <f>TEXT(Worksheet!C42,"0.0")</f>
        <v>0.0</v>
      </c>
    </row>
    <row r="61" spans="1:16" ht="15.75" x14ac:dyDescent="0.25">
      <c r="A61" s="26" t="str">
        <f>IF(Worksheet!C43="", "", Worksheet!B43 &amp; $A$2 &amp; P61)</f>
        <v/>
      </c>
      <c r="B61" s="26" t="str">
        <f>IF(Worksheet!D43="","",Worksheet!D43)</f>
        <v/>
      </c>
      <c r="C61" s="44" t="str">
        <f>IF(Worksheet!J43="","",Worksheet!J43)</f>
        <v/>
      </c>
      <c r="D61" s="44" t="str">
        <f>IF(Worksheet!K43="","",Worksheet!K43)</f>
        <v/>
      </c>
      <c r="E61" s="44" t="str">
        <f>IF(Worksheet!L43="","",Worksheet!L43)</f>
        <v/>
      </c>
      <c r="F61" s="44" t="str">
        <f>IF(Worksheet!M43="","",Worksheet!M43)</f>
        <v/>
      </c>
      <c r="G61" s="44" t="str">
        <f>IF(Worksheet!N43="","",Worksheet!N43)</f>
        <v/>
      </c>
      <c r="H61" s="26" t="str">
        <f>IF(Worksheet!O43="","",Worksheet!O43)</f>
        <v/>
      </c>
      <c r="I61" s="44" t="str">
        <f>IF(Worksheet!P43="","",Worksheet!P43)</f>
        <v/>
      </c>
      <c r="J61" s="44" t="str">
        <f>IF(Worksheet!Q43="","",Worksheet!Q43)</f>
        <v/>
      </c>
      <c r="K61" s="26" t="str">
        <f>IF(Worksheet!J43="","",Worksheet!R43)</f>
        <v/>
      </c>
      <c r="L61" s="39" t="str">
        <f>IF(Worksheet!P43="","",Worksheet!V43)</f>
        <v/>
      </c>
      <c r="P61" s="19" t="str">
        <f>TEXT(Worksheet!C43,"0.0")</f>
        <v>0.0</v>
      </c>
    </row>
    <row r="62" spans="1:16" ht="15.75" x14ac:dyDescent="0.25">
      <c r="A62" s="74" t="str">
        <f>IF(Worksheet!C44="", "", Worksheet!B44 &amp; $A$2 &amp; P62)</f>
        <v/>
      </c>
      <c r="B62" s="74" t="str">
        <f>IF(Worksheet!D44="","",Worksheet!D44)</f>
        <v/>
      </c>
      <c r="C62" s="45" t="str">
        <f>IF(Worksheet!J44="","",Worksheet!J44)</f>
        <v/>
      </c>
      <c r="D62" s="45" t="str">
        <f>IF(Worksheet!K44="","",Worksheet!K44)</f>
        <v/>
      </c>
      <c r="E62" s="45" t="str">
        <f>IF(Worksheet!L44="","",Worksheet!L44)</f>
        <v/>
      </c>
      <c r="F62" s="45" t="str">
        <f>IF(Worksheet!M44="","",Worksheet!M44)</f>
        <v/>
      </c>
      <c r="G62" s="45" t="str">
        <f>IF(Worksheet!N44="","",Worksheet!N44)</f>
        <v/>
      </c>
      <c r="H62" s="74" t="str">
        <f>IF(Worksheet!O44="","",Worksheet!O44)</f>
        <v/>
      </c>
      <c r="I62" s="45" t="str">
        <f>IF(Worksheet!P44="","",Worksheet!P44)</f>
        <v/>
      </c>
      <c r="J62" s="45" t="str">
        <f>IF(Worksheet!Q44="","",Worksheet!Q44)</f>
        <v/>
      </c>
      <c r="K62" s="74" t="str">
        <f>IF(Worksheet!J44="","",Worksheet!R44)</f>
        <v/>
      </c>
      <c r="L62" s="40" t="str">
        <f>IF(Worksheet!P44="","",Worksheet!V44)</f>
        <v/>
      </c>
      <c r="P62" s="19" t="str">
        <f>TEXT(Worksheet!C44,"0.0")</f>
        <v>0.0</v>
      </c>
    </row>
    <row r="63" spans="1:16" ht="8.1" customHeight="1" x14ac:dyDescent="0.25">
      <c r="A63" s="19"/>
      <c r="B63" s="19"/>
      <c r="C63" s="19"/>
      <c r="D63" s="19"/>
      <c r="E63" s="19"/>
      <c r="F63" s="19"/>
      <c r="G63" s="19"/>
      <c r="H63" s="19"/>
      <c r="I63" s="19"/>
      <c r="J63" s="19"/>
      <c r="K63" s="19"/>
    </row>
  </sheetData>
  <sheetProtection algorithmName="SHA-512" hashValue="FkVO46sivHriBLJ2Tjik892EcAbMF+Wn8EVGem4rGOitW7Kmjqwgo6vO0SM6657pZIQssZYu4vXXh1lgg9yS0w==" saltValue="wYv+M/S/wUicmc9NfjOxNw==" spinCount="100000" sheet="1" objects="1" scenarios="1"/>
  <dataConsolidate/>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A1:BB90"/>
  <sheetViews>
    <sheetView showGridLines="0" view="pageBreakPreview" topLeftCell="A42" zoomScaleNormal="100" zoomScaleSheetLayoutView="100" workbookViewId="0">
      <selection activeCell="Q61" sqref="Q61"/>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22" t="s">
        <v>87</v>
      </c>
      <c r="C1" s="122"/>
      <c r="D1" s="122"/>
      <c r="E1" s="122"/>
      <c r="F1" s="122"/>
      <c r="G1" s="122"/>
      <c r="H1" s="122"/>
      <c r="I1" s="122"/>
      <c r="J1" s="122"/>
      <c r="K1" s="122"/>
    </row>
    <row r="2" spans="1:54" ht="18.75" x14ac:dyDescent="0.3">
      <c r="B2" s="135" t="s">
        <v>88</v>
      </c>
      <c r="C2" s="135"/>
      <c r="D2" s="135"/>
      <c r="E2" s="135"/>
      <c r="F2" s="135"/>
      <c r="G2" s="135"/>
      <c r="H2" s="135"/>
      <c r="I2" s="135"/>
      <c r="J2" s="135"/>
      <c r="K2" s="135"/>
      <c r="AG2" s="113"/>
      <c r="AH2" s="113"/>
      <c r="AJ2" s="113"/>
      <c r="AK2" s="113"/>
      <c r="AM2" s="113"/>
      <c r="AN2" s="113"/>
      <c r="AP2" s="113"/>
      <c r="AQ2" s="113"/>
      <c r="AR2" s="18"/>
      <c r="AS2" s="113"/>
      <c r="AT2" s="113"/>
    </row>
    <row r="3" spans="1:54" ht="18.75" x14ac:dyDescent="0.3">
      <c r="B3" s="135" t="s">
        <v>89</v>
      </c>
      <c r="C3" s="135"/>
      <c r="D3" s="135"/>
      <c r="E3" s="135"/>
      <c r="F3" s="135"/>
      <c r="G3" s="135"/>
      <c r="H3" s="135"/>
      <c r="I3" s="135"/>
      <c r="J3" s="135"/>
      <c r="K3" s="135"/>
    </row>
    <row r="4" spans="1:54" ht="23.25" x14ac:dyDescent="0.35">
      <c r="B4" s="70"/>
      <c r="C4" s="71"/>
      <c r="D4" s="137" t="s">
        <v>126</v>
      </c>
      <c r="E4" s="137"/>
      <c r="F4" s="137"/>
      <c r="G4" s="137"/>
      <c r="H4" s="137"/>
      <c r="I4" s="137"/>
      <c r="J4" s="70"/>
      <c r="K4" s="70"/>
    </row>
    <row r="5" spans="1:54" ht="18.75" x14ac:dyDescent="0.3">
      <c r="E5" s="138"/>
      <c r="F5" s="138"/>
      <c r="G5" s="138"/>
      <c r="H5" s="138"/>
      <c r="Y5" s="52"/>
      <c r="AA5" s="3"/>
      <c r="AB5" s="3"/>
      <c r="AC5" s="3"/>
      <c r="AD5" s="3"/>
      <c r="AE5" s="3"/>
      <c r="AF5" s="3"/>
      <c r="BB5" s="4"/>
    </row>
    <row r="6" spans="1:54" ht="15.75" x14ac:dyDescent="0.25">
      <c r="A6" s="1" t="s">
        <v>90</v>
      </c>
      <c r="B6" s="20" t="str">
        <f>IF(Worksheet!D3="","",Worksheet!D3)</f>
        <v/>
      </c>
      <c r="C6" s="4"/>
      <c r="D6" s="1"/>
      <c r="F6" s="136" t="s">
        <v>127</v>
      </c>
      <c r="G6" s="136"/>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f>IF(Worksheet!D5="","",Worksheet!D5)</f>
        <v>0</v>
      </c>
      <c r="H11" s="1" t="s">
        <v>19</v>
      </c>
      <c r="J11" s="134" t="str">
        <f>IF(Worksheet!N5="","",Worksheet!N5)</f>
        <v/>
      </c>
      <c r="K11" s="134"/>
    </row>
    <row r="12" spans="1:54" ht="15.75" x14ac:dyDescent="0.25">
      <c r="A12" s="1" t="s">
        <v>96</v>
      </c>
      <c r="B12" s="20" t="str">
        <f>IF(Worksheet!D6="","",Worksheet!D6)</f>
        <v/>
      </c>
      <c r="H12" s="1" t="s">
        <v>25</v>
      </c>
      <c r="J12" s="139" t="str">
        <f>IF(Worksheet!N6="","",Worksheet!N6)</f>
        <v/>
      </c>
      <c r="K12" s="139"/>
    </row>
    <row r="13" spans="1:54" ht="15.75" x14ac:dyDescent="0.25">
      <c r="A13" s="1" t="s">
        <v>97</v>
      </c>
      <c r="B13" s="20" t="str">
        <f>IF(Worksheet!D7="","",Worksheet!I7)</f>
        <v>0 0</v>
      </c>
      <c r="H13" s="1" t="s">
        <v>30</v>
      </c>
      <c r="J13" s="139" t="str">
        <f>IF(Worksheet!N7="","",Worksheet!N7)</f>
        <v/>
      </c>
      <c r="K13" s="139"/>
    </row>
    <row r="14" spans="1:54" ht="15.75" x14ac:dyDescent="0.25">
      <c r="A14" s="1" t="s">
        <v>98</v>
      </c>
      <c r="B14" s="20">
        <f>IF(Worksheet!D8="","",Worksheet!D8)</f>
        <v>0</v>
      </c>
      <c r="D14" s="4" t="str">
        <f>IF(Worksheet!G3="","","Customer PO: ")</f>
        <v/>
      </c>
      <c r="E14" s="1" t="str">
        <f>IF(Worksheet!G3="","",Worksheet!G3)</f>
        <v/>
      </c>
      <c r="H14" s="1" t="s">
        <v>34</v>
      </c>
      <c r="J14" s="140" t="str">
        <f>IF(Worksheet!N8="","",Worksheet!N8)</f>
        <v/>
      </c>
      <c r="K14" s="140"/>
    </row>
    <row r="15" spans="1:54" ht="15.75" x14ac:dyDescent="0.25">
      <c r="A15" s="1" t="s">
        <v>99</v>
      </c>
      <c r="B15" s="20" t="str">
        <f>IF(Worksheet!D9="","",Worksheet!D9)</f>
        <v/>
      </c>
      <c r="D15" t="str">
        <f>IF(Worksheet!J9="YES","Tested on Site","")</f>
        <v/>
      </c>
      <c r="H15" s="1" t="s">
        <v>39</v>
      </c>
      <c r="J15" s="141" t="str">
        <f>IF(Worksheet!N9="","",Worksheet!N9)</f>
        <v/>
      </c>
      <c r="K15" s="141"/>
    </row>
    <row r="16" spans="1:54" ht="15" customHeight="1" x14ac:dyDescent="0.25">
      <c r="A16" s="113" t="s">
        <v>100</v>
      </c>
      <c r="B16" s="113"/>
      <c r="C16" s="113"/>
      <c r="D16" s="113"/>
      <c r="E16" s="113"/>
      <c r="F16" s="113"/>
      <c r="G16" s="113"/>
      <c r="H16" s="113"/>
      <c r="I16" s="113"/>
      <c r="J16" s="113"/>
      <c r="K16" s="113"/>
      <c r="L16" s="113"/>
      <c r="M16" s="113"/>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13" t="s">
        <v>100</v>
      </c>
      <c r="B19" s="113"/>
      <c r="C19" s="113"/>
      <c r="D19" s="113"/>
      <c r="E19" s="113"/>
      <c r="F19" s="113"/>
      <c r="G19" s="113"/>
      <c r="H19" s="113"/>
      <c r="I19" s="113"/>
      <c r="J19" s="113"/>
      <c r="K19" s="113"/>
      <c r="L19" s="113"/>
      <c r="M19" s="113"/>
    </row>
    <row r="20" spans="1:17" x14ac:dyDescent="0.25">
      <c r="A20" s="94" t="s">
        <v>104</v>
      </c>
      <c r="B20" s="94" t="s">
        <v>53</v>
      </c>
      <c r="C20" s="15" t="s">
        <v>56</v>
      </c>
      <c r="D20" s="15" t="s">
        <v>57</v>
      </c>
      <c r="E20" s="15"/>
      <c r="F20" s="15"/>
      <c r="G20" s="15"/>
      <c r="H20" s="15" t="s">
        <v>61</v>
      </c>
      <c r="I20" s="15" t="s">
        <v>62</v>
      </c>
      <c r="J20" s="15" t="s">
        <v>63</v>
      </c>
      <c r="K20" s="35" t="s">
        <v>64</v>
      </c>
      <c r="L20" s="15" t="s">
        <v>105</v>
      </c>
    </row>
    <row r="21" spans="1:17" ht="15.75" x14ac:dyDescent="0.25">
      <c r="A21" s="91" t="str" cm="1">
        <f t="array" ref="A21">IF(_xlfn._xlws.FILTER('Filter Cert Data'!A6:L8,'Filter Cert Data'!A6:A8&lt;&gt;"","")="", "", _xlfn._xlws.FILTER('Filter Cert Data'!A6:L8,'Filter Cert Data'!A6:A8&lt;&gt;""))</f>
        <v/>
      </c>
      <c r="B21" s="73"/>
      <c r="C21" s="43"/>
      <c r="D21" s="43"/>
      <c r="E21" s="43"/>
      <c r="F21" s="43"/>
      <c r="G21" s="43"/>
      <c r="H21" s="73"/>
      <c r="I21" s="43"/>
      <c r="J21" s="43"/>
      <c r="K21" s="73"/>
      <c r="L21" s="38"/>
      <c r="N21" s="37"/>
      <c r="P21" s="19"/>
      <c r="Q21" s="19"/>
    </row>
    <row r="22" spans="1:17" ht="15.75" x14ac:dyDescent="0.25">
      <c r="A22" s="92"/>
      <c r="B22" s="26"/>
      <c r="C22" s="44"/>
      <c r="D22" s="44"/>
      <c r="E22" s="44"/>
      <c r="F22" s="44"/>
      <c r="G22" s="44"/>
      <c r="H22" s="26"/>
      <c r="I22" s="44"/>
      <c r="J22" s="44"/>
      <c r="K22" s="26"/>
      <c r="L22" s="39"/>
      <c r="P22" s="19"/>
      <c r="Q22" s="19"/>
    </row>
    <row r="23" spans="1:17" ht="15.75" x14ac:dyDescent="0.25">
      <c r="A23" s="93"/>
      <c r="B23" s="74"/>
      <c r="C23" s="45"/>
      <c r="D23" s="45"/>
      <c r="E23" s="45"/>
      <c r="F23" s="45"/>
      <c r="G23" s="45"/>
      <c r="H23" s="74"/>
      <c r="I23" s="45"/>
      <c r="J23" s="45"/>
      <c r="K23" s="74"/>
      <c r="L23" s="40"/>
      <c r="P23" s="19"/>
      <c r="Q23" s="19"/>
    </row>
    <row r="24" spans="1:17" ht="8.1" customHeight="1" x14ac:dyDescent="0.25">
      <c r="A24" s="19"/>
      <c r="B24" s="19"/>
      <c r="C24" s="19"/>
      <c r="D24" s="19"/>
      <c r="E24" s="19"/>
      <c r="F24" s="19"/>
      <c r="G24" s="19"/>
      <c r="H24" s="19"/>
      <c r="I24" s="75"/>
      <c r="J24" s="75"/>
      <c r="K24" s="19"/>
    </row>
    <row r="25" spans="1:17" ht="15.75" x14ac:dyDescent="0.25">
      <c r="A25" s="91" t="str" cm="1">
        <f t="array" ref="A25">IF(_xlfn._xlws.FILTER('Filter Cert Data'!A10:L12,'Filter Cert Data'!A10:A12&lt;&gt;"","")="", "", _xlfn._xlws.FILTER('Filter Cert Data'!A10:L12,'Filter Cert Data'!A10:A12&lt;&gt;""))</f>
        <v/>
      </c>
      <c r="B25" s="73"/>
      <c r="C25" s="43"/>
      <c r="D25" s="43"/>
      <c r="E25" s="43"/>
      <c r="F25" s="43"/>
      <c r="G25" s="43"/>
      <c r="H25" s="73"/>
      <c r="I25" s="43"/>
      <c r="J25" s="43"/>
      <c r="K25" s="73"/>
      <c r="L25" s="38"/>
      <c r="P25" s="19"/>
    </row>
    <row r="26" spans="1:17" ht="15.75" x14ac:dyDescent="0.25">
      <c r="A26" s="92"/>
      <c r="B26" s="26"/>
      <c r="C26" s="44"/>
      <c r="D26" s="44"/>
      <c r="E26" s="44"/>
      <c r="F26" s="44"/>
      <c r="G26" s="44"/>
      <c r="H26" s="26"/>
      <c r="I26" s="44"/>
      <c r="J26" s="44"/>
      <c r="K26" s="26"/>
      <c r="L26" s="39"/>
      <c r="P26" s="19"/>
    </row>
    <row r="27" spans="1:17" ht="15.75" x14ac:dyDescent="0.25">
      <c r="A27" s="93"/>
      <c r="B27" s="74"/>
      <c r="C27" s="45"/>
      <c r="D27" s="45"/>
      <c r="E27" s="45"/>
      <c r="F27" s="45"/>
      <c r="G27" s="45"/>
      <c r="H27" s="74"/>
      <c r="I27" s="45"/>
      <c r="J27" s="45"/>
      <c r="K27" s="74"/>
      <c r="L27" s="40"/>
      <c r="P27" s="19"/>
    </row>
    <row r="28" spans="1:17" ht="8.1" customHeight="1" x14ac:dyDescent="0.25">
      <c r="A28" s="19"/>
      <c r="B28" s="19"/>
      <c r="C28" s="19"/>
      <c r="D28" s="19"/>
      <c r="E28" s="19"/>
      <c r="F28" s="19"/>
      <c r="G28" s="19"/>
      <c r="H28" s="19"/>
      <c r="I28" s="75"/>
      <c r="J28" s="75"/>
      <c r="K28" s="19"/>
    </row>
    <row r="29" spans="1:17" ht="15.75" x14ac:dyDescent="0.25">
      <c r="A29" s="91" t="str" cm="1">
        <f t="array" ref="A29">IF(_xlfn._xlws.FILTER('Filter Cert Data'!A14:L16,'Filter Cert Data'!A14:A16&lt;&gt;"","")="", "", _xlfn._xlws.FILTER('Filter Cert Data'!A14:L16,'Filter Cert Data'!A14:A16&lt;&gt;""))</f>
        <v/>
      </c>
      <c r="B29" s="73"/>
      <c r="C29" s="43"/>
      <c r="D29" s="43"/>
      <c r="E29" s="43"/>
      <c r="F29" s="43"/>
      <c r="G29" s="43"/>
      <c r="H29" s="73"/>
      <c r="I29" s="43"/>
      <c r="J29" s="43"/>
      <c r="K29" s="73"/>
      <c r="L29" s="38"/>
      <c r="P29" s="19"/>
    </row>
    <row r="30" spans="1:17" ht="15.75" x14ac:dyDescent="0.25">
      <c r="A30" s="92"/>
      <c r="B30" s="26"/>
      <c r="C30" s="44"/>
      <c r="D30" s="44"/>
      <c r="E30" s="44"/>
      <c r="F30" s="44"/>
      <c r="G30" s="44"/>
      <c r="H30" s="26"/>
      <c r="I30" s="44"/>
      <c r="J30" s="44"/>
      <c r="K30" s="26"/>
      <c r="L30" s="39"/>
      <c r="P30" s="19"/>
    </row>
    <row r="31" spans="1:17" ht="15.75" x14ac:dyDescent="0.25">
      <c r="A31" s="93"/>
      <c r="B31" s="74"/>
      <c r="C31" s="45"/>
      <c r="D31" s="45"/>
      <c r="E31" s="45"/>
      <c r="F31" s="45"/>
      <c r="G31" s="45"/>
      <c r="H31" s="74"/>
      <c r="I31" s="45"/>
      <c r="J31" s="45"/>
      <c r="K31" s="74"/>
      <c r="L31" s="40"/>
      <c r="P31" s="19"/>
    </row>
    <row r="32" spans="1:17" ht="8.1" customHeight="1" x14ac:dyDescent="0.25">
      <c r="A32" s="19"/>
      <c r="B32" s="19"/>
      <c r="C32" s="19"/>
      <c r="D32" s="19"/>
      <c r="E32" s="19"/>
      <c r="F32" s="19"/>
      <c r="G32" s="19"/>
      <c r="H32" s="19"/>
      <c r="I32" s="75"/>
      <c r="J32" s="75"/>
      <c r="K32" s="19"/>
    </row>
    <row r="33" spans="1:16" ht="15.75" x14ac:dyDescent="0.25">
      <c r="A33" s="91" t="str" cm="1">
        <f t="array" ref="A33">IF(_xlfn._xlws.FILTER('Filter Cert Data'!A18:L20,'Filter Cert Data'!A18:A20&lt;&gt;"","")="", "", _xlfn._xlws.FILTER('Filter Cert Data'!A18:L20,'Filter Cert Data'!A18:A20&lt;&gt;""))</f>
        <v/>
      </c>
      <c r="B33" s="73"/>
      <c r="C33" s="43"/>
      <c r="D33" s="43"/>
      <c r="E33" s="43"/>
      <c r="F33" s="43"/>
      <c r="G33" s="43"/>
      <c r="H33" s="73"/>
      <c r="I33" s="43"/>
      <c r="J33" s="43"/>
      <c r="K33" s="73"/>
      <c r="L33" s="38"/>
      <c r="P33" s="19"/>
    </row>
    <row r="34" spans="1:16" ht="15.75" x14ac:dyDescent="0.25">
      <c r="A34" s="92"/>
      <c r="B34" s="26"/>
      <c r="C34" s="44"/>
      <c r="D34" s="44"/>
      <c r="E34" s="44"/>
      <c r="F34" s="44"/>
      <c r="G34" s="44"/>
      <c r="H34" s="26"/>
      <c r="I34" s="44"/>
      <c r="J34" s="44"/>
      <c r="K34" s="26"/>
      <c r="L34" s="39"/>
      <c r="P34" s="19"/>
    </row>
    <row r="35" spans="1:16" ht="15.75" x14ac:dyDescent="0.25">
      <c r="A35" s="93"/>
      <c r="B35" s="74"/>
      <c r="C35" s="45"/>
      <c r="D35" s="45"/>
      <c r="E35" s="45"/>
      <c r="F35" s="45"/>
      <c r="G35" s="45"/>
      <c r="H35" s="74"/>
      <c r="I35" s="45"/>
      <c r="J35" s="45"/>
      <c r="K35" s="74"/>
      <c r="L35" s="40"/>
      <c r="P35" s="19"/>
    </row>
    <row r="36" spans="1:16" ht="8.1" customHeight="1" x14ac:dyDescent="0.25">
      <c r="A36" s="19"/>
      <c r="B36" s="19"/>
      <c r="C36" s="19"/>
      <c r="D36" s="19"/>
      <c r="E36" s="19"/>
      <c r="F36" s="19"/>
      <c r="G36" s="19"/>
      <c r="H36" s="19"/>
      <c r="I36" s="75"/>
      <c r="J36" s="75"/>
      <c r="K36" s="19"/>
    </row>
    <row r="37" spans="1:16" ht="15.75" x14ac:dyDescent="0.25">
      <c r="A37" s="91" t="str" cm="1">
        <f t="array" ref="A37">IF(_xlfn._xlws.FILTER('Filter Cert Data'!A22:L24,'Filter Cert Data'!A22:A24&lt;&gt;"","")="", "", _xlfn._xlws.FILTER('Filter Cert Data'!A22:L24,'Filter Cert Data'!A22:A24&lt;&gt;""))</f>
        <v/>
      </c>
      <c r="B37" s="73"/>
      <c r="C37" s="43"/>
      <c r="D37" s="43"/>
      <c r="E37" s="43"/>
      <c r="F37" s="43"/>
      <c r="G37" s="43"/>
      <c r="H37" s="73"/>
      <c r="I37" s="43"/>
      <c r="J37" s="43"/>
      <c r="K37" s="73"/>
      <c r="L37" s="38"/>
      <c r="P37" s="19"/>
    </row>
    <row r="38" spans="1:16" ht="15.75" x14ac:dyDescent="0.25">
      <c r="A38" s="92"/>
      <c r="B38" s="26"/>
      <c r="C38" s="44"/>
      <c r="D38" s="44"/>
      <c r="E38" s="44"/>
      <c r="F38" s="44"/>
      <c r="G38" s="44"/>
      <c r="H38" s="26"/>
      <c r="I38" s="44"/>
      <c r="J38" s="44"/>
      <c r="K38" s="26"/>
      <c r="L38" s="39"/>
      <c r="P38" s="19"/>
    </row>
    <row r="39" spans="1:16" ht="15.75" x14ac:dyDescent="0.25">
      <c r="A39" s="93"/>
      <c r="B39" s="74"/>
      <c r="C39" s="45"/>
      <c r="D39" s="45"/>
      <c r="E39" s="45"/>
      <c r="F39" s="45"/>
      <c r="G39" s="45"/>
      <c r="H39" s="74"/>
      <c r="I39" s="45"/>
      <c r="J39" s="45"/>
      <c r="K39" s="74"/>
      <c r="L39" s="40"/>
      <c r="P39" s="19"/>
    </row>
    <row r="40" spans="1:16" ht="8.1" customHeight="1" x14ac:dyDescent="0.25">
      <c r="A40" s="19"/>
      <c r="B40" s="19"/>
      <c r="C40" s="19"/>
      <c r="D40" s="19"/>
      <c r="E40" s="19"/>
      <c r="F40" s="19"/>
      <c r="G40" s="19"/>
      <c r="H40" s="19"/>
      <c r="I40" s="75"/>
      <c r="J40" s="75"/>
      <c r="K40" s="19"/>
    </row>
    <row r="41" spans="1:16" ht="15.75" x14ac:dyDescent="0.25">
      <c r="A41" s="91" t="str" cm="1">
        <f t="array" ref="A41">IF(_xlfn._xlws.FILTER('Filter Cert Data'!A26:L28,'Filter Cert Data'!A26:A28&lt;&gt;"","")="", "", _xlfn._xlws.FILTER('Filter Cert Data'!A26:L28,'Filter Cert Data'!A26:A28&lt;&gt;""))</f>
        <v/>
      </c>
      <c r="B41" s="73"/>
      <c r="C41" s="43"/>
      <c r="D41" s="43"/>
      <c r="E41" s="43"/>
      <c r="F41" s="43"/>
      <c r="G41" s="43"/>
      <c r="H41" s="73"/>
      <c r="I41" s="43"/>
      <c r="J41" s="43"/>
      <c r="K41" s="73"/>
      <c r="L41" s="38"/>
      <c r="P41" s="19"/>
    </row>
    <row r="42" spans="1:16" ht="15.75" x14ac:dyDescent="0.25">
      <c r="A42" s="92"/>
      <c r="B42" s="26"/>
      <c r="C42" s="44"/>
      <c r="D42" s="44"/>
      <c r="E42" s="44"/>
      <c r="F42" s="44"/>
      <c r="G42" s="44"/>
      <c r="H42" s="26"/>
      <c r="I42" s="44"/>
      <c r="J42" s="44"/>
      <c r="K42" s="26"/>
      <c r="L42" s="39"/>
      <c r="P42" s="19"/>
    </row>
    <row r="43" spans="1:16" ht="15.75" x14ac:dyDescent="0.25">
      <c r="A43" s="93"/>
      <c r="B43" s="74"/>
      <c r="C43" s="45"/>
      <c r="D43" s="45"/>
      <c r="E43" s="45"/>
      <c r="F43" s="45"/>
      <c r="G43" s="45"/>
      <c r="H43" s="74"/>
      <c r="I43" s="45"/>
      <c r="J43" s="45"/>
      <c r="K43" s="74"/>
      <c r="L43" s="40"/>
      <c r="P43" s="19"/>
    </row>
    <row r="44" spans="1:16" ht="8.1" customHeight="1" x14ac:dyDescent="0.25">
      <c r="A44" s="19"/>
      <c r="B44" s="19"/>
      <c r="C44" s="19"/>
      <c r="D44" s="19"/>
      <c r="E44" s="19"/>
      <c r="F44" s="19"/>
      <c r="G44" s="19"/>
      <c r="H44" s="19"/>
      <c r="I44" s="75"/>
      <c r="J44" s="75"/>
      <c r="K44" s="19"/>
    </row>
    <row r="45" spans="1:16" ht="15.75" x14ac:dyDescent="0.25">
      <c r="A45" s="91" t="str" cm="1">
        <f t="array" ref="A45">IF(_xlfn._xlws.FILTER('Filter Cert Data'!A30:L32,'Filter Cert Data'!A30:A32&lt;&gt;"","")="", "", _xlfn._xlws.FILTER('Filter Cert Data'!A30:L32,'Filter Cert Data'!A30:A32&lt;&gt;""))</f>
        <v/>
      </c>
      <c r="B45" s="73"/>
      <c r="C45" s="43"/>
      <c r="D45" s="43"/>
      <c r="E45" s="43"/>
      <c r="F45" s="43"/>
      <c r="G45" s="43"/>
      <c r="H45" s="73"/>
      <c r="I45" s="43"/>
      <c r="J45" s="43"/>
      <c r="K45" s="73"/>
      <c r="L45" s="38"/>
      <c r="P45" s="19"/>
    </row>
    <row r="46" spans="1:16" ht="15.75" x14ac:dyDescent="0.25">
      <c r="A46" s="92"/>
      <c r="B46" s="26"/>
      <c r="C46" s="44"/>
      <c r="D46" s="44"/>
      <c r="E46" s="44"/>
      <c r="F46" s="44"/>
      <c r="G46" s="44"/>
      <c r="H46" s="26"/>
      <c r="I46" s="44"/>
      <c r="J46" s="44"/>
      <c r="K46" s="26"/>
      <c r="L46" s="39"/>
      <c r="P46" s="19"/>
    </row>
    <row r="47" spans="1:16" ht="15.75" x14ac:dyDescent="0.25">
      <c r="A47" s="93"/>
      <c r="B47" s="74"/>
      <c r="C47" s="45"/>
      <c r="D47" s="45"/>
      <c r="E47" s="45"/>
      <c r="F47" s="45"/>
      <c r="G47" s="45"/>
      <c r="H47" s="74"/>
      <c r="I47" s="45"/>
      <c r="J47" s="45"/>
      <c r="K47" s="74"/>
      <c r="L47" s="40"/>
      <c r="P47" s="19"/>
    </row>
    <row r="48" spans="1:16" ht="8.1" customHeight="1" x14ac:dyDescent="0.25">
      <c r="A48" s="19"/>
      <c r="B48" s="19"/>
      <c r="C48" s="19"/>
      <c r="D48" s="19"/>
      <c r="E48" s="19"/>
      <c r="F48" s="19"/>
      <c r="G48" s="19"/>
      <c r="H48" s="19"/>
      <c r="I48" s="19"/>
      <c r="J48" s="19"/>
      <c r="K48" s="19"/>
    </row>
    <row r="49" spans="1:27" x14ac:dyDescent="0.25">
      <c r="A49" s="113" t="s">
        <v>100</v>
      </c>
      <c r="B49" s="113"/>
      <c r="C49" s="113"/>
      <c r="D49" s="113"/>
      <c r="E49" s="113"/>
      <c r="F49" s="113"/>
      <c r="G49" s="113"/>
      <c r="H49" s="113"/>
      <c r="I49" s="113"/>
      <c r="J49" s="113"/>
      <c r="K49" s="113"/>
      <c r="L49" s="113"/>
      <c r="M49" s="113"/>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1" t="str">
        <f>IF(Worksheet!F15="","",Worksheet!F15)</f>
        <v/>
      </c>
      <c r="E51" s="41" t="str">
        <f>IF(Worksheet!G15="","",Worksheet!G15)</f>
        <v/>
      </c>
      <c r="F51" s="41" t="str">
        <f>IF(Worksheet!H15="","",Worksheet!H15)</f>
        <v/>
      </c>
      <c r="G51" s="41" t="str">
        <f>IF(Worksheet!I15="","",Worksheet!I15)</f>
        <v/>
      </c>
      <c r="H51" s="41" t="str">
        <f>IF(Worksheet!J15="","",Worksheet!J15)</f>
        <v/>
      </c>
      <c r="I51" s="41" t="str">
        <f>IF(Worksheet!K15="","",Worksheet!K15)</f>
        <v/>
      </c>
      <c r="J51" s="41" t="str">
        <f>IF(Worksheet!L15="","",Worksheet!L15)</f>
        <v/>
      </c>
      <c r="K51" s="41" t="str">
        <f>IF(Worksheet!N15="","",Worksheet!N15)</f>
        <v/>
      </c>
      <c r="L51" s="41" t="str">
        <f>IF(Worksheet!O15="","",Worksheet!O15)</f>
        <v/>
      </c>
      <c r="M51" s="42"/>
    </row>
    <row r="52" spans="1:27" ht="80.25" customHeight="1" x14ac:dyDescent="0.25">
      <c r="A52" s="145" t="str">
        <f>'CERT AL'!A52</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45"/>
      <c r="C52" s="145"/>
      <c r="D52" s="145"/>
      <c r="E52" s="145"/>
      <c r="F52" s="145"/>
      <c r="G52" s="145"/>
      <c r="H52" s="145"/>
      <c r="I52" s="145"/>
      <c r="J52" s="145"/>
      <c r="K52" s="145"/>
      <c r="L52" s="145"/>
      <c r="M52" s="145"/>
    </row>
    <row r="53" spans="1:27" x14ac:dyDescent="0.25">
      <c r="A53" s="113" t="s">
        <v>100</v>
      </c>
      <c r="B53" s="113"/>
      <c r="C53" s="113"/>
      <c r="D53" s="113"/>
      <c r="E53" s="113"/>
      <c r="F53" s="113"/>
      <c r="G53" s="113"/>
      <c r="H53" s="113"/>
      <c r="I53" s="113"/>
      <c r="J53" s="113"/>
      <c r="K53" s="113"/>
      <c r="L53" s="113"/>
      <c r="M53" s="113"/>
    </row>
    <row r="54" spans="1:27" ht="15" customHeight="1" x14ac:dyDescent="0.25">
      <c r="A54" s="76" t="s">
        <v>109</v>
      </c>
      <c r="B54" s="146" t="s">
        <v>128</v>
      </c>
      <c r="C54" s="146"/>
      <c r="D54" s="146"/>
      <c r="E54" s="146"/>
      <c r="F54" s="146"/>
      <c r="G54" s="146"/>
      <c r="H54" s="146"/>
      <c r="I54" s="146"/>
      <c r="J54" s="146"/>
      <c r="K54" s="146"/>
      <c r="L54" s="146"/>
      <c r="M54" s="146"/>
      <c r="O54" s="142" t="str">
        <f>IFERROR(VLOOKUP(Worksheet!$B46,DropDowns!H13:J15,3,FALSE),"")</f>
        <v/>
      </c>
      <c r="P54" s="142"/>
      <c r="Q54" s="142"/>
      <c r="R54" s="142"/>
      <c r="S54" s="142"/>
      <c r="T54" s="142"/>
      <c r="U54" s="142"/>
      <c r="V54" s="142"/>
      <c r="W54" s="142"/>
      <c r="X54" s="142"/>
      <c r="Y54" s="142"/>
      <c r="Z54" s="142"/>
      <c r="AA54" s="142"/>
    </row>
    <row r="55" spans="1:27" ht="15" customHeight="1" x14ac:dyDescent="0.25">
      <c r="A55" s="1"/>
      <c r="B55" s="146"/>
      <c r="C55" s="146"/>
      <c r="D55" s="146"/>
      <c r="E55" s="146"/>
      <c r="F55" s="146"/>
      <c r="G55" s="146"/>
      <c r="H55" s="146"/>
      <c r="I55" s="146"/>
      <c r="J55" s="146"/>
      <c r="K55" s="146"/>
      <c r="L55" s="146"/>
      <c r="M55" s="146"/>
      <c r="O55" s="142"/>
      <c r="P55" s="142"/>
      <c r="Q55" s="142"/>
      <c r="R55" s="142"/>
      <c r="S55" s="142"/>
      <c r="T55" s="142"/>
      <c r="U55" s="142"/>
      <c r="V55" s="142"/>
      <c r="W55" s="142"/>
      <c r="X55" s="142"/>
      <c r="Y55" s="142"/>
      <c r="Z55" s="142"/>
      <c r="AA55" s="142"/>
    </row>
    <row r="56" spans="1:27" ht="20.100000000000001" customHeight="1" x14ac:dyDescent="0.25">
      <c r="A56" s="1"/>
      <c r="B56" s="146"/>
      <c r="C56" s="146"/>
      <c r="D56" s="146"/>
      <c r="E56" s="146"/>
      <c r="F56" s="146"/>
      <c r="G56" s="146"/>
      <c r="H56" s="146"/>
      <c r="I56" s="146"/>
      <c r="J56" s="146"/>
      <c r="K56" s="146"/>
      <c r="L56" s="146"/>
      <c r="M56" s="146"/>
      <c r="O56" s="142"/>
      <c r="P56" s="142"/>
      <c r="Q56" s="142"/>
      <c r="R56" s="142"/>
      <c r="S56" s="142"/>
      <c r="T56" s="142"/>
      <c r="U56" s="142"/>
      <c r="V56" s="142"/>
      <c r="W56" s="142"/>
      <c r="X56" s="142"/>
      <c r="Y56" s="142"/>
      <c r="Z56" s="142"/>
      <c r="AA56" s="142"/>
    </row>
    <row r="57" spans="1:27" ht="15.75" x14ac:dyDescent="0.25">
      <c r="A57" s="1" t="s">
        <v>9</v>
      </c>
      <c r="B57" s="134" t="str">
        <f>IF(Worksheet!L3="","",Worksheet!L3)</f>
        <v>Used</v>
      </c>
      <c r="C57" s="134"/>
    </row>
    <row r="58" spans="1:27" ht="15.75" x14ac:dyDescent="0.25">
      <c r="A58" s="1" t="s">
        <v>111</v>
      </c>
      <c r="B58" s="134" t="str">
        <f>Worksheet!O46</f>
        <v/>
      </c>
      <c r="C58" s="134"/>
    </row>
    <row r="59" spans="1:27" ht="12" customHeight="1" x14ac:dyDescent="0.25">
      <c r="A59" s="144" t="str">
        <f>'CERT AL'!A59</f>
        <v/>
      </c>
      <c r="B59" s="144"/>
      <c r="C59" s="144"/>
      <c r="D59" s="144"/>
      <c r="E59" s="144"/>
      <c r="F59" s="144"/>
      <c r="G59" s="144"/>
      <c r="H59" s="144"/>
      <c r="I59" s="144"/>
      <c r="J59" s="144"/>
      <c r="K59" s="144"/>
      <c r="L59" s="144"/>
      <c r="M59" s="144"/>
    </row>
    <row r="60" spans="1:27" ht="12" customHeight="1" x14ac:dyDescent="0.25">
      <c r="A60" s="144"/>
      <c r="B60" s="144"/>
      <c r="C60" s="144"/>
      <c r="D60" s="144"/>
      <c r="E60" s="144"/>
      <c r="F60" s="144"/>
      <c r="G60" s="144"/>
      <c r="H60" s="144"/>
      <c r="I60" s="144"/>
      <c r="J60" s="144"/>
      <c r="K60" s="144"/>
      <c r="L60" s="144"/>
      <c r="M60" s="144"/>
    </row>
    <row r="61" spans="1:27" x14ac:dyDescent="0.25">
      <c r="A61" s="113" t="s">
        <v>100</v>
      </c>
      <c r="B61" s="113"/>
      <c r="C61" s="113"/>
      <c r="D61" s="113"/>
      <c r="E61" s="113"/>
      <c r="F61" s="113"/>
      <c r="G61" s="113"/>
      <c r="H61" s="113"/>
      <c r="I61" s="113"/>
      <c r="J61" s="113"/>
      <c r="K61" s="113"/>
      <c r="L61" s="113"/>
      <c r="M61" s="113"/>
    </row>
    <row r="66" spans="1:15" x14ac:dyDescent="0.25">
      <c r="A66" s="143"/>
      <c r="B66" s="143"/>
      <c r="C66" s="143"/>
      <c r="D66" s="143"/>
      <c r="E66" s="143"/>
      <c r="F66" s="143"/>
      <c r="G66" s="143"/>
      <c r="H66" s="143"/>
      <c r="I66" s="143"/>
      <c r="J66" s="143"/>
      <c r="K66" s="143"/>
      <c r="L66" s="143"/>
      <c r="M66" s="143"/>
      <c r="N66" s="143"/>
      <c r="O66" s="143"/>
    </row>
    <row r="67" spans="1:15" x14ac:dyDescent="0.25">
      <c r="A67" s="143"/>
      <c r="B67" s="143"/>
      <c r="C67" s="143"/>
      <c r="D67" s="143"/>
      <c r="E67" s="143"/>
      <c r="F67" s="143"/>
      <c r="G67" s="143"/>
      <c r="H67" s="143"/>
      <c r="I67" s="143"/>
      <c r="J67" s="143"/>
      <c r="K67" s="143"/>
      <c r="L67" s="143"/>
      <c r="M67" s="143"/>
      <c r="N67" s="143"/>
      <c r="O67" s="143"/>
    </row>
    <row r="68" spans="1:15" x14ac:dyDescent="0.25">
      <c r="A68" s="143"/>
      <c r="B68" s="143"/>
      <c r="C68" s="143"/>
      <c r="D68" s="143"/>
      <c r="E68" s="143"/>
      <c r="F68" s="143"/>
      <c r="G68" s="143"/>
      <c r="H68" s="143"/>
      <c r="I68" s="143"/>
      <c r="J68" s="143"/>
      <c r="K68" s="143"/>
      <c r="L68" s="143"/>
      <c r="M68" s="143"/>
      <c r="N68" s="143"/>
      <c r="O68" s="143"/>
    </row>
    <row r="69" spans="1:15" x14ac:dyDescent="0.25">
      <c r="A69" s="143"/>
      <c r="B69" s="143"/>
      <c r="C69" s="143"/>
      <c r="D69" s="143"/>
      <c r="E69" s="143"/>
      <c r="F69" s="143"/>
      <c r="G69" s="143"/>
      <c r="H69" s="143"/>
      <c r="I69" s="143"/>
      <c r="J69" s="143"/>
      <c r="K69" s="143"/>
      <c r="L69" s="143"/>
      <c r="M69" s="143"/>
      <c r="N69" s="143"/>
      <c r="O69" s="143"/>
    </row>
    <row r="70" spans="1:15" x14ac:dyDescent="0.25">
      <c r="A70" s="143"/>
      <c r="B70" s="143"/>
      <c r="C70" s="143"/>
      <c r="D70" s="143"/>
      <c r="E70" s="143"/>
      <c r="F70" s="143"/>
      <c r="G70" s="143"/>
      <c r="H70" s="143"/>
      <c r="I70" s="143"/>
      <c r="J70" s="143"/>
      <c r="K70" s="143"/>
      <c r="L70" s="143"/>
      <c r="M70" s="143"/>
      <c r="N70" s="143"/>
      <c r="O70" s="143"/>
    </row>
    <row r="71" spans="1:15" x14ac:dyDescent="0.25">
      <c r="A71" s="143"/>
      <c r="B71" s="143"/>
      <c r="C71" s="143"/>
      <c r="D71" s="143"/>
      <c r="E71" s="143"/>
      <c r="F71" s="143"/>
      <c r="G71" s="143"/>
      <c r="H71" s="143"/>
      <c r="I71" s="143"/>
      <c r="J71" s="143"/>
      <c r="K71" s="143"/>
      <c r="L71" s="143"/>
      <c r="M71" s="143"/>
      <c r="N71" s="143"/>
      <c r="O71" s="143"/>
    </row>
    <row r="72" spans="1:15" x14ac:dyDescent="0.25">
      <c r="A72" s="143"/>
      <c r="B72" s="143"/>
      <c r="C72" s="143"/>
      <c r="D72" s="143"/>
      <c r="E72" s="143"/>
      <c r="F72" s="143"/>
      <c r="G72" s="143"/>
      <c r="H72" s="143"/>
      <c r="I72" s="143"/>
      <c r="J72" s="143"/>
      <c r="K72" s="143"/>
      <c r="L72" s="143"/>
      <c r="M72" s="143"/>
      <c r="N72" s="143"/>
      <c r="O72" s="143"/>
    </row>
    <row r="73" spans="1:15" x14ac:dyDescent="0.25">
      <c r="A73" s="143"/>
      <c r="B73" s="143"/>
      <c r="C73" s="143"/>
      <c r="D73" s="143"/>
      <c r="E73" s="143"/>
      <c r="F73" s="143"/>
      <c r="G73" s="143"/>
      <c r="H73" s="143"/>
      <c r="I73" s="143"/>
      <c r="J73" s="143"/>
      <c r="K73" s="143"/>
      <c r="L73" s="143"/>
      <c r="M73" s="143"/>
      <c r="N73" s="143"/>
      <c r="O73" s="143"/>
    </row>
    <row r="76" spans="1:15" x14ac:dyDescent="0.25">
      <c r="B76" s="53"/>
    </row>
    <row r="77" spans="1:15" x14ac:dyDescent="0.25">
      <c r="B77" s="2"/>
      <c r="C77" s="2"/>
      <c r="D77" s="2"/>
      <c r="E77" s="2"/>
      <c r="F77" s="2"/>
      <c r="G77" s="2"/>
      <c r="H77" s="2"/>
      <c r="I77" s="2"/>
      <c r="J77" s="2"/>
      <c r="K77" s="2"/>
      <c r="L77" s="2"/>
      <c r="M77" s="2"/>
      <c r="N77" s="2"/>
      <c r="O77" s="2"/>
    </row>
    <row r="78" spans="1:15" x14ac:dyDescent="0.25">
      <c r="B78" s="2"/>
      <c r="C78" s="2"/>
      <c r="D78" s="2"/>
      <c r="E78" s="2"/>
      <c r="F78" s="2"/>
      <c r="G78" s="2"/>
      <c r="H78" s="2"/>
      <c r="I78" s="2"/>
      <c r="J78" s="2"/>
      <c r="K78" s="2"/>
      <c r="L78" s="2"/>
      <c r="M78" s="2"/>
      <c r="N78" s="2"/>
      <c r="O78" s="2"/>
    </row>
    <row r="79" spans="1:15" x14ac:dyDescent="0.25">
      <c r="B79" s="2"/>
      <c r="C79" s="2"/>
      <c r="D79" s="2"/>
      <c r="E79" s="2"/>
      <c r="F79" s="2"/>
      <c r="G79" s="2"/>
      <c r="H79" s="2"/>
      <c r="I79" s="2"/>
      <c r="J79" s="2"/>
      <c r="K79" s="2"/>
      <c r="L79" s="2"/>
      <c r="M79" s="2"/>
      <c r="N79" s="2"/>
      <c r="O79" s="2"/>
    </row>
    <row r="80" spans="1:15" x14ac:dyDescent="0.25">
      <c r="A80" s="2"/>
      <c r="B80" s="2"/>
      <c r="C80" s="2"/>
      <c r="D80" s="2"/>
      <c r="E80" s="2"/>
      <c r="F80" s="2"/>
      <c r="G80" s="2"/>
      <c r="H80" s="2"/>
      <c r="I80" s="2"/>
      <c r="J80" s="2"/>
      <c r="K80" s="2"/>
      <c r="L80" s="2"/>
      <c r="M80" s="2"/>
      <c r="N80" s="2"/>
      <c r="O80" s="2"/>
    </row>
    <row r="81" spans="1:15" x14ac:dyDescent="0.25">
      <c r="A81" s="2"/>
      <c r="B81" s="2"/>
      <c r="C81" s="2"/>
      <c r="D81" s="2"/>
      <c r="E81" s="2"/>
      <c r="F81" s="2"/>
      <c r="G81" s="2"/>
      <c r="H81" s="2"/>
      <c r="I81" s="2"/>
      <c r="J81" s="2"/>
      <c r="K81" s="2"/>
      <c r="L81" s="2"/>
      <c r="M81" s="2"/>
      <c r="N81" s="2"/>
      <c r="O81" s="2"/>
    </row>
    <row r="82" spans="1:15" x14ac:dyDescent="0.25">
      <c r="B82" s="2"/>
      <c r="C82" s="2"/>
      <c r="D82" s="2"/>
      <c r="E82" s="2"/>
      <c r="F82" s="2"/>
      <c r="G82" s="2"/>
      <c r="H82" s="2"/>
      <c r="I82" s="2"/>
      <c r="J82" s="2"/>
      <c r="K82" s="2"/>
      <c r="L82" s="2"/>
      <c r="M82" s="2"/>
      <c r="N82" s="2"/>
      <c r="O82" s="2"/>
    </row>
    <row r="83" spans="1:15" x14ac:dyDescent="0.25">
      <c r="B83" s="2"/>
      <c r="C83" s="2"/>
      <c r="D83" s="2"/>
      <c r="E83" s="2"/>
      <c r="F83" s="2"/>
      <c r="G83" s="2"/>
      <c r="H83" s="2"/>
      <c r="I83" s="2"/>
      <c r="J83" s="2"/>
      <c r="K83" s="2"/>
      <c r="L83" s="2"/>
      <c r="M83" s="2"/>
      <c r="N83" s="2"/>
      <c r="O83" s="2"/>
    </row>
    <row r="84" spans="1:15" x14ac:dyDescent="0.25">
      <c r="A84" s="2"/>
      <c r="B84" s="2"/>
      <c r="C84" s="2"/>
      <c r="D84" s="2"/>
      <c r="E84" s="2"/>
      <c r="F84" s="2"/>
      <c r="G84" s="2"/>
      <c r="H84" s="2"/>
      <c r="I84" s="2"/>
      <c r="J84" s="2"/>
      <c r="K84" s="2"/>
      <c r="L84" s="2"/>
      <c r="M84" s="2"/>
      <c r="N84" s="2"/>
      <c r="O84" s="2"/>
    </row>
    <row r="85" spans="1:15" x14ac:dyDescent="0.25">
      <c r="A85" s="24"/>
      <c r="B85" s="24"/>
      <c r="C85" s="24"/>
      <c r="D85" s="24"/>
      <c r="E85" s="24"/>
      <c r="F85" s="24"/>
      <c r="G85" s="24"/>
      <c r="H85" s="24"/>
      <c r="I85" s="24"/>
      <c r="J85" s="24"/>
      <c r="K85" s="24"/>
      <c r="L85" s="24"/>
      <c r="M85" s="24"/>
    </row>
    <row r="86" spans="1:15" x14ac:dyDescent="0.25">
      <c r="A86" s="24"/>
      <c r="B86" s="24"/>
      <c r="C86" s="24"/>
      <c r="D86" s="24"/>
      <c r="E86" s="24"/>
      <c r="F86" s="24"/>
      <c r="G86" s="24"/>
      <c r="H86" s="24"/>
      <c r="I86" s="24"/>
      <c r="J86" s="24"/>
      <c r="K86" s="24"/>
      <c r="L86" s="24"/>
      <c r="M86" s="24"/>
    </row>
    <row r="87" spans="1:15" x14ac:dyDescent="0.25">
      <c r="A87" s="25"/>
      <c r="B87" s="25"/>
      <c r="C87" s="25"/>
      <c r="D87" s="25"/>
      <c r="E87" s="25"/>
      <c r="F87" s="25"/>
      <c r="G87" s="25"/>
      <c r="H87" s="25"/>
      <c r="I87" s="25"/>
      <c r="J87" s="25"/>
      <c r="K87" s="25"/>
      <c r="L87" s="25"/>
      <c r="M87" s="25"/>
    </row>
    <row r="90" spans="1:15" x14ac:dyDescent="0.25">
      <c r="A90" s="24"/>
      <c r="B90" s="24"/>
      <c r="C90" s="24"/>
      <c r="D90" s="24"/>
      <c r="E90" s="24"/>
      <c r="F90" s="24"/>
      <c r="G90" s="24"/>
      <c r="H90" s="24"/>
      <c r="I90" s="24"/>
      <c r="J90" s="24"/>
      <c r="K90" s="24"/>
      <c r="L90" s="24"/>
      <c r="M90" s="24"/>
    </row>
  </sheetData>
  <sheetProtection algorithmName="SHA-512" hashValue="CVjy5oGnVO3AoQMfNUnANSBfC3iiumkUV9nFiTuMtfafJLwQZ6kveOuqNj6ro2uHwSNm2h9MG4yKNNoEQTACRg==" saltValue="Y9WM3Ujjjo16Jd4qPA1tqA==" spinCount="100000" sheet="1" objects="1" scenarios="1"/>
  <protectedRanges>
    <protectedRange sqref="B54:M56" name="AF Comments"/>
    <protectedRange sqref="F6:G6" name="AF page number"/>
  </protectedRanges>
  <mergeCells count="28">
    <mergeCell ref="AG2:AH2"/>
    <mergeCell ref="AJ2:AK2"/>
    <mergeCell ref="AM2:AN2"/>
    <mergeCell ref="AP2:AQ2"/>
    <mergeCell ref="AS2:AT2"/>
    <mergeCell ref="A66:O73"/>
    <mergeCell ref="A59:M60"/>
    <mergeCell ref="A52:M52"/>
    <mergeCell ref="B54:M56"/>
    <mergeCell ref="B57:C57"/>
    <mergeCell ref="B58:C58"/>
    <mergeCell ref="A53:M53"/>
    <mergeCell ref="A61:M61"/>
    <mergeCell ref="J12:K12"/>
    <mergeCell ref="J13:K13"/>
    <mergeCell ref="J14:K14"/>
    <mergeCell ref="J15:K15"/>
    <mergeCell ref="O54:AA56"/>
    <mergeCell ref="A16:M16"/>
    <mergeCell ref="A19:M19"/>
    <mergeCell ref="A49:M49"/>
    <mergeCell ref="J11:K11"/>
    <mergeCell ref="B1:K1"/>
    <mergeCell ref="B2:K2"/>
    <mergeCell ref="B3:K3"/>
    <mergeCell ref="F6:G6"/>
    <mergeCell ref="D4:I4"/>
    <mergeCell ref="E5:H5"/>
  </mergeCells>
  <printOptions horizontalCentered="1"/>
  <pageMargins left="0" right="0" top="0.5" bottom="0.85" header="0.3" footer="0.3"/>
  <pageSetup scale="71" orientation="portrait" r:id="rId1"/>
  <customProperties>
    <customPr name="%locator_row%" r:id="rId2"/>
    <customPr name="%startcell%" r:id="rId3"/>
  </customProperties>
  <drawing r:id="rId4"/>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B88"/>
  <sheetViews>
    <sheetView showGridLines="0" view="pageBreakPreview" topLeftCell="A38" zoomScaleNormal="100" zoomScaleSheetLayoutView="100" workbookViewId="0">
      <selection activeCell="A52" sqref="A52:M52"/>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22" t="s">
        <v>87</v>
      </c>
      <c r="C1" s="122"/>
      <c r="D1" s="122"/>
      <c r="E1" s="122"/>
      <c r="F1" s="122"/>
      <c r="G1" s="122"/>
      <c r="H1" s="122"/>
      <c r="I1" s="122"/>
      <c r="J1" s="122"/>
      <c r="K1" s="122"/>
    </row>
    <row r="2" spans="1:54" ht="18.75" x14ac:dyDescent="0.3">
      <c r="B2" s="135" t="s">
        <v>88</v>
      </c>
      <c r="C2" s="135"/>
      <c r="D2" s="135"/>
      <c r="E2" s="135"/>
      <c r="F2" s="135"/>
      <c r="G2" s="135"/>
      <c r="H2" s="135"/>
      <c r="I2" s="135"/>
      <c r="J2" s="135"/>
      <c r="K2" s="135"/>
      <c r="AG2" s="113"/>
      <c r="AH2" s="113"/>
      <c r="AJ2" s="113"/>
      <c r="AK2" s="113"/>
      <c r="AM2" s="113"/>
      <c r="AN2" s="113"/>
      <c r="AP2" s="113"/>
      <c r="AQ2" s="113"/>
      <c r="AR2" s="18"/>
      <c r="AS2" s="113"/>
      <c r="AT2" s="113"/>
    </row>
    <row r="3" spans="1:54" ht="18.75" x14ac:dyDescent="0.3">
      <c r="B3" s="135" t="s">
        <v>89</v>
      </c>
      <c r="C3" s="135"/>
      <c r="D3" s="135"/>
      <c r="E3" s="135"/>
      <c r="F3" s="135"/>
      <c r="G3" s="135"/>
      <c r="H3" s="135"/>
      <c r="I3" s="135"/>
      <c r="J3" s="135"/>
      <c r="K3" s="135"/>
    </row>
    <row r="4" spans="1:54" ht="23.25" x14ac:dyDescent="0.35">
      <c r="B4" s="70"/>
      <c r="C4" s="71"/>
      <c r="D4" s="137"/>
      <c r="E4" s="137"/>
      <c r="F4" s="137"/>
      <c r="G4" s="137"/>
      <c r="H4" s="137"/>
      <c r="I4" s="137"/>
      <c r="J4" s="70"/>
      <c r="K4" s="70"/>
    </row>
    <row r="5" spans="1:54" ht="18.75" x14ac:dyDescent="0.3">
      <c r="E5" s="138"/>
      <c r="F5" s="138"/>
      <c r="G5" s="138"/>
      <c r="H5" s="138"/>
      <c r="Y5" s="52"/>
      <c r="AA5" s="3"/>
      <c r="AB5" s="3"/>
      <c r="AC5" s="3"/>
      <c r="AD5" s="3"/>
      <c r="AE5" s="3"/>
      <c r="AF5" s="3"/>
      <c r="BB5" s="4"/>
    </row>
    <row r="6" spans="1:54" ht="15.75" x14ac:dyDescent="0.25">
      <c r="A6" s="1" t="s">
        <v>90</v>
      </c>
      <c r="B6" s="20" t="str">
        <f>IF(Worksheet!D3="","",Worksheet!D3)</f>
        <v/>
      </c>
      <c r="C6" s="4"/>
      <c r="D6" s="1"/>
      <c r="F6" s="136" t="s">
        <v>91</v>
      </c>
      <c r="G6" s="136"/>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f>IF(Worksheet!D5="","",Worksheet!D5)</f>
        <v>0</v>
      </c>
      <c r="H11" s="1" t="s">
        <v>19</v>
      </c>
      <c r="J11" s="134" t="str">
        <f>IF(Worksheet!N5="","",Worksheet!N5)</f>
        <v/>
      </c>
      <c r="K11" s="134"/>
    </row>
    <row r="12" spans="1:54" ht="15.75" x14ac:dyDescent="0.25">
      <c r="A12" s="1" t="s">
        <v>96</v>
      </c>
      <c r="B12" s="20" t="str">
        <f>IF(Worksheet!D6="","",Worksheet!D6)</f>
        <v/>
      </c>
      <c r="H12" s="1" t="s">
        <v>25</v>
      </c>
      <c r="J12" s="139" t="str">
        <f>IF(Worksheet!N6="","",Worksheet!N6)</f>
        <v/>
      </c>
      <c r="K12" s="139"/>
    </row>
    <row r="13" spans="1:54" ht="15.75" x14ac:dyDescent="0.25">
      <c r="A13" s="1" t="s">
        <v>97</v>
      </c>
      <c r="B13" s="20" t="str">
        <f>IF(Worksheet!D7="","",Worksheet!I7)</f>
        <v>0 0</v>
      </c>
      <c r="H13" s="1" t="s">
        <v>30</v>
      </c>
      <c r="J13" s="139" t="str">
        <f>IF(Worksheet!N7="","",Worksheet!N7)</f>
        <v/>
      </c>
      <c r="K13" s="139"/>
    </row>
    <row r="14" spans="1:54" ht="15.75" x14ac:dyDescent="0.25">
      <c r="A14" s="1" t="s">
        <v>98</v>
      </c>
      <c r="B14" s="20">
        <f>IF(Worksheet!D8="","",Worksheet!D8)</f>
        <v>0</v>
      </c>
      <c r="D14" s="4" t="str">
        <f>IF(Worksheet!G3="","","Customer PO: ")</f>
        <v/>
      </c>
      <c r="E14" s="1" t="str">
        <f>IF(Worksheet!G3="","",Worksheet!G3)</f>
        <v/>
      </c>
      <c r="H14" s="1" t="s">
        <v>34</v>
      </c>
      <c r="J14" s="140" t="str">
        <f>IF(Worksheet!N8="","",Worksheet!N8)</f>
        <v/>
      </c>
      <c r="K14" s="140"/>
    </row>
    <row r="15" spans="1:54" ht="15.75" x14ac:dyDescent="0.25">
      <c r="A15" s="1" t="s">
        <v>99</v>
      </c>
      <c r="B15" s="20" t="str">
        <f>IF(Worksheet!D9="","",Worksheet!D9)</f>
        <v/>
      </c>
      <c r="D15" t="str">
        <f>IF(Worksheet!J9="YES","Tested on Site","")</f>
        <v/>
      </c>
      <c r="H15" s="1" t="s">
        <v>39</v>
      </c>
      <c r="J15" s="141" t="str">
        <f>IF(Worksheet!N9="","",Worksheet!N9)</f>
        <v/>
      </c>
      <c r="K15" s="141"/>
    </row>
    <row r="16" spans="1:54" x14ac:dyDescent="0.25">
      <c r="A16" s="113" t="s">
        <v>100</v>
      </c>
      <c r="B16" s="113"/>
      <c r="C16" s="113"/>
      <c r="D16" s="113"/>
      <c r="E16" s="113"/>
      <c r="F16" s="113"/>
      <c r="G16" s="113"/>
      <c r="H16" s="113"/>
      <c r="I16" s="113"/>
      <c r="J16" s="113"/>
      <c r="K16" s="113"/>
      <c r="L16" s="113"/>
      <c r="M16" s="113"/>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13" t="s">
        <v>100</v>
      </c>
      <c r="B19" s="113"/>
      <c r="C19" s="113"/>
      <c r="D19" s="113"/>
      <c r="E19" s="113"/>
      <c r="F19" s="113"/>
      <c r="G19" s="113"/>
      <c r="H19" s="113"/>
      <c r="I19" s="113"/>
      <c r="J19" s="113"/>
      <c r="K19" s="113"/>
      <c r="L19" s="113"/>
      <c r="M19" s="113"/>
    </row>
    <row r="20" spans="1:17" x14ac:dyDescent="0.25">
      <c r="A20" s="94" t="s">
        <v>104</v>
      </c>
      <c r="B20" s="94" t="s">
        <v>53</v>
      </c>
      <c r="C20" s="15" t="s">
        <v>56</v>
      </c>
      <c r="D20" s="15" t="s">
        <v>57</v>
      </c>
      <c r="E20" s="15" t="s">
        <v>58</v>
      </c>
      <c r="F20" s="15" t="s">
        <v>59</v>
      </c>
      <c r="G20" s="15" t="s">
        <v>60</v>
      </c>
      <c r="H20" s="15" t="s">
        <v>61</v>
      </c>
      <c r="I20" s="15" t="s">
        <v>62</v>
      </c>
      <c r="J20" s="15" t="s">
        <v>63</v>
      </c>
      <c r="K20" s="35" t="s">
        <v>64</v>
      </c>
      <c r="L20" s="15" t="s">
        <v>105</v>
      </c>
    </row>
    <row r="21" spans="1:17" ht="15.75" x14ac:dyDescent="0.25">
      <c r="A21" s="91" t="str" cm="1">
        <f t="array" ref="A21">_xlfn._xlws.FILTER('Filter Cert Data'!A36:L38,'Filter Cert Data'!A36:A38&lt;&gt;"","")</f>
        <v/>
      </c>
      <c r="B21" s="73"/>
      <c r="C21" s="43"/>
      <c r="D21" s="43"/>
      <c r="E21" s="43"/>
      <c r="F21" s="43"/>
      <c r="G21" s="43"/>
      <c r="H21" s="73"/>
      <c r="I21" s="43"/>
      <c r="J21" s="43"/>
      <c r="K21" s="73"/>
      <c r="L21" s="38"/>
      <c r="N21" s="37"/>
      <c r="P21" s="19"/>
      <c r="Q21" s="19"/>
    </row>
    <row r="22" spans="1:17" ht="15.75" x14ac:dyDescent="0.25">
      <c r="A22" s="92"/>
      <c r="B22" s="26"/>
      <c r="C22" s="44"/>
      <c r="D22" s="44"/>
      <c r="E22" s="44"/>
      <c r="F22" s="44"/>
      <c r="G22" s="44"/>
      <c r="H22" s="26"/>
      <c r="I22" s="44"/>
      <c r="J22" s="44"/>
      <c r="K22" s="26"/>
      <c r="L22" s="39"/>
      <c r="P22" s="19"/>
      <c r="Q22" s="19"/>
    </row>
    <row r="23" spans="1:17" ht="15.75" x14ac:dyDescent="0.25">
      <c r="A23" s="93"/>
      <c r="B23" s="74"/>
      <c r="C23" s="45"/>
      <c r="D23" s="45"/>
      <c r="E23" s="45"/>
      <c r="F23" s="45"/>
      <c r="G23" s="45"/>
      <c r="H23" s="74"/>
      <c r="I23" s="45"/>
      <c r="J23" s="45"/>
      <c r="K23" s="74"/>
      <c r="L23" s="40"/>
      <c r="P23" s="19"/>
      <c r="Q23" s="19"/>
    </row>
    <row r="24" spans="1:17" ht="8.1" customHeight="1" x14ac:dyDescent="0.25">
      <c r="A24" s="19"/>
      <c r="B24" s="19"/>
      <c r="C24" s="19"/>
      <c r="D24" s="19"/>
      <c r="E24" s="19"/>
      <c r="F24" s="19"/>
      <c r="G24" s="19"/>
      <c r="H24" s="19"/>
      <c r="I24" s="75"/>
      <c r="J24" s="75"/>
      <c r="K24" s="19"/>
    </row>
    <row r="25" spans="1:17" ht="15.75" x14ac:dyDescent="0.25">
      <c r="A25" s="91" t="str" cm="1">
        <f t="array" ref="A25">_xlfn._xlws.FILTER('Filter Cert Data'!A40:L42,'Filter Cert Data'!A40:A42&lt;&gt;"","")</f>
        <v/>
      </c>
      <c r="B25" s="73"/>
      <c r="C25" s="43"/>
      <c r="D25" s="43"/>
      <c r="E25" s="43"/>
      <c r="F25" s="43"/>
      <c r="G25" s="43"/>
      <c r="H25" s="73"/>
      <c r="I25" s="43"/>
      <c r="J25" s="43"/>
      <c r="K25" s="73"/>
      <c r="L25" s="38"/>
      <c r="P25" s="19"/>
    </row>
    <row r="26" spans="1:17" ht="15.75" x14ac:dyDescent="0.25">
      <c r="A26" s="92"/>
      <c r="B26" s="26"/>
      <c r="C26" s="44"/>
      <c r="D26" s="44"/>
      <c r="E26" s="44"/>
      <c r="F26" s="44"/>
      <c r="G26" s="44"/>
      <c r="H26" s="26"/>
      <c r="I26" s="44"/>
      <c r="J26" s="44"/>
      <c r="K26" s="26"/>
      <c r="L26" s="39"/>
      <c r="P26" s="19"/>
    </row>
    <row r="27" spans="1:17" ht="15.75" x14ac:dyDescent="0.25">
      <c r="A27" s="93"/>
      <c r="B27" s="74"/>
      <c r="C27" s="45"/>
      <c r="D27" s="45"/>
      <c r="E27" s="45"/>
      <c r="F27" s="45"/>
      <c r="G27" s="45"/>
      <c r="H27" s="74"/>
      <c r="I27" s="45"/>
      <c r="J27" s="45"/>
      <c r="K27" s="74"/>
      <c r="L27" s="40"/>
      <c r="P27" s="19"/>
    </row>
    <row r="28" spans="1:17" ht="8.1" customHeight="1" x14ac:dyDescent="0.25">
      <c r="A28" s="19"/>
      <c r="B28" s="19"/>
      <c r="C28" s="19"/>
      <c r="D28" s="19"/>
      <c r="E28" s="19"/>
      <c r="F28" s="19"/>
      <c r="G28" s="19"/>
      <c r="H28" s="19"/>
      <c r="I28" s="75"/>
      <c r="J28" s="75"/>
      <c r="K28" s="19"/>
    </row>
    <row r="29" spans="1:17" ht="15.75" x14ac:dyDescent="0.25">
      <c r="A29" s="91" t="str" cm="1">
        <f t="array" ref="A29">_xlfn._xlws.FILTER('Filter Cert Data'!A44:L46,'Filter Cert Data'!A44:A46&lt;&gt;"","")</f>
        <v/>
      </c>
      <c r="B29" s="73"/>
      <c r="C29" s="43"/>
      <c r="D29" s="43"/>
      <c r="E29" s="43"/>
      <c r="F29" s="43"/>
      <c r="G29" s="43"/>
      <c r="H29" s="73"/>
      <c r="I29" s="43"/>
      <c r="J29" s="43"/>
      <c r="K29" s="73"/>
      <c r="L29" s="38"/>
      <c r="P29" s="19"/>
    </row>
    <row r="30" spans="1:17" ht="15.75" x14ac:dyDescent="0.25">
      <c r="A30" s="92"/>
      <c r="B30" s="26"/>
      <c r="C30" s="44"/>
      <c r="D30" s="44"/>
      <c r="E30" s="44"/>
      <c r="F30" s="44"/>
      <c r="G30" s="44"/>
      <c r="H30" s="26"/>
      <c r="I30" s="44"/>
      <c r="J30" s="44"/>
      <c r="K30" s="26"/>
      <c r="L30" s="39"/>
      <c r="P30" s="19"/>
    </row>
    <row r="31" spans="1:17" ht="15.75" x14ac:dyDescent="0.25">
      <c r="A31" s="93"/>
      <c r="B31" s="74"/>
      <c r="C31" s="45"/>
      <c r="D31" s="45"/>
      <c r="E31" s="45"/>
      <c r="F31" s="45"/>
      <c r="G31" s="45"/>
      <c r="H31" s="74"/>
      <c r="I31" s="45"/>
      <c r="J31" s="45"/>
      <c r="K31" s="74"/>
      <c r="L31" s="40"/>
      <c r="P31" s="19"/>
    </row>
    <row r="32" spans="1:17" ht="8.1" customHeight="1" x14ac:dyDescent="0.25">
      <c r="A32" s="19"/>
      <c r="B32" s="19"/>
      <c r="C32" s="19"/>
      <c r="D32" s="19"/>
      <c r="E32" s="19"/>
      <c r="F32" s="19"/>
      <c r="G32" s="19"/>
      <c r="H32" s="19"/>
      <c r="I32" s="75"/>
      <c r="J32" s="75"/>
      <c r="K32" s="19"/>
    </row>
    <row r="33" spans="1:16" ht="15.75" x14ac:dyDescent="0.25">
      <c r="A33" s="91" t="str" cm="1">
        <f t="array" ref="A33">_xlfn._xlws.FILTER('Filter Cert Data'!A48:L50,'Filter Cert Data'!A48:A50&lt;&gt;"","")</f>
        <v/>
      </c>
      <c r="B33" s="73"/>
      <c r="C33" s="43"/>
      <c r="D33" s="43"/>
      <c r="E33" s="43"/>
      <c r="F33" s="43"/>
      <c r="G33" s="43"/>
      <c r="H33" s="73"/>
      <c r="I33" s="43"/>
      <c r="J33" s="43"/>
      <c r="K33" s="73"/>
      <c r="L33" s="38"/>
      <c r="P33" s="19"/>
    </row>
    <row r="34" spans="1:16" ht="15.75" x14ac:dyDescent="0.25">
      <c r="A34" s="92"/>
      <c r="B34" s="26"/>
      <c r="C34" s="44"/>
      <c r="D34" s="44"/>
      <c r="E34" s="44"/>
      <c r="F34" s="44"/>
      <c r="G34" s="44"/>
      <c r="H34" s="26"/>
      <c r="I34" s="44"/>
      <c r="J34" s="44"/>
      <c r="K34" s="26"/>
      <c r="L34" s="39"/>
      <c r="P34" s="19"/>
    </row>
    <row r="35" spans="1:16" ht="15.75" x14ac:dyDescent="0.25">
      <c r="A35" s="93"/>
      <c r="B35" s="74"/>
      <c r="C35" s="45"/>
      <c r="D35" s="45"/>
      <c r="E35" s="45"/>
      <c r="F35" s="45"/>
      <c r="G35" s="45"/>
      <c r="H35" s="74"/>
      <c r="I35" s="45"/>
      <c r="J35" s="45"/>
      <c r="K35" s="74"/>
      <c r="L35" s="40"/>
      <c r="P35" s="19"/>
    </row>
    <row r="36" spans="1:16" ht="8.1" customHeight="1" x14ac:dyDescent="0.25">
      <c r="A36" s="19"/>
      <c r="B36" s="19"/>
      <c r="C36" s="19"/>
      <c r="D36" s="19"/>
      <c r="E36" s="19"/>
      <c r="F36" s="19"/>
      <c r="G36" s="19"/>
      <c r="H36" s="19"/>
      <c r="I36" s="75"/>
      <c r="J36" s="75"/>
      <c r="K36" s="19"/>
    </row>
    <row r="37" spans="1:16" ht="15.75" x14ac:dyDescent="0.25">
      <c r="A37" s="91" t="str" cm="1">
        <f t="array" ref="A37">_xlfn._xlws.FILTER('Filter Cert Data'!A52:L54,'Filter Cert Data'!A52:A54&lt;&gt;"","")</f>
        <v/>
      </c>
      <c r="B37" s="73"/>
      <c r="C37" s="43"/>
      <c r="D37" s="43"/>
      <c r="E37" s="43"/>
      <c r="F37" s="43"/>
      <c r="G37" s="43"/>
      <c r="H37" s="73"/>
      <c r="I37" s="43"/>
      <c r="J37" s="43"/>
      <c r="K37" s="73"/>
      <c r="L37" s="38"/>
      <c r="P37" s="19"/>
    </row>
    <row r="38" spans="1:16" ht="15.75" x14ac:dyDescent="0.25">
      <c r="A38" s="92"/>
      <c r="B38" s="26"/>
      <c r="C38" s="44"/>
      <c r="D38" s="44"/>
      <c r="E38" s="44"/>
      <c r="F38" s="44"/>
      <c r="G38" s="44"/>
      <c r="H38" s="26"/>
      <c r="I38" s="44"/>
      <c r="J38" s="44"/>
      <c r="K38" s="26"/>
      <c r="L38" s="39"/>
      <c r="P38" s="19"/>
    </row>
    <row r="39" spans="1:16" ht="15.75" x14ac:dyDescent="0.25">
      <c r="A39" s="93"/>
      <c r="B39" s="74"/>
      <c r="C39" s="45"/>
      <c r="D39" s="45"/>
      <c r="E39" s="45"/>
      <c r="F39" s="45"/>
      <c r="G39" s="45"/>
      <c r="H39" s="74"/>
      <c r="I39" s="45"/>
      <c r="J39" s="45"/>
      <c r="K39" s="74"/>
      <c r="L39" s="40"/>
      <c r="P39" s="19"/>
    </row>
    <row r="40" spans="1:16" ht="8.1" customHeight="1" x14ac:dyDescent="0.25">
      <c r="A40" s="19"/>
      <c r="B40" s="19"/>
      <c r="C40" s="19"/>
      <c r="D40" s="19"/>
      <c r="E40" s="19"/>
      <c r="F40" s="19"/>
      <c r="G40" s="19"/>
      <c r="H40" s="19"/>
      <c r="I40" s="75"/>
      <c r="J40" s="75"/>
      <c r="K40" s="19"/>
    </row>
    <row r="41" spans="1:16" ht="15.75" x14ac:dyDescent="0.25">
      <c r="A41" s="91" t="str" cm="1">
        <f t="array" ref="A41">_xlfn._xlws.FILTER('Filter Cert Data'!A56:L58,'Filter Cert Data'!A56:A58&lt;&gt;"","")</f>
        <v/>
      </c>
      <c r="B41" s="73"/>
      <c r="C41" s="43"/>
      <c r="D41" s="43"/>
      <c r="E41" s="43"/>
      <c r="F41" s="43"/>
      <c r="G41" s="43"/>
      <c r="H41" s="73"/>
      <c r="I41" s="43"/>
      <c r="J41" s="43"/>
      <c r="K41" s="73"/>
      <c r="L41" s="38"/>
      <c r="P41" s="19"/>
    </row>
    <row r="42" spans="1:16" ht="15.75" x14ac:dyDescent="0.25">
      <c r="A42" s="92"/>
      <c r="B42" s="26"/>
      <c r="C42" s="44"/>
      <c r="D42" s="44"/>
      <c r="E42" s="44"/>
      <c r="F42" s="44"/>
      <c r="G42" s="44"/>
      <c r="H42" s="26"/>
      <c r="I42" s="44"/>
      <c r="J42" s="44"/>
      <c r="K42" s="26"/>
      <c r="L42" s="39"/>
      <c r="P42" s="19"/>
    </row>
    <row r="43" spans="1:16" ht="15.75" x14ac:dyDescent="0.25">
      <c r="A43" s="93"/>
      <c r="B43" s="74"/>
      <c r="C43" s="45"/>
      <c r="D43" s="45"/>
      <c r="E43" s="45"/>
      <c r="F43" s="45"/>
      <c r="G43" s="45"/>
      <c r="H43" s="74"/>
      <c r="I43" s="45"/>
      <c r="J43" s="45"/>
      <c r="K43" s="74"/>
      <c r="L43" s="40"/>
      <c r="P43" s="19"/>
    </row>
    <row r="44" spans="1:16" ht="8.1" customHeight="1" x14ac:dyDescent="0.25">
      <c r="A44" s="19"/>
      <c r="B44" s="19"/>
      <c r="C44" s="19"/>
      <c r="D44" s="19"/>
      <c r="E44" s="19"/>
      <c r="F44" s="19"/>
      <c r="G44" s="19"/>
      <c r="H44" s="19"/>
      <c r="I44" s="75"/>
      <c r="J44" s="75"/>
      <c r="K44" s="19"/>
    </row>
    <row r="45" spans="1:16" ht="15.75" x14ac:dyDescent="0.25">
      <c r="A45" s="91" t="str" cm="1">
        <f t="array" ref="A45">_xlfn._xlws.FILTER('Filter Cert Data'!A60:L62,'Filter Cert Data'!A60:A62&lt;&gt;"","")</f>
        <v/>
      </c>
      <c r="B45" s="73"/>
      <c r="C45" s="43"/>
      <c r="D45" s="43"/>
      <c r="E45" s="43"/>
      <c r="F45" s="43"/>
      <c r="G45" s="43"/>
      <c r="H45" s="73"/>
      <c r="I45" s="43"/>
      <c r="J45" s="43"/>
      <c r="K45" s="73"/>
      <c r="L45" s="38"/>
      <c r="P45" s="19"/>
    </row>
    <row r="46" spans="1:16" ht="15.75" x14ac:dyDescent="0.25">
      <c r="A46" s="92"/>
      <c r="B46" s="26"/>
      <c r="C46" s="44"/>
      <c r="D46" s="44"/>
      <c r="E46" s="44"/>
      <c r="F46" s="44"/>
      <c r="G46" s="44"/>
      <c r="H46" s="26"/>
      <c r="I46" s="44"/>
      <c r="J46" s="44"/>
      <c r="K46" s="26"/>
      <c r="L46" s="39"/>
      <c r="P46" s="19"/>
    </row>
    <row r="47" spans="1:16" ht="15.75" x14ac:dyDescent="0.25">
      <c r="A47" s="93"/>
      <c r="B47" s="74"/>
      <c r="C47" s="45"/>
      <c r="D47" s="45"/>
      <c r="E47" s="45"/>
      <c r="F47" s="45"/>
      <c r="G47" s="45"/>
      <c r="H47" s="74"/>
      <c r="I47" s="45"/>
      <c r="J47" s="45"/>
      <c r="K47" s="74"/>
      <c r="L47" s="40"/>
      <c r="P47" s="19"/>
    </row>
    <row r="48" spans="1:16" ht="8.1" customHeight="1" x14ac:dyDescent="0.25">
      <c r="A48" s="19"/>
      <c r="B48" s="19"/>
      <c r="C48" s="19"/>
      <c r="D48" s="19"/>
      <c r="E48" s="19"/>
      <c r="F48" s="19"/>
      <c r="G48" s="19"/>
      <c r="H48" s="19"/>
      <c r="I48" s="19"/>
      <c r="J48" s="19"/>
      <c r="K48" s="19"/>
    </row>
    <row r="49" spans="1:27" x14ac:dyDescent="0.25">
      <c r="A49" s="113" t="s">
        <v>100</v>
      </c>
      <c r="B49" s="113"/>
      <c r="C49" s="113"/>
      <c r="D49" s="113"/>
      <c r="E49" s="113"/>
      <c r="F49" s="113"/>
      <c r="G49" s="113"/>
      <c r="H49" s="113"/>
      <c r="I49" s="113"/>
      <c r="J49" s="113"/>
      <c r="K49" s="113"/>
      <c r="L49" s="113"/>
      <c r="M49" s="113"/>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1" t="str">
        <f>IF(Worksheet!F15="","",Worksheet!F15)</f>
        <v/>
      </c>
      <c r="E51" s="41" t="str">
        <f>IF(Worksheet!G15="","",Worksheet!G15)</f>
        <v/>
      </c>
      <c r="F51" s="41" t="str">
        <f>IF(Worksheet!H15="","",Worksheet!H15)</f>
        <v/>
      </c>
      <c r="G51" s="41" t="str">
        <f>IF(Worksheet!I15="","",Worksheet!I15)</f>
        <v/>
      </c>
      <c r="H51" s="41" t="str">
        <f>IF(Worksheet!J15="","",Worksheet!J15)</f>
        <v/>
      </c>
      <c r="I51" s="41" t="str">
        <f>IF(Worksheet!K15="","",Worksheet!K15)</f>
        <v/>
      </c>
      <c r="J51" s="41" t="str">
        <f>IF(Worksheet!L15="","",Worksheet!L15)</f>
        <v/>
      </c>
      <c r="K51" s="41" t="str">
        <f>IF(Worksheet!N15="","",Worksheet!N15)</f>
        <v/>
      </c>
      <c r="L51" s="41" t="str">
        <f>IF(Worksheet!O15="","",Worksheet!O15)</f>
        <v/>
      </c>
      <c r="M51" s="42"/>
    </row>
    <row r="52" spans="1:27" ht="80.25" customHeight="1" x14ac:dyDescent="0.25">
      <c r="A52" s="145" t="str">
        <f>IF(Worksheet!D11="Yes",'CERT AL'!A77,'CERT AL'!A66)</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45"/>
      <c r="C52" s="145"/>
      <c r="D52" s="145"/>
      <c r="E52" s="145"/>
      <c r="F52" s="145"/>
      <c r="G52" s="145"/>
      <c r="H52" s="145"/>
      <c r="I52" s="145"/>
      <c r="J52" s="145"/>
      <c r="K52" s="145"/>
      <c r="L52" s="145"/>
      <c r="M52" s="145"/>
    </row>
    <row r="53" spans="1:27" x14ac:dyDescent="0.25">
      <c r="A53" s="113" t="s">
        <v>100</v>
      </c>
      <c r="B53" s="113"/>
      <c r="C53" s="113"/>
      <c r="D53" s="113"/>
      <c r="E53" s="113"/>
      <c r="F53" s="113"/>
      <c r="G53" s="113"/>
      <c r="H53" s="113"/>
      <c r="I53" s="113"/>
      <c r="J53" s="113"/>
      <c r="K53" s="113"/>
      <c r="L53" s="113"/>
      <c r="M53" s="113"/>
    </row>
    <row r="54" spans="1:27" ht="15" customHeight="1" x14ac:dyDescent="0.25">
      <c r="A54" s="76" t="s">
        <v>109</v>
      </c>
      <c r="B54" s="146" t="s">
        <v>110</v>
      </c>
      <c r="C54" s="146"/>
      <c r="D54" s="146"/>
      <c r="E54" s="146"/>
      <c r="F54" s="146"/>
      <c r="G54" s="146"/>
      <c r="H54" s="146"/>
      <c r="I54" s="146"/>
      <c r="J54" s="146"/>
      <c r="K54" s="146"/>
      <c r="L54" s="146"/>
      <c r="M54" s="146"/>
      <c r="O54" s="142" t="str">
        <f>IFERROR(VLOOKUP(Worksheet!$B47,DropDowns!H3:J8,3,FALSE),"")</f>
        <v/>
      </c>
      <c r="P54" s="142"/>
      <c r="Q54" s="142"/>
      <c r="R54" s="142"/>
      <c r="S54" s="142"/>
      <c r="T54" s="142"/>
      <c r="U54" s="142"/>
      <c r="V54" s="142"/>
      <c r="W54" s="142"/>
      <c r="X54" s="142"/>
      <c r="Y54" s="142"/>
      <c r="Z54" s="142"/>
      <c r="AA54" s="142"/>
    </row>
    <row r="55" spans="1:27" ht="15" customHeight="1" x14ac:dyDescent="0.25">
      <c r="A55" s="1"/>
      <c r="B55" s="146"/>
      <c r="C55" s="146"/>
      <c r="D55" s="146"/>
      <c r="E55" s="146"/>
      <c r="F55" s="146"/>
      <c r="G55" s="146"/>
      <c r="H55" s="146"/>
      <c r="I55" s="146"/>
      <c r="J55" s="146"/>
      <c r="K55" s="146"/>
      <c r="L55" s="146"/>
      <c r="M55" s="146"/>
      <c r="O55" s="142"/>
      <c r="P55" s="142"/>
      <c r="Q55" s="142"/>
      <c r="R55" s="142"/>
      <c r="S55" s="142"/>
      <c r="T55" s="142"/>
      <c r="U55" s="142"/>
      <c r="V55" s="142"/>
      <c r="W55" s="142"/>
      <c r="X55" s="142"/>
      <c r="Y55" s="142"/>
      <c r="Z55" s="142"/>
      <c r="AA55" s="142"/>
    </row>
    <row r="56" spans="1:27" ht="20.100000000000001" customHeight="1" x14ac:dyDescent="0.25">
      <c r="A56" s="1"/>
      <c r="B56" s="146"/>
      <c r="C56" s="146"/>
      <c r="D56" s="146"/>
      <c r="E56" s="146"/>
      <c r="F56" s="146"/>
      <c r="G56" s="146"/>
      <c r="H56" s="146"/>
      <c r="I56" s="146"/>
      <c r="J56" s="146"/>
      <c r="K56" s="146"/>
      <c r="L56" s="146"/>
      <c r="M56" s="146"/>
      <c r="O56" s="142"/>
      <c r="P56" s="142"/>
      <c r="Q56" s="142"/>
      <c r="R56" s="142"/>
      <c r="S56" s="142"/>
      <c r="T56" s="142"/>
      <c r="U56" s="142"/>
      <c r="V56" s="142"/>
      <c r="W56" s="142"/>
      <c r="X56" s="142"/>
      <c r="Y56" s="142"/>
      <c r="Z56" s="142"/>
      <c r="AA56" s="142"/>
    </row>
    <row r="57" spans="1:27" ht="15.75" x14ac:dyDescent="0.25">
      <c r="A57" s="1" t="s">
        <v>9</v>
      </c>
      <c r="B57" s="134" t="str">
        <f>IF(Worksheet!L3="","",Worksheet!L3)</f>
        <v>Used</v>
      </c>
      <c r="C57" s="134"/>
    </row>
    <row r="58" spans="1:27" ht="15.75" x14ac:dyDescent="0.25">
      <c r="A58" s="1" t="s">
        <v>111</v>
      </c>
      <c r="B58" s="134" t="str">
        <f>Worksheet!O47</f>
        <v/>
      </c>
      <c r="C58" s="134"/>
    </row>
    <row r="59" spans="1:27" ht="12" customHeight="1" x14ac:dyDescent="0.25">
      <c r="A59" s="144" t="str">
        <f>IF(Worksheet!D11="YES",'CERT AL'!A87,"")</f>
        <v/>
      </c>
      <c r="B59" s="144"/>
      <c r="C59" s="144"/>
      <c r="D59" s="144"/>
      <c r="E59" s="144"/>
      <c r="F59" s="144"/>
      <c r="G59" s="144"/>
      <c r="H59" s="144"/>
      <c r="I59" s="144"/>
      <c r="J59" s="144"/>
      <c r="K59" s="144"/>
      <c r="L59" s="144"/>
      <c r="M59" s="144"/>
    </row>
    <row r="60" spans="1:27" ht="12" customHeight="1" x14ac:dyDescent="0.25">
      <c r="A60" s="144"/>
      <c r="B60" s="144"/>
      <c r="C60" s="144"/>
      <c r="D60" s="144"/>
      <c r="E60" s="144"/>
      <c r="F60" s="144"/>
      <c r="G60" s="144"/>
      <c r="H60" s="144"/>
      <c r="I60" s="144"/>
      <c r="J60" s="144"/>
      <c r="K60" s="144"/>
      <c r="L60" s="144"/>
      <c r="M60" s="144"/>
    </row>
    <row r="61" spans="1:27" x14ac:dyDescent="0.25">
      <c r="A61" s="113" t="s">
        <v>100</v>
      </c>
      <c r="B61" s="113"/>
      <c r="C61" s="113"/>
      <c r="D61" s="113"/>
      <c r="E61" s="113"/>
      <c r="F61" s="113"/>
      <c r="G61" s="113"/>
      <c r="H61" s="113"/>
      <c r="I61" s="113"/>
      <c r="J61" s="113"/>
      <c r="K61" s="113"/>
      <c r="L61" s="113"/>
      <c r="M61" s="113"/>
    </row>
    <row r="65" spans="1:16" x14ac:dyDescent="0.25">
      <c r="A65" s="64" t="s">
        <v>112</v>
      </c>
    </row>
    <row r="66" spans="1:16" x14ac:dyDescent="0.25">
      <c r="A66" s="143" t="s">
        <v>859</v>
      </c>
      <c r="B66" s="143"/>
      <c r="C66" s="143"/>
      <c r="D66" s="143"/>
      <c r="E66" s="143"/>
      <c r="F66" s="143"/>
      <c r="G66" s="143"/>
      <c r="H66" s="143"/>
      <c r="I66" s="143"/>
      <c r="J66" s="143"/>
      <c r="K66" s="143"/>
      <c r="L66" s="143"/>
      <c r="M66" s="143"/>
      <c r="N66" s="143"/>
      <c r="O66" s="143"/>
    </row>
    <row r="67" spans="1:16" x14ac:dyDescent="0.25">
      <c r="A67" s="143"/>
      <c r="B67" s="143"/>
      <c r="C67" s="143"/>
      <c r="D67" s="143"/>
      <c r="E67" s="143"/>
      <c r="F67" s="143"/>
      <c r="G67" s="143"/>
      <c r="H67" s="143"/>
      <c r="I67" s="143"/>
      <c r="J67" s="143"/>
      <c r="K67" s="143"/>
      <c r="L67" s="143"/>
      <c r="M67" s="143"/>
      <c r="N67" s="143"/>
      <c r="O67" s="143"/>
    </row>
    <row r="68" spans="1:16" x14ac:dyDescent="0.25">
      <c r="A68" s="143"/>
      <c r="B68" s="143"/>
      <c r="C68" s="143"/>
      <c r="D68" s="143"/>
      <c r="E68" s="143"/>
      <c r="F68" s="143"/>
      <c r="G68" s="143"/>
      <c r="H68" s="143"/>
      <c r="I68" s="143"/>
      <c r="J68" s="143"/>
      <c r="K68" s="143"/>
      <c r="L68" s="143"/>
      <c r="M68" s="143"/>
      <c r="N68" s="143"/>
      <c r="O68" s="143"/>
    </row>
    <row r="69" spans="1:16" x14ac:dyDescent="0.25">
      <c r="A69" s="143"/>
      <c r="B69" s="143"/>
      <c r="C69" s="143"/>
      <c r="D69" s="143"/>
      <c r="E69" s="143"/>
      <c r="F69" s="143"/>
      <c r="G69" s="143"/>
      <c r="H69" s="143"/>
      <c r="I69" s="143"/>
      <c r="J69" s="143"/>
      <c r="K69" s="143"/>
      <c r="L69" s="143"/>
      <c r="M69" s="143"/>
      <c r="N69" s="143"/>
      <c r="O69" s="143"/>
    </row>
    <row r="70" spans="1:16" x14ac:dyDescent="0.25">
      <c r="A70" s="143"/>
      <c r="B70" s="143"/>
      <c r="C70" s="143"/>
      <c r="D70" s="143"/>
      <c r="E70" s="143"/>
      <c r="F70" s="143"/>
      <c r="G70" s="143"/>
      <c r="H70" s="143"/>
      <c r="I70" s="143"/>
      <c r="J70" s="143"/>
      <c r="K70" s="143"/>
      <c r="L70" s="143"/>
      <c r="M70" s="143"/>
      <c r="N70" s="143"/>
      <c r="O70" s="143"/>
    </row>
    <row r="71" spans="1:16" x14ac:dyDescent="0.25">
      <c r="A71" s="143"/>
      <c r="B71" s="143"/>
      <c r="C71" s="143"/>
      <c r="D71" s="143"/>
      <c r="E71" s="143"/>
      <c r="F71" s="143"/>
      <c r="G71" s="143"/>
      <c r="H71" s="143"/>
      <c r="I71" s="143"/>
      <c r="J71" s="143"/>
      <c r="K71" s="143"/>
      <c r="L71" s="143"/>
      <c r="M71" s="143"/>
      <c r="N71" s="143"/>
      <c r="O71" s="143"/>
    </row>
    <row r="72" spans="1:16" x14ac:dyDescent="0.25">
      <c r="A72" s="143"/>
      <c r="B72" s="143"/>
      <c r="C72" s="143"/>
      <c r="D72" s="143"/>
      <c r="E72" s="143"/>
      <c r="F72" s="143"/>
      <c r="G72" s="143"/>
      <c r="H72" s="143"/>
      <c r="I72" s="143"/>
      <c r="J72" s="143"/>
      <c r="K72" s="143"/>
      <c r="L72" s="143"/>
      <c r="M72" s="143"/>
      <c r="N72" s="143"/>
      <c r="O72" s="143"/>
    </row>
    <row r="73" spans="1:16" x14ac:dyDescent="0.25">
      <c r="A73" s="143"/>
      <c r="B73" s="143"/>
      <c r="C73" s="143"/>
      <c r="D73" s="143"/>
      <c r="E73" s="143"/>
      <c r="F73" s="143"/>
      <c r="G73" s="143"/>
      <c r="H73" s="143"/>
      <c r="I73" s="143"/>
      <c r="J73" s="143"/>
      <c r="K73" s="143"/>
      <c r="L73" s="143"/>
      <c r="M73" s="143"/>
      <c r="N73" s="143"/>
      <c r="O73" s="143"/>
    </row>
    <row r="76" spans="1:16" x14ac:dyDescent="0.25">
      <c r="A76" s="64" t="s">
        <v>113</v>
      </c>
    </row>
    <row r="77" spans="1:16" ht="15" customHeight="1" x14ac:dyDescent="0.25">
      <c r="A77" s="143" t="s">
        <v>860</v>
      </c>
      <c r="B77" s="143"/>
      <c r="C77" s="143"/>
      <c r="D77" s="143"/>
      <c r="E77" s="143"/>
      <c r="F77" s="143"/>
      <c r="G77" s="143"/>
      <c r="H77" s="143"/>
      <c r="I77" s="143"/>
      <c r="J77" s="143"/>
      <c r="K77" s="143"/>
      <c r="L77" s="143"/>
      <c r="M77" s="143"/>
      <c r="N77" s="143"/>
      <c r="O77" s="143"/>
      <c r="P77" s="24"/>
    </row>
    <row r="78" spans="1:16" x14ac:dyDescent="0.25">
      <c r="A78" s="143"/>
      <c r="B78" s="143"/>
      <c r="C78" s="143"/>
      <c r="D78" s="143"/>
      <c r="E78" s="143"/>
      <c r="F78" s="143"/>
      <c r="G78" s="143"/>
      <c r="H78" s="143"/>
      <c r="I78" s="143"/>
      <c r="J78" s="143"/>
      <c r="K78" s="143"/>
      <c r="L78" s="143"/>
      <c r="M78" s="143"/>
      <c r="N78" s="143"/>
      <c r="O78" s="143"/>
      <c r="P78" s="24"/>
    </row>
    <row r="79" spans="1:16" x14ac:dyDescent="0.25">
      <c r="A79" s="143"/>
      <c r="B79" s="143"/>
      <c r="C79" s="143"/>
      <c r="D79" s="143"/>
      <c r="E79" s="143"/>
      <c r="F79" s="143"/>
      <c r="G79" s="143"/>
      <c r="H79" s="143"/>
      <c r="I79" s="143"/>
      <c r="J79" s="143"/>
      <c r="K79" s="143"/>
      <c r="L79" s="143"/>
      <c r="M79" s="143"/>
      <c r="N79" s="143"/>
      <c r="O79" s="143"/>
      <c r="P79" s="24"/>
    </row>
    <row r="80" spans="1:16" x14ac:dyDescent="0.25">
      <c r="A80" s="143"/>
      <c r="B80" s="143"/>
      <c r="C80" s="143"/>
      <c r="D80" s="143"/>
      <c r="E80" s="143"/>
      <c r="F80" s="143"/>
      <c r="G80" s="143"/>
      <c r="H80" s="143"/>
      <c r="I80" s="143"/>
      <c r="J80" s="143"/>
      <c r="K80" s="143"/>
      <c r="L80" s="143"/>
      <c r="M80" s="143"/>
      <c r="N80" s="143"/>
      <c r="O80" s="143"/>
      <c r="P80" s="24"/>
    </row>
    <row r="81" spans="1:16" x14ac:dyDescent="0.25">
      <c r="A81" s="143"/>
      <c r="B81" s="143"/>
      <c r="C81" s="143"/>
      <c r="D81" s="143"/>
      <c r="E81" s="143"/>
      <c r="F81" s="143"/>
      <c r="G81" s="143"/>
      <c r="H81" s="143"/>
      <c r="I81" s="143"/>
      <c r="J81" s="143"/>
      <c r="K81" s="143"/>
      <c r="L81" s="143"/>
      <c r="M81" s="143"/>
      <c r="N81" s="143"/>
      <c r="O81" s="143"/>
      <c r="P81" s="24"/>
    </row>
    <row r="82" spans="1:16" x14ac:dyDescent="0.25">
      <c r="A82" s="143"/>
      <c r="B82" s="143"/>
      <c r="C82" s="143"/>
      <c r="D82" s="143"/>
      <c r="E82" s="143"/>
      <c r="F82" s="143"/>
      <c r="G82" s="143"/>
      <c r="H82" s="143"/>
      <c r="I82" s="143"/>
      <c r="J82" s="143"/>
      <c r="K82" s="143"/>
      <c r="L82" s="143"/>
      <c r="M82" s="143"/>
      <c r="N82" s="143"/>
      <c r="O82" s="143"/>
      <c r="P82" s="24"/>
    </row>
    <row r="83" spans="1:16" x14ac:dyDescent="0.25">
      <c r="A83" s="143"/>
      <c r="B83" s="143"/>
      <c r="C83" s="143"/>
      <c r="D83" s="143"/>
      <c r="E83" s="143"/>
      <c r="F83" s="143"/>
      <c r="G83" s="143"/>
      <c r="H83" s="143"/>
      <c r="I83" s="143"/>
      <c r="J83" s="143"/>
      <c r="K83" s="143"/>
      <c r="L83" s="143"/>
      <c r="M83" s="143"/>
      <c r="N83" s="143"/>
      <c r="O83" s="143"/>
      <c r="P83" s="24"/>
    </row>
    <row r="84" spans="1:16" x14ac:dyDescent="0.25">
      <c r="A84" s="143"/>
      <c r="B84" s="143"/>
      <c r="C84" s="143"/>
      <c r="D84" s="143"/>
      <c r="E84" s="143"/>
      <c r="F84" s="143"/>
      <c r="G84" s="143"/>
      <c r="H84" s="143"/>
      <c r="I84" s="143"/>
      <c r="J84" s="143"/>
      <c r="K84" s="143"/>
      <c r="L84" s="143"/>
      <c r="M84" s="143"/>
      <c r="N84" s="143"/>
      <c r="O84" s="143"/>
      <c r="P84" s="24"/>
    </row>
    <row r="86" spans="1:16" x14ac:dyDescent="0.25">
      <c r="A86" s="64" t="s">
        <v>123</v>
      </c>
    </row>
    <row r="87" spans="1:16" x14ac:dyDescent="0.25">
      <c r="A87" s="143" t="s">
        <v>124</v>
      </c>
      <c r="B87" s="143"/>
      <c r="C87" s="143"/>
      <c r="D87" s="143"/>
      <c r="E87" s="143"/>
      <c r="F87" s="143"/>
      <c r="G87" s="143"/>
      <c r="H87" s="143"/>
      <c r="I87" s="143"/>
      <c r="J87" s="143"/>
      <c r="K87" s="143"/>
      <c r="L87" s="143"/>
      <c r="M87" s="143"/>
      <c r="N87" s="143"/>
      <c r="O87" s="143"/>
    </row>
    <row r="88" spans="1:16" x14ac:dyDescent="0.25">
      <c r="A88" s="143"/>
      <c r="B88" s="143"/>
      <c r="C88" s="143"/>
      <c r="D88" s="143"/>
      <c r="E88" s="143"/>
      <c r="F88" s="143"/>
      <c r="G88" s="143"/>
      <c r="H88" s="143"/>
      <c r="I88" s="143"/>
      <c r="J88" s="143"/>
      <c r="K88" s="143"/>
      <c r="L88" s="143"/>
      <c r="M88" s="143"/>
      <c r="N88" s="143"/>
      <c r="O88" s="143"/>
    </row>
  </sheetData>
  <sheetProtection algorithmName="SHA-512" hashValue="QITagOvb2yXaEeIFD7Le1TDubTxBVUEaErVP32bXbYndc2UQhXy+HAKYIFLJio1bI3WO61g95GHYa03/ArY9Ng==" saltValue="tkugrx/A/pZxyI5jPM1irQ==" spinCount="100000" sheet="1" objects="1" scenarios="1"/>
  <protectedRanges>
    <protectedRange sqref="B54:M56" name="AL Comments"/>
    <protectedRange sqref="F6:G6" name="AL Pages"/>
  </protectedRanges>
  <mergeCells count="30">
    <mergeCell ref="A53:M53"/>
    <mergeCell ref="A61:M61"/>
    <mergeCell ref="AS2:AT2"/>
    <mergeCell ref="B57:C57"/>
    <mergeCell ref="B58:C58"/>
    <mergeCell ref="A52:M52"/>
    <mergeCell ref="J14:K14"/>
    <mergeCell ref="J15:K15"/>
    <mergeCell ref="A16:M16"/>
    <mergeCell ref="A19:M19"/>
    <mergeCell ref="A49:M49"/>
    <mergeCell ref="AG2:AH2"/>
    <mergeCell ref="AJ2:AK2"/>
    <mergeCell ref="AM2:AN2"/>
    <mergeCell ref="AP2:AQ2"/>
    <mergeCell ref="J13:K13"/>
    <mergeCell ref="A87:O88"/>
    <mergeCell ref="A59:M60"/>
    <mergeCell ref="A77:O84"/>
    <mergeCell ref="A66:O73"/>
    <mergeCell ref="B54:M56"/>
    <mergeCell ref="O54:AA56"/>
    <mergeCell ref="B1:K1"/>
    <mergeCell ref="B2:K2"/>
    <mergeCell ref="B3:K3"/>
    <mergeCell ref="J11:K11"/>
    <mergeCell ref="J12:K12"/>
    <mergeCell ref="D4:I4"/>
    <mergeCell ref="E5:H5"/>
    <mergeCell ref="F6:G6"/>
  </mergeCells>
  <printOptions horizontalCentered="1" verticalCentered="1"/>
  <pageMargins left="0" right="0" top="0.5" bottom="0.85" header="0.3" footer="0.3"/>
  <pageSetup scale="71" orientation="portrait" horizontalDpi="4294967295" verticalDpi="4294967295" r:id="rId1"/>
  <customProperties>
    <customPr name="%locator_row%" r:id="rId2"/>
    <customPr name="%startcell%" r:id="rId3"/>
  </customProperties>
  <drawing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AI24"/>
  <sheetViews>
    <sheetView workbookViewId="0">
      <selection activeCell="D19" sqref="D19"/>
    </sheetView>
  </sheetViews>
  <sheetFormatPr defaultRowHeight="15" x14ac:dyDescent="0.25"/>
  <cols>
    <col min="6" max="6" width="10.28515625" customWidth="1"/>
    <col min="7" max="7" width="11.7109375" customWidth="1"/>
    <col min="8" max="8" width="86.140625" bestFit="1" customWidth="1"/>
    <col min="9" max="9" width="14.140625" bestFit="1" customWidth="1"/>
  </cols>
  <sheetData>
    <row r="2" spans="2:35" x14ac:dyDescent="0.25">
      <c r="B2" s="99" t="s">
        <v>137</v>
      </c>
      <c r="D2" s="99" t="s">
        <v>138</v>
      </c>
      <c r="H2" s="99" t="s">
        <v>139</v>
      </c>
      <c r="I2" s="99" t="s">
        <v>140</v>
      </c>
      <c r="J2" s="147" t="s">
        <v>831</v>
      </c>
      <c r="K2" s="147"/>
      <c r="L2" s="147"/>
      <c r="M2" s="147"/>
      <c r="N2" s="147"/>
      <c r="O2" s="147"/>
      <c r="P2" s="147"/>
      <c r="Q2" s="147"/>
      <c r="R2" s="147"/>
      <c r="S2" s="147"/>
      <c r="T2" s="147"/>
      <c r="U2" s="147"/>
      <c r="V2" s="147"/>
      <c r="W2" s="147"/>
      <c r="X2" s="147"/>
      <c r="Y2" s="147"/>
      <c r="Z2" s="147"/>
      <c r="AA2" s="147"/>
      <c r="AB2" s="147"/>
      <c r="AC2" s="147"/>
      <c r="AD2" s="147"/>
      <c r="AE2" s="147"/>
      <c r="AF2" s="147"/>
      <c r="AG2" s="147"/>
      <c r="AH2" s="147"/>
      <c r="AI2" s="147"/>
    </row>
    <row r="3" spans="2:35" x14ac:dyDescent="0.25">
      <c r="B3" t="s">
        <v>141</v>
      </c>
      <c r="D3" t="s">
        <v>142</v>
      </c>
      <c r="H3" s="25" t="s">
        <v>114</v>
      </c>
      <c r="I3" t="s">
        <v>143</v>
      </c>
      <c r="J3" t="s">
        <v>110</v>
      </c>
    </row>
    <row r="4" spans="2:35" ht="15" customHeight="1" x14ac:dyDescent="0.25">
      <c r="B4" t="s">
        <v>144</v>
      </c>
      <c r="D4" t="s">
        <v>10</v>
      </c>
      <c r="H4" t="s">
        <v>115</v>
      </c>
      <c r="I4" t="s">
        <v>143</v>
      </c>
      <c r="J4" t="s">
        <v>116</v>
      </c>
    </row>
    <row r="5" spans="2:35" x14ac:dyDescent="0.25">
      <c r="B5" t="s">
        <v>145</v>
      </c>
      <c r="H5" t="s">
        <v>117</v>
      </c>
      <c r="I5" t="s">
        <v>143</v>
      </c>
      <c r="J5" t="s">
        <v>118</v>
      </c>
    </row>
    <row r="6" spans="2:35" x14ac:dyDescent="0.25">
      <c r="H6" t="s">
        <v>119</v>
      </c>
      <c r="I6" t="s">
        <v>143</v>
      </c>
      <c r="J6" t="s">
        <v>120</v>
      </c>
    </row>
    <row r="7" spans="2:35" x14ac:dyDescent="0.25">
      <c r="H7" t="s">
        <v>121</v>
      </c>
      <c r="I7" t="s">
        <v>146</v>
      </c>
      <c r="J7" t="s">
        <v>122</v>
      </c>
    </row>
    <row r="8" spans="2:35" x14ac:dyDescent="0.25">
      <c r="H8" t="s">
        <v>147</v>
      </c>
      <c r="I8" t="s">
        <v>143</v>
      </c>
      <c r="J8" t="s">
        <v>125</v>
      </c>
    </row>
    <row r="10" spans="2:35" x14ac:dyDescent="0.25">
      <c r="B10" s="99" t="s">
        <v>148</v>
      </c>
    </row>
    <row r="12" spans="2:35" x14ac:dyDescent="0.25">
      <c r="B12" t="str" cm="1">
        <f t="array" ref="B12:B24">Thresholds[Scale]</f>
        <v>HRA</v>
      </c>
      <c r="H12" s="99" t="s">
        <v>149</v>
      </c>
      <c r="I12" s="99" t="s">
        <v>150</v>
      </c>
      <c r="J12" s="147" t="s">
        <v>830</v>
      </c>
      <c r="K12" s="147"/>
      <c r="L12" s="147"/>
      <c r="M12" s="147"/>
      <c r="N12" s="147"/>
      <c r="O12" s="147"/>
      <c r="P12" s="147"/>
      <c r="Q12" s="147"/>
      <c r="R12" s="147"/>
      <c r="S12" s="147"/>
      <c r="T12" s="147"/>
      <c r="U12" s="147"/>
      <c r="V12" s="147"/>
      <c r="W12" s="147"/>
      <c r="X12" s="147"/>
      <c r="Y12" s="147"/>
      <c r="Z12" s="147"/>
      <c r="AA12" s="147"/>
      <c r="AB12" s="147"/>
      <c r="AC12" s="147"/>
    </row>
    <row r="13" spans="2:35" x14ac:dyDescent="0.25">
      <c r="B13" t="str">
        <v>HRBW</v>
      </c>
      <c r="H13" t="s">
        <v>129</v>
      </c>
      <c r="I13" t="s">
        <v>151</v>
      </c>
      <c r="J13" t="s">
        <v>128</v>
      </c>
    </row>
    <row r="14" spans="2:35" x14ac:dyDescent="0.25">
      <c r="B14" t="str">
        <v>HRC</v>
      </c>
      <c r="H14" t="s">
        <v>130</v>
      </c>
      <c r="I14" t="s">
        <v>146</v>
      </c>
      <c r="J14" t="s">
        <v>131</v>
      </c>
    </row>
    <row r="15" spans="2:35" x14ac:dyDescent="0.25">
      <c r="B15" t="str">
        <v>HREW</v>
      </c>
      <c r="H15" t="s">
        <v>132</v>
      </c>
      <c r="I15" t="s">
        <v>151</v>
      </c>
      <c r="J15" t="s">
        <v>133</v>
      </c>
    </row>
    <row r="16" spans="2:35" x14ac:dyDescent="0.25">
      <c r="B16" t="str">
        <v>HRFW</v>
      </c>
      <c r="I16" t="s">
        <v>152</v>
      </c>
    </row>
    <row r="17" spans="2:14" x14ac:dyDescent="0.25">
      <c r="B17" t="str">
        <v>HRHW</v>
      </c>
    </row>
    <row r="18" spans="2:14" x14ac:dyDescent="0.25">
      <c r="B18" t="str">
        <v>HR15N</v>
      </c>
      <c r="I18" t="s">
        <v>832</v>
      </c>
    </row>
    <row r="19" spans="2:14" ht="15.75" thickBot="1" x14ac:dyDescent="0.3">
      <c r="B19" t="str">
        <v>HR30N</v>
      </c>
      <c r="I19" s="83" t="s">
        <v>153</v>
      </c>
      <c r="J19" s="83" t="s">
        <v>154</v>
      </c>
      <c r="K19" s="83" t="s">
        <v>155</v>
      </c>
      <c r="L19" s="83" t="s">
        <v>156</v>
      </c>
      <c r="N19" s="85" t="s">
        <v>157</v>
      </c>
    </row>
    <row r="20" spans="2:14" ht="15.75" thickTop="1" x14ac:dyDescent="0.25">
      <c r="B20" t="str">
        <v>HR45N</v>
      </c>
      <c r="N20" t="e">
        <f>VLOOKUP(Worksheet!$D$4,Table1[],7,FALSE)</f>
        <v>#N/A</v>
      </c>
    </row>
    <row r="21" spans="2:14" x14ac:dyDescent="0.25">
      <c r="B21" t="str">
        <v>HR15TW</v>
      </c>
      <c r="I21" t="e" cm="1">
        <f t="array" ref="I21">IF(AND(#REF!),_xlfn._xlws.SORT(_xlfn.UNIQUE(Table1[companyname])),_xlfn._xlws.SORT(_xlfn.UNIQUE(_xlfn._xlws.FILTER(Table1[companyname],Table1[FILTER],""))))</f>
        <v>#REF!</v>
      </c>
      <c r="J21" t="str" cm="1">
        <f t="array" ref="J21">_xlfn._xlws.SORT(_xlfn.UNIQUE(_xlfn._xlws.FILTER(Table1[addrline1],Table1[companyname]=Worksheet!$D$4,"")))</f>
        <v/>
      </c>
      <c r="K21" t="str" cm="1">
        <f t="array" ref="K21">_xlfn._xlws.SORT(_xlfn.UNIQUE(_xlfn._xlws.FILTER(Table1[addrline2],Table1[companyname]=Worksheet!$D$4,"")))</f>
        <v/>
      </c>
      <c r="L21" t="str" cm="1">
        <f t="array" ref="L21">_xlfn._xlws.SORT(_xlfn.UNIQUE(_xlfn._xlws.FILTER(Table1[phonenumber],Table1[companyname]=Worksheet!$D$4,"")))</f>
        <v/>
      </c>
    </row>
    <row r="22" spans="2:14" x14ac:dyDescent="0.25">
      <c r="B22" t="str">
        <v>HR30TW</v>
      </c>
    </row>
    <row r="23" spans="2:14" x14ac:dyDescent="0.25">
      <c r="B23" t="str">
        <v>HR45TW</v>
      </c>
    </row>
    <row r="24" spans="2:14" x14ac:dyDescent="0.25">
      <c r="B24" t="str">
        <v>HRMW</v>
      </c>
    </row>
  </sheetData>
  <sheetProtection algorithmName="SHA-512" hashValue="woOFN/CT9R/TRTZ6YRaouywkUKM/rZqdTtyVlIWPTbAawpbl9LsoY3cLJ0mjYz/Pm0A6ZVdR/xXdD5DDxCLIfw==" saltValue="wI8oYB3wMylsuYGMpJlD1w==" spinCount="100000" sheet="1" objects="1" scenarios="1"/>
  <mergeCells count="2">
    <mergeCell ref="J2:AI2"/>
    <mergeCell ref="J12:AC12"/>
  </mergeCells>
  <pageMargins left="0.7" right="0.7" top="0.75" bottom="0.75" header="0.3" footer="0.3"/>
  <pageSetup orientation="portrait" r:id="rId1"/>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38"/>
  <sheetViews>
    <sheetView topLeftCell="A21" workbookViewId="0">
      <selection activeCell="E41" sqref="E41"/>
    </sheetView>
  </sheetViews>
  <sheetFormatPr defaultRowHeight="15" x14ac:dyDescent="0.25"/>
  <cols>
    <col min="1" max="1" width="40.5703125" bestFit="1" customWidth="1"/>
    <col min="2" max="2" width="16.42578125" bestFit="1" customWidth="1"/>
    <col min="3" max="3" width="4.140625" bestFit="1" customWidth="1"/>
    <col min="4" max="4" width="12" bestFit="1" customWidth="1"/>
    <col min="5" max="5" width="5.28515625" bestFit="1" customWidth="1"/>
    <col min="6" max="6" width="12" bestFit="1" customWidth="1"/>
    <col min="7" max="7" width="6.7109375" bestFit="1" customWidth="1"/>
    <col min="8" max="8" width="12" bestFit="1" customWidth="1"/>
    <col min="9" max="9" width="11" customWidth="1"/>
    <col min="10" max="10" width="6.42578125" bestFit="1" customWidth="1"/>
  </cols>
  <sheetData>
    <row r="1" spans="1:10" ht="15.75" thickBot="1" x14ac:dyDescent="0.3">
      <c r="A1" t="s">
        <v>158</v>
      </c>
      <c r="B1" t="s">
        <v>159</v>
      </c>
      <c r="C1" t="s">
        <v>160</v>
      </c>
      <c r="D1" t="s">
        <v>161</v>
      </c>
      <c r="E1" t="s">
        <v>162</v>
      </c>
      <c r="F1" t="s">
        <v>163</v>
      </c>
      <c r="G1" t="s">
        <v>164</v>
      </c>
      <c r="H1" t="s">
        <v>165</v>
      </c>
      <c r="I1" t="s">
        <v>166</v>
      </c>
      <c r="J1" t="s">
        <v>167</v>
      </c>
    </row>
    <row r="2" spans="1:10" x14ac:dyDescent="0.25">
      <c r="A2" t="s">
        <v>168</v>
      </c>
      <c r="B2" s="30" t="s">
        <v>169</v>
      </c>
      <c r="C2" s="31">
        <v>0.1</v>
      </c>
      <c r="D2" s="31">
        <v>0.31</v>
      </c>
      <c r="E2" s="31">
        <v>0</v>
      </c>
      <c r="F2" s="31">
        <v>0.28600278396116963</v>
      </c>
      <c r="G2" s="31">
        <v>0</v>
      </c>
      <c r="H2" s="31">
        <v>1</v>
      </c>
      <c r="I2" s="31" t="s">
        <v>170</v>
      </c>
      <c r="J2" s="31" t="str">
        <f>IF(Table3[[#This Row],[Item_C]]="Rockwell Indirect",
    IF(ISNUMBER(SEARCH("≥", Table3[[#This Row],[Main Name]])), "HIGH",
        IF(ISNUMBER(SEARCH("≤", Table3[[#This Row],[Main Name]])), "MID", "LOW")),
    "")</f>
        <v>LOW</v>
      </c>
    </row>
    <row r="3" spans="1:10" x14ac:dyDescent="0.25">
      <c r="A3" t="s">
        <v>171</v>
      </c>
      <c r="B3" s="32" t="s">
        <v>169</v>
      </c>
      <c r="C3">
        <v>0.1</v>
      </c>
      <c r="D3">
        <v>0.32</v>
      </c>
      <c r="E3">
        <v>0</v>
      </c>
      <c r="F3">
        <v>0.29579991959691171</v>
      </c>
      <c r="G3">
        <v>0</v>
      </c>
      <c r="H3">
        <v>1</v>
      </c>
      <c r="I3" t="s">
        <v>170</v>
      </c>
      <c r="J3" t="str">
        <f>IF(Table3[[#This Row],[Item_C]]="Rockwell Indirect",
    IF(ISNUMBER(SEARCH("≥", Table3[[#This Row],[Main Name]])), "HIGH",
        IF(ISNUMBER(SEARCH("≤", Table3[[#This Row],[Main Name]])), "MID", "LOW")),
    "")</f>
        <v>MID</v>
      </c>
    </row>
    <row r="4" spans="1:10" ht="15.75" thickBot="1" x14ac:dyDescent="0.3">
      <c r="A4" t="s">
        <v>172</v>
      </c>
      <c r="B4" s="32" t="s">
        <v>169</v>
      </c>
      <c r="C4">
        <v>0.1</v>
      </c>
      <c r="D4">
        <v>0.2</v>
      </c>
      <c r="E4">
        <v>0</v>
      </c>
      <c r="F4">
        <v>0.17971530940223054</v>
      </c>
      <c r="G4">
        <v>0</v>
      </c>
      <c r="H4">
        <v>1</v>
      </c>
      <c r="I4" t="s">
        <v>170</v>
      </c>
      <c r="J4" t="str">
        <f>IF(Table3[[#This Row],[Item_C]]="Rockwell Indirect",
    IF(ISNUMBER(SEARCH("≥", Table3[[#This Row],[Main Name]])), "HIGH",
        IF(ISNUMBER(SEARCH("≤", Table3[[#This Row],[Main Name]])), "MID", "LOW")),
    "")</f>
        <v>HIGH</v>
      </c>
    </row>
    <row r="5" spans="1:10" x14ac:dyDescent="0.25">
      <c r="A5" t="s">
        <v>173</v>
      </c>
      <c r="B5" s="32" t="s">
        <v>169</v>
      </c>
      <c r="C5">
        <v>0.1</v>
      </c>
      <c r="D5">
        <v>0.36</v>
      </c>
      <c r="E5">
        <v>0</v>
      </c>
      <c r="F5">
        <v>0.33510832940041863</v>
      </c>
      <c r="G5">
        <v>0</v>
      </c>
      <c r="H5">
        <v>1</v>
      </c>
      <c r="I5" t="s">
        <v>174</v>
      </c>
      <c r="J5" s="31" t="str">
        <f>IF(Table3[[#This Row],[Item_C]]="Rockwell Indirect",
    IF(ISNUMBER(SEARCH("≥", Table3[[#This Row],[Main Name]])), "HIGH",
        IF(ISNUMBER(SEARCH("≤", Table3[[#This Row],[Main Name]])), "MID", "LOW")),
    "")</f>
        <v>LOW</v>
      </c>
    </row>
    <row r="6" spans="1:10" x14ac:dyDescent="0.25">
      <c r="A6" t="s">
        <v>175</v>
      </c>
      <c r="B6" s="32" t="s">
        <v>169</v>
      </c>
      <c r="C6">
        <v>0.1</v>
      </c>
      <c r="D6">
        <v>0.26</v>
      </c>
      <c r="E6">
        <v>0</v>
      </c>
      <c r="F6">
        <v>0.24697690668064382</v>
      </c>
      <c r="G6">
        <v>0</v>
      </c>
      <c r="H6">
        <v>1</v>
      </c>
      <c r="I6" t="s">
        <v>174</v>
      </c>
      <c r="J6" t="str">
        <f>IF(Table3[[#This Row],[Item_C]]="Rockwell Indirect",
    IF(ISNUMBER(SEARCH("≥", Table3[[#This Row],[Main Name]])), "HIGH",
        IF(ISNUMBER(SEARCH("≤", Table3[[#This Row],[Main Name]])), "MID", "LOW")),
    "")</f>
        <v>MID</v>
      </c>
    </row>
    <row r="7" spans="1:10" ht="15.75" thickBot="1" x14ac:dyDescent="0.3">
      <c r="A7" t="s">
        <v>176</v>
      </c>
      <c r="B7" s="32" t="s">
        <v>169</v>
      </c>
      <c r="C7">
        <v>0.1</v>
      </c>
      <c r="D7">
        <v>0.39</v>
      </c>
      <c r="E7">
        <v>0</v>
      </c>
      <c r="F7">
        <v>0.37456320218828149</v>
      </c>
      <c r="G7">
        <v>0</v>
      </c>
      <c r="H7">
        <v>1</v>
      </c>
      <c r="I7" t="s">
        <v>174</v>
      </c>
      <c r="J7" t="str">
        <f>IF(Table3[[#This Row],[Item_C]]="Rockwell Indirect",
    IF(ISNUMBER(SEARCH("≥", Table3[[#This Row],[Main Name]])), "HIGH",
        IF(ISNUMBER(SEARCH("≤", Table3[[#This Row],[Main Name]])), "MID", "LOW")),
    "")</f>
        <v>HIGH</v>
      </c>
    </row>
    <row r="8" spans="1:10" x14ac:dyDescent="0.25">
      <c r="A8" t="s">
        <v>177</v>
      </c>
      <c r="B8" s="32" t="s">
        <v>169</v>
      </c>
      <c r="C8">
        <v>0.1</v>
      </c>
      <c r="D8">
        <v>0.39</v>
      </c>
      <c r="E8">
        <v>0</v>
      </c>
      <c r="F8">
        <v>0.37456320218828149</v>
      </c>
      <c r="G8">
        <v>0</v>
      </c>
      <c r="H8">
        <v>1</v>
      </c>
      <c r="I8" t="s">
        <v>178</v>
      </c>
      <c r="J8" s="31" t="str">
        <f>IF(Table3[[#This Row],[Item_C]]="Rockwell Indirect",
    IF(ISNUMBER(SEARCH("≥", Table3[[#This Row],[Main Name]])), "HIGH",
        IF(ISNUMBER(SEARCH("≤", Table3[[#This Row],[Main Name]])), "MID", "LOW")),
    "")</f>
        <v>LOW</v>
      </c>
    </row>
    <row r="9" spans="1:10" x14ac:dyDescent="0.25">
      <c r="A9" t="s">
        <v>179</v>
      </c>
      <c r="B9" s="32" t="s">
        <v>169</v>
      </c>
      <c r="C9">
        <v>0.1</v>
      </c>
      <c r="D9">
        <v>0.34</v>
      </c>
      <c r="E9">
        <v>0</v>
      </c>
      <c r="F9">
        <v>0.32526541844090873</v>
      </c>
      <c r="G9">
        <v>0</v>
      </c>
      <c r="H9">
        <v>1</v>
      </c>
      <c r="I9" t="s">
        <v>178</v>
      </c>
      <c r="J9" t="str">
        <f>IF(Table3[[#This Row],[Item_C]]="Rockwell Indirect",
    IF(ISNUMBER(SEARCH("≥", Table3[[#This Row],[Main Name]])), "HIGH",
        IF(ISNUMBER(SEARCH("≤", Table3[[#This Row],[Main Name]])), "MID", "LOW")),
    "")</f>
        <v>MID</v>
      </c>
    </row>
    <row r="10" spans="1:10" ht="15.75" thickBot="1" x14ac:dyDescent="0.3">
      <c r="A10" t="s">
        <v>180</v>
      </c>
      <c r="B10" s="32" t="s">
        <v>169</v>
      </c>
      <c r="C10">
        <v>0.1</v>
      </c>
      <c r="D10">
        <v>0.32</v>
      </c>
      <c r="E10">
        <v>0</v>
      </c>
      <c r="F10">
        <v>0.31543238963926873</v>
      </c>
      <c r="G10">
        <v>0</v>
      </c>
      <c r="H10">
        <v>1</v>
      </c>
      <c r="I10" t="s">
        <v>178</v>
      </c>
      <c r="J10" t="str">
        <f>IF(Table3[[#This Row],[Item_C]]="Rockwell Indirect",
    IF(ISNUMBER(SEARCH("≥", Table3[[#This Row],[Main Name]])), "HIGH",
        IF(ISNUMBER(SEARCH("≤", Table3[[#This Row],[Main Name]])), "MID", "LOW")),
    "")</f>
        <v>HIGH</v>
      </c>
    </row>
    <row r="11" spans="1:10" x14ac:dyDescent="0.25">
      <c r="A11" t="s">
        <v>181</v>
      </c>
      <c r="B11" s="32" t="s">
        <v>169</v>
      </c>
      <c r="C11">
        <v>0.1</v>
      </c>
      <c r="D11">
        <v>0.39</v>
      </c>
      <c r="E11">
        <v>0</v>
      </c>
      <c r="F11">
        <v>0.3646883497365106</v>
      </c>
      <c r="G11">
        <v>0</v>
      </c>
      <c r="H11">
        <v>1</v>
      </c>
      <c r="I11" t="s">
        <v>182</v>
      </c>
      <c r="J11" s="31" t="str">
        <f>IF(Table3[[#This Row],[Item_C]]="Rockwell Indirect",
    IF(ISNUMBER(SEARCH("≥", Table3[[#This Row],[Main Name]])), "HIGH",
        IF(ISNUMBER(SEARCH("≤", Table3[[#This Row],[Main Name]])), "MID", "LOW")),
    "")</f>
        <v>LOW</v>
      </c>
    </row>
    <row r="12" spans="1:10" x14ac:dyDescent="0.25">
      <c r="A12" t="s">
        <v>183</v>
      </c>
      <c r="B12" s="32" t="s">
        <v>169</v>
      </c>
      <c r="C12">
        <v>0.1</v>
      </c>
      <c r="D12">
        <v>0.49</v>
      </c>
      <c r="E12">
        <v>0</v>
      </c>
      <c r="F12">
        <v>0.48352620656334588</v>
      </c>
      <c r="G12">
        <v>0</v>
      </c>
      <c r="H12">
        <v>1</v>
      </c>
      <c r="I12" t="s">
        <v>182</v>
      </c>
      <c r="J12" t="str">
        <f>IF(Table3[[#This Row],[Item_C]]="Rockwell Indirect",
    IF(ISNUMBER(SEARCH("≥", Table3[[#This Row],[Main Name]])), "HIGH",
        IF(ISNUMBER(SEARCH("≤", Table3[[#This Row],[Main Name]])), "MID", "LOW")),
    "")</f>
        <v>MID</v>
      </c>
    </row>
    <row r="13" spans="1:10" ht="15.75" thickBot="1" x14ac:dyDescent="0.3">
      <c r="A13" t="s">
        <v>184</v>
      </c>
      <c r="B13" s="32" t="s">
        <v>169</v>
      </c>
      <c r="C13">
        <v>0.1</v>
      </c>
      <c r="D13">
        <v>0.49</v>
      </c>
      <c r="E13">
        <v>0</v>
      </c>
      <c r="F13">
        <v>0.48352620656334588</v>
      </c>
      <c r="G13">
        <v>0</v>
      </c>
      <c r="H13">
        <v>1</v>
      </c>
      <c r="I13" t="s">
        <v>182</v>
      </c>
      <c r="J13" t="str">
        <f>IF(Table3[[#This Row],[Item_C]]="Rockwell Indirect",
    IF(ISNUMBER(SEARCH("≥", Table3[[#This Row],[Main Name]])), "HIGH",
        IF(ISNUMBER(SEARCH("≤", Table3[[#This Row],[Main Name]])), "MID", "LOW")),
    "")</f>
        <v>HIGH</v>
      </c>
    </row>
    <row r="14" spans="1:10" x14ac:dyDescent="0.25">
      <c r="A14" t="s">
        <v>185</v>
      </c>
      <c r="B14" s="32" t="s">
        <v>169</v>
      </c>
      <c r="C14">
        <v>0.1</v>
      </c>
      <c r="D14">
        <v>0.28000000000000003</v>
      </c>
      <c r="E14">
        <v>0</v>
      </c>
      <c r="F14">
        <v>0.25670526374334329</v>
      </c>
      <c r="G14">
        <v>0</v>
      </c>
      <c r="H14">
        <v>1</v>
      </c>
      <c r="I14" t="s">
        <v>186</v>
      </c>
      <c r="J14" s="31" t="str">
        <f>IF(Table3[[#This Row],[Item_C]]="Rockwell Indirect",
    IF(ISNUMBER(SEARCH("≥", Table3[[#This Row],[Main Name]])), "HIGH",
        IF(ISNUMBER(SEARCH("≤", Table3[[#This Row],[Main Name]])), "MID", "LOW")),
    "")</f>
        <v>LOW</v>
      </c>
    </row>
    <row r="15" spans="1:10" x14ac:dyDescent="0.25">
      <c r="A15" t="s">
        <v>187</v>
      </c>
      <c r="B15" s="32" t="s">
        <v>169</v>
      </c>
      <c r="C15">
        <v>0.1</v>
      </c>
      <c r="D15">
        <v>0.47</v>
      </c>
      <c r="E15">
        <v>0</v>
      </c>
      <c r="F15">
        <v>0.4537593992784496</v>
      </c>
      <c r="G15">
        <v>0</v>
      </c>
      <c r="H15">
        <v>1</v>
      </c>
      <c r="I15" t="s">
        <v>186</v>
      </c>
      <c r="J15" t="str">
        <f>IF(Table3[[#This Row],[Item_C]]="Rockwell Indirect",
    IF(ISNUMBER(SEARCH("≥", Table3[[#This Row],[Main Name]])), "HIGH",
        IF(ISNUMBER(SEARCH("≤", Table3[[#This Row],[Main Name]])), "MID", "LOW")),
    "")</f>
        <v>MID</v>
      </c>
    </row>
    <row r="16" spans="1:10" ht="15.75" thickBot="1" x14ac:dyDescent="0.3">
      <c r="A16" t="s">
        <v>188</v>
      </c>
      <c r="B16" s="32" t="s">
        <v>169</v>
      </c>
      <c r="C16">
        <v>0.1</v>
      </c>
      <c r="D16">
        <v>0.45</v>
      </c>
      <c r="E16">
        <v>0</v>
      </c>
      <c r="F16">
        <v>0.44384410825597254</v>
      </c>
      <c r="G16">
        <v>0</v>
      </c>
      <c r="H16">
        <v>1</v>
      </c>
      <c r="I16" t="s">
        <v>186</v>
      </c>
      <c r="J16" t="str">
        <f>IF(Table3[[#This Row],[Item_C]]="Rockwell Indirect",
    IF(ISNUMBER(SEARCH("≥", Table3[[#This Row],[Main Name]])), "HIGH",
        IF(ISNUMBER(SEARCH("≤", Table3[[#This Row],[Main Name]])), "MID", "LOW")),
    "")</f>
        <v>HIGH</v>
      </c>
    </row>
    <row r="17" spans="1:10" x14ac:dyDescent="0.25">
      <c r="A17" t="s">
        <v>189</v>
      </c>
      <c r="B17" s="32" t="s">
        <v>169</v>
      </c>
      <c r="C17">
        <v>0.1</v>
      </c>
      <c r="D17">
        <v>0.45</v>
      </c>
      <c r="E17">
        <v>0</v>
      </c>
      <c r="F17">
        <v>0.44384410825597254</v>
      </c>
      <c r="G17">
        <v>0</v>
      </c>
      <c r="H17">
        <v>1</v>
      </c>
      <c r="I17" t="s">
        <v>190</v>
      </c>
      <c r="J17" s="31" t="str">
        <f>IF(Table3[[#This Row],[Item_C]]="Rockwell Indirect",
    IF(ISNUMBER(SEARCH("≥", Table3[[#This Row],[Main Name]])), "HIGH",
        IF(ISNUMBER(SEARCH("≤", Table3[[#This Row],[Main Name]])), "MID", "LOW")),
    "")</f>
        <v>LOW</v>
      </c>
    </row>
    <row r="18" spans="1:10" ht="15.75" thickBot="1" x14ac:dyDescent="0.3">
      <c r="A18" t="s">
        <v>191</v>
      </c>
      <c r="B18" s="32" t="s">
        <v>169</v>
      </c>
      <c r="C18">
        <v>0.1</v>
      </c>
      <c r="D18">
        <v>0.36</v>
      </c>
      <c r="E18">
        <v>0</v>
      </c>
      <c r="F18">
        <v>0.35482050734637566</v>
      </c>
      <c r="G18">
        <v>0</v>
      </c>
      <c r="H18">
        <v>1</v>
      </c>
      <c r="I18" t="s">
        <v>190</v>
      </c>
      <c r="J18" t="str">
        <f>IF(Table3[[#This Row],[Item_C]]="Rockwell Indirect",
    IF(ISNUMBER(SEARCH("≥", Table3[[#This Row],[Main Name]])), "HIGH",
        IF(ISNUMBER(SEARCH("≤", Table3[[#This Row],[Main Name]])), "MID", "LOW")),
    "")</f>
        <v>HIGH</v>
      </c>
    </row>
    <row r="19" spans="1:10" x14ac:dyDescent="0.25">
      <c r="A19" t="s">
        <v>192</v>
      </c>
      <c r="B19" s="32" t="s">
        <v>169</v>
      </c>
      <c r="C19">
        <v>0.1</v>
      </c>
      <c r="D19">
        <v>0.42</v>
      </c>
      <c r="E19">
        <v>0</v>
      </c>
      <c r="F19">
        <v>0.39433183035806213</v>
      </c>
      <c r="G19">
        <v>0</v>
      </c>
      <c r="H19">
        <v>1</v>
      </c>
      <c r="I19" t="s">
        <v>193</v>
      </c>
      <c r="J19" s="31" t="str">
        <f>IF(Table3[[#This Row],[Item_C]]="Rockwell Indirect",
    IF(ISNUMBER(SEARCH("≥", Table3[[#This Row],[Main Name]])), "HIGH",
        IF(ISNUMBER(SEARCH("≤", Table3[[#This Row],[Main Name]])), "MID", "LOW")),
    "")</f>
        <v>LOW</v>
      </c>
    </row>
    <row r="20" spans="1:10" x14ac:dyDescent="0.25">
      <c r="A20" t="s">
        <v>194</v>
      </c>
      <c r="B20" s="32" t="s">
        <v>169</v>
      </c>
      <c r="C20">
        <v>0.1</v>
      </c>
      <c r="D20">
        <v>0.42</v>
      </c>
      <c r="E20">
        <v>0</v>
      </c>
      <c r="F20">
        <v>0.40422468063385181</v>
      </c>
      <c r="G20">
        <v>0</v>
      </c>
      <c r="H20">
        <v>1</v>
      </c>
      <c r="I20" t="s">
        <v>193</v>
      </c>
      <c r="J20" t="str">
        <f>IF(Table3[[#This Row],[Item_C]]="Rockwell Indirect",
    IF(ISNUMBER(SEARCH("≥", Table3[[#This Row],[Main Name]])), "HIGH",
        IF(ISNUMBER(SEARCH("≤", Table3[[#This Row],[Main Name]])), "MID", "LOW")),
    "")</f>
        <v>MID</v>
      </c>
    </row>
    <row r="21" spans="1:10" ht="15.75" thickBot="1" x14ac:dyDescent="0.3">
      <c r="A21" t="s">
        <v>195</v>
      </c>
      <c r="B21" s="32" t="s">
        <v>169</v>
      </c>
      <c r="C21">
        <v>0.1</v>
      </c>
      <c r="D21">
        <v>0.51</v>
      </c>
      <c r="E21">
        <v>0</v>
      </c>
      <c r="F21">
        <v>0.50338612658032145</v>
      </c>
      <c r="G21">
        <v>0</v>
      </c>
      <c r="H21">
        <v>1</v>
      </c>
      <c r="I21" t="s">
        <v>193</v>
      </c>
      <c r="J21" t="str">
        <f>IF(Table3[[#This Row],[Item_C]]="Rockwell Indirect",
    IF(ISNUMBER(SEARCH("≥", Table3[[#This Row],[Main Name]])), "HIGH",
        IF(ISNUMBER(SEARCH("≤", Table3[[#This Row],[Main Name]])), "MID", "LOW")),
    "")</f>
        <v>HIGH</v>
      </c>
    </row>
    <row r="22" spans="1:10" x14ac:dyDescent="0.25">
      <c r="A22" t="s">
        <v>196</v>
      </c>
      <c r="B22" s="32" t="s">
        <v>169</v>
      </c>
      <c r="C22">
        <v>0.1</v>
      </c>
      <c r="D22">
        <v>0.3</v>
      </c>
      <c r="E22">
        <v>0</v>
      </c>
      <c r="F22">
        <v>0.26645373413322521</v>
      </c>
      <c r="G22">
        <v>0</v>
      </c>
      <c r="H22">
        <v>1</v>
      </c>
      <c r="I22" t="s">
        <v>197</v>
      </c>
      <c r="J22" s="31" t="str">
        <f>IF(Table3[[#This Row],[Item_C]]="Rockwell Indirect",
    IF(ISNUMBER(SEARCH("≥", Table3[[#This Row],[Main Name]])), "HIGH",
        IF(ISNUMBER(SEARCH("≤", Table3[[#This Row],[Main Name]])), "MID", "LOW")),
    "")</f>
        <v>LOW</v>
      </c>
    </row>
    <row r="23" spans="1:10" x14ac:dyDescent="0.25">
      <c r="A23" t="s">
        <v>198</v>
      </c>
      <c r="B23" s="32" t="s">
        <v>169</v>
      </c>
      <c r="C23">
        <v>0.1</v>
      </c>
      <c r="D23">
        <v>0.47</v>
      </c>
      <c r="E23">
        <v>0</v>
      </c>
      <c r="F23">
        <v>0.4537593992784496</v>
      </c>
      <c r="G23">
        <v>0</v>
      </c>
      <c r="H23">
        <v>1</v>
      </c>
      <c r="I23" t="s">
        <v>197</v>
      </c>
      <c r="J23" t="str">
        <f>IF(Table3[[#This Row],[Item_C]]="Rockwell Indirect",
    IF(ISNUMBER(SEARCH("≥", Table3[[#This Row],[Main Name]])), "HIGH",
        IF(ISNUMBER(SEARCH("≤", Table3[[#This Row],[Main Name]])), "MID", "LOW")),
    "")</f>
        <v>MID</v>
      </c>
    </row>
    <row r="24" spans="1:10" ht="15.75" thickBot="1" x14ac:dyDescent="0.3">
      <c r="A24" t="s">
        <v>199</v>
      </c>
      <c r="B24" s="32" t="s">
        <v>169</v>
      </c>
      <c r="C24">
        <v>0.1</v>
      </c>
      <c r="D24">
        <v>0.54</v>
      </c>
      <c r="E24">
        <v>0</v>
      </c>
      <c r="F24">
        <v>0.52325671752356839</v>
      </c>
      <c r="G24">
        <v>0</v>
      </c>
      <c r="H24">
        <v>1</v>
      </c>
      <c r="I24" t="s">
        <v>197</v>
      </c>
      <c r="J24" t="str">
        <f>IF(Table3[[#This Row],[Item_C]]="Rockwell Indirect",
    IF(ISNUMBER(SEARCH("≥", Table3[[#This Row],[Main Name]])), "HIGH",
        IF(ISNUMBER(SEARCH("≤", Table3[[#This Row],[Main Name]])), "MID", "LOW")),
    "")</f>
        <v>HIGH</v>
      </c>
    </row>
    <row r="25" spans="1:10" x14ac:dyDescent="0.25">
      <c r="A25" t="s">
        <v>200</v>
      </c>
      <c r="B25" s="32" t="s">
        <v>169</v>
      </c>
      <c r="C25">
        <v>0.1</v>
      </c>
      <c r="D25">
        <v>0.5</v>
      </c>
      <c r="E25">
        <v>0</v>
      </c>
      <c r="F25">
        <v>0.4736006676869654</v>
      </c>
      <c r="G25">
        <v>0</v>
      </c>
      <c r="H25">
        <v>1</v>
      </c>
      <c r="I25" t="s">
        <v>201</v>
      </c>
      <c r="J25" s="31" t="str">
        <f>IF(Table3[[#This Row],[Item_C]]="Rockwell Indirect",
    IF(ISNUMBER(SEARCH("≥", Table3[[#This Row],[Main Name]])), "HIGH",
        IF(ISNUMBER(SEARCH("≤", Table3[[#This Row],[Main Name]])), "MID", "LOW")),
    "")</f>
        <v>LOW</v>
      </c>
    </row>
    <row r="26" spans="1:10" x14ac:dyDescent="0.25">
      <c r="A26" t="s">
        <v>202</v>
      </c>
      <c r="B26" s="32" t="s">
        <v>169</v>
      </c>
      <c r="C26">
        <v>0.1</v>
      </c>
      <c r="D26">
        <v>0.25</v>
      </c>
      <c r="E26">
        <v>0</v>
      </c>
      <c r="F26">
        <v>0.21793942377077957</v>
      </c>
      <c r="G26">
        <v>0</v>
      </c>
      <c r="H26">
        <v>1</v>
      </c>
      <c r="I26" t="s">
        <v>201</v>
      </c>
      <c r="J26" t="str">
        <f>IF(Table3[[#This Row],[Item_C]]="Rockwell Indirect",
    IF(ISNUMBER(SEARCH("≥", Table3[[#This Row],[Main Name]])), "HIGH",
        IF(ISNUMBER(SEARCH("≤", Table3[[#This Row],[Main Name]])), "MID", "LOW")),
    "")</f>
        <v>MID</v>
      </c>
    </row>
    <row r="27" spans="1:10" ht="15.75" thickBot="1" x14ac:dyDescent="0.3">
      <c r="A27" t="s">
        <v>203</v>
      </c>
      <c r="B27" s="32" t="s">
        <v>169</v>
      </c>
      <c r="C27">
        <v>0.1</v>
      </c>
      <c r="D27">
        <v>0.2</v>
      </c>
      <c r="E27">
        <v>0</v>
      </c>
      <c r="F27">
        <v>0.17971530940223054</v>
      </c>
      <c r="G27">
        <v>0</v>
      </c>
      <c r="H27">
        <v>1</v>
      </c>
      <c r="I27" t="s">
        <v>201</v>
      </c>
      <c r="J27" t="str">
        <f>IF(Table3[[#This Row],[Item_C]]="Rockwell Indirect",
    IF(ISNUMBER(SEARCH("≥", Table3[[#This Row],[Main Name]])), "HIGH",
        IF(ISNUMBER(SEARCH("≤", Table3[[#This Row],[Main Name]])), "MID", "LOW")),
    "")</f>
        <v>HIGH</v>
      </c>
    </row>
    <row r="28" spans="1:10" x14ac:dyDescent="0.25">
      <c r="A28" t="s">
        <v>204</v>
      </c>
      <c r="B28" s="32" t="s">
        <v>169</v>
      </c>
      <c r="C28">
        <v>0.1</v>
      </c>
      <c r="D28">
        <v>0.45</v>
      </c>
      <c r="E28">
        <v>0</v>
      </c>
      <c r="F28">
        <v>0.4141226779995747</v>
      </c>
      <c r="G28">
        <v>0</v>
      </c>
      <c r="H28">
        <v>1</v>
      </c>
      <c r="I28" t="s">
        <v>205</v>
      </c>
      <c r="J28" s="31" t="str">
        <f>IF(Table3[[#This Row],[Item_C]]="Rockwell Indirect",
    IF(ISNUMBER(SEARCH("≥", Table3[[#This Row],[Main Name]])), "HIGH",
        IF(ISNUMBER(SEARCH("≤", Table3[[#This Row],[Main Name]])), "MID", "LOW")),
    "")</f>
        <v>LOW</v>
      </c>
    </row>
    <row r="29" spans="1:10" x14ac:dyDescent="0.25">
      <c r="A29" t="s">
        <v>206</v>
      </c>
      <c r="B29" s="32" t="s">
        <v>169</v>
      </c>
      <c r="C29">
        <v>0.1</v>
      </c>
      <c r="D29">
        <v>0.39</v>
      </c>
      <c r="E29">
        <v>0</v>
      </c>
      <c r="F29">
        <v>0.3646883497365106</v>
      </c>
      <c r="G29">
        <v>0</v>
      </c>
      <c r="H29">
        <v>1</v>
      </c>
      <c r="I29" t="s">
        <v>205</v>
      </c>
      <c r="J29" t="str">
        <f>IF(Table3[[#This Row],[Item_C]]="Rockwell Indirect",
    IF(ISNUMBER(SEARCH("≥", Table3[[#This Row],[Main Name]])), "HIGH",
        IF(ISNUMBER(SEARCH("≤", Table3[[#This Row],[Main Name]])), "MID", "LOW")),
    "")</f>
        <v>MID</v>
      </c>
    </row>
    <row r="30" spans="1:10" ht="15.75" thickBot="1" x14ac:dyDescent="0.3">
      <c r="A30" t="s">
        <v>207</v>
      </c>
      <c r="B30" s="32" t="s">
        <v>169</v>
      </c>
      <c r="C30">
        <v>0.1</v>
      </c>
      <c r="D30">
        <v>0.32</v>
      </c>
      <c r="E30">
        <v>0</v>
      </c>
      <c r="F30">
        <v>0.29579991959691171</v>
      </c>
      <c r="G30">
        <v>0</v>
      </c>
      <c r="H30">
        <v>1</v>
      </c>
      <c r="I30" t="s">
        <v>205</v>
      </c>
      <c r="J30" t="str">
        <f>IF(Table3[[#This Row],[Item_C]]="Rockwell Indirect",
    IF(ISNUMBER(SEARCH("≥", Table3[[#This Row],[Main Name]])), "HIGH",
        IF(ISNUMBER(SEARCH("≤", Table3[[#This Row],[Main Name]])), "MID", "LOW")),
    "")</f>
        <v>HIGH</v>
      </c>
    </row>
    <row r="31" spans="1:10" x14ac:dyDescent="0.25">
      <c r="A31" t="s">
        <v>208</v>
      </c>
      <c r="B31" s="32" t="s">
        <v>169</v>
      </c>
      <c r="C31">
        <v>0.1</v>
      </c>
      <c r="D31">
        <v>0.57999999999999996</v>
      </c>
      <c r="E31">
        <v>0</v>
      </c>
      <c r="F31">
        <v>0.55308009585731743</v>
      </c>
      <c r="G31">
        <v>0</v>
      </c>
      <c r="H31">
        <v>1</v>
      </c>
      <c r="I31" t="s">
        <v>209</v>
      </c>
      <c r="J31" s="31" t="str">
        <f>IF(Table3[[#This Row],[Item_C]]="Rockwell Indirect",
    IF(ISNUMBER(SEARCH("≥", Table3[[#This Row],[Main Name]])), "HIGH",
        IF(ISNUMBER(SEARCH("≤", Table3[[#This Row],[Main Name]])), "MID", "LOW")),
    "")</f>
        <v>LOW</v>
      </c>
    </row>
    <row r="32" spans="1:10" x14ac:dyDescent="0.25">
      <c r="A32" t="s">
        <v>210</v>
      </c>
      <c r="B32" s="32" t="s">
        <v>169</v>
      </c>
      <c r="C32">
        <v>0.1</v>
      </c>
      <c r="D32">
        <v>0.64</v>
      </c>
      <c r="E32">
        <v>0</v>
      </c>
      <c r="F32">
        <v>0.62273396601882847</v>
      </c>
      <c r="G32">
        <v>0</v>
      </c>
      <c r="H32">
        <v>1</v>
      </c>
      <c r="I32" t="s">
        <v>209</v>
      </c>
      <c r="J32" t="str">
        <f>IF(Table3[[#This Row],[Item_C]]="Rockwell Indirect",
    IF(ISNUMBER(SEARCH("≥", Table3[[#This Row],[Main Name]])), "HIGH",
        IF(ISNUMBER(SEARCH("≤", Table3[[#This Row],[Main Name]])), "MID", "LOW")),
    "")</f>
        <v>MID</v>
      </c>
    </row>
    <row r="33" spans="1:10" ht="15.75" thickBot="1" x14ac:dyDescent="0.3">
      <c r="A33" t="s">
        <v>211</v>
      </c>
      <c r="B33" s="32" t="s">
        <v>169</v>
      </c>
      <c r="C33">
        <v>0.1</v>
      </c>
      <c r="D33">
        <v>0.22</v>
      </c>
      <c r="E33">
        <v>0</v>
      </c>
      <c r="F33">
        <v>0.19874001216045914</v>
      </c>
      <c r="G33">
        <v>0</v>
      </c>
      <c r="H33">
        <v>1</v>
      </c>
      <c r="I33" t="s">
        <v>209</v>
      </c>
      <c r="J33" t="str">
        <f>IF(Table3[[#This Row],[Item_C]]="Rockwell Indirect",
    IF(ISNUMBER(SEARCH("≥", Table3[[#This Row],[Main Name]])), "HIGH",
        IF(ISNUMBER(SEARCH("≤", Table3[[#This Row],[Main Name]])), "MID", "LOW")),
    "")</f>
        <v>HIGH</v>
      </c>
    </row>
    <row r="34" spans="1:10" x14ac:dyDescent="0.25">
      <c r="A34" t="s">
        <v>212</v>
      </c>
      <c r="B34" s="32" t="s">
        <v>169</v>
      </c>
      <c r="C34">
        <v>0.1</v>
      </c>
      <c r="D34">
        <v>0.7</v>
      </c>
      <c r="E34">
        <v>0</v>
      </c>
      <c r="F34">
        <v>0.68249365743099732</v>
      </c>
      <c r="G34">
        <v>0</v>
      </c>
      <c r="H34">
        <v>1</v>
      </c>
      <c r="I34" t="s">
        <v>213</v>
      </c>
      <c r="J34" s="31" t="str">
        <f>IF(Table3[[#This Row],[Item_C]]="Rockwell Indirect",
    IF(ISNUMBER(SEARCH("≥", Table3[[#This Row],[Main Name]])), "HIGH",
        IF(ISNUMBER(SEARCH("≤", Table3[[#This Row],[Main Name]])), "MID", "LOW")),
    "")</f>
        <v>LOW</v>
      </c>
    </row>
    <row r="35" spans="1:10" x14ac:dyDescent="0.25">
      <c r="A35" t="s">
        <v>214</v>
      </c>
      <c r="B35" s="32" t="s">
        <v>169</v>
      </c>
      <c r="C35">
        <v>0.1</v>
      </c>
      <c r="D35">
        <v>0.41</v>
      </c>
      <c r="E35">
        <v>0</v>
      </c>
      <c r="F35">
        <v>0.38444452452016981</v>
      </c>
      <c r="G35">
        <v>0</v>
      </c>
      <c r="H35">
        <v>1</v>
      </c>
      <c r="I35" t="s">
        <v>213</v>
      </c>
      <c r="J35" t="str">
        <f>IF(Table3[[#This Row],[Item_C]]="Rockwell Indirect",
    IF(ISNUMBER(SEARCH("≥", Table3[[#This Row],[Main Name]])), "HIGH",
        IF(ISNUMBER(SEARCH("≤", Table3[[#This Row],[Main Name]])), "MID", "LOW")),
    "")</f>
        <v>MID</v>
      </c>
    </row>
    <row r="36" spans="1:10" ht="15.75" thickBot="1" x14ac:dyDescent="0.3">
      <c r="A36" t="s">
        <v>215</v>
      </c>
      <c r="B36" s="32" t="s">
        <v>169</v>
      </c>
      <c r="C36">
        <v>0.1</v>
      </c>
      <c r="D36">
        <v>0.39</v>
      </c>
      <c r="E36">
        <v>0</v>
      </c>
      <c r="F36">
        <v>0.37456320218828149</v>
      </c>
      <c r="G36">
        <v>0</v>
      </c>
      <c r="H36">
        <v>1</v>
      </c>
      <c r="I36" t="s">
        <v>213</v>
      </c>
      <c r="J36" t="str">
        <f>IF(Table3[[#This Row],[Item_C]]="Rockwell Indirect",
    IF(ISNUMBER(SEARCH("≥", Table3[[#This Row],[Main Name]])), "HIGH",
        IF(ISNUMBER(SEARCH("≤", Table3[[#This Row],[Main Name]])), "MID", "LOW")),
    "")</f>
        <v>HIGH</v>
      </c>
    </row>
    <row r="37" spans="1:10" x14ac:dyDescent="0.25">
      <c r="A37" t="s">
        <v>216</v>
      </c>
      <c r="B37" s="32" t="s">
        <v>169</v>
      </c>
      <c r="C37">
        <v>0.1</v>
      </c>
      <c r="D37">
        <v>0.44</v>
      </c>
      <c r="E37">
        <v>0</v>
      </c>
      <c r="G37">
        <v>0</v>
      </c>
      <c r="H37">
        <v>1</v>
      </c>
      <c r="I37" t="s">
        <v>217</v>
      </c>
      <c r="J37" s="31" t="str">
        <f>IF(Table3[[#This Row],[Item_C]]="Rockwell Indirect",
    IF(ISNUMBER(SEARCH("≥", Table3[[#This Row],[Main Name]])), "HIGH",
        IF(ISNUMBER(SEARCH("≤", Table3[[#This Row],[Main Name]])), "MID", "LOW")),
    "")</f>
        <v>MID</v>
      </c>
    </row>
    <row r="38" spans="1:10" ht="15.75" thickBot="1" x14ac:dyDescent="0.3">
      <c r="A38" t="s">
        <v>218</v>
      </c>
      <c r="B38" s="33" t="s">
        <v>169</v>
      </c>
      <c r="C38" s="34">
        <v>0.1</v>
      </c>
      <c r="D38" s="34">
        <v>0.55000000000000004</v>
      </c>
      <c r="E38" s="34">
        <v>0</v>
      </c>
      <c r="F38" s="34"/>
      <c r="G38" s="34">
        <v>0</v>
      </c>
      <c r="H38" s="34">
        <v>1</v>
      </c>
      <c r="I38" s="34" t="s">
        <v>217</v>
      </c>
      <c r="J38" s="34" t="str">
        <f>IF(Table3[[#This Row],[Item_C]]="Rockwell Indirect",
    IF(ISNUMBER(SEARCH("≥", Table3[[#This Row],[Main Name]])), "HIGH",
        IF(ISNUMBER(SEARCH("≤", Table3[[#This Row],[Main Name]])), "MID", "LOW")),
    "")</f>
        <v>HIGH</v>
      </c>
    </row>
  </sheetData>
  <sheetProtection algorithmName="SHA-512" hashValue="csVYVRpOGiaMch10D3w53yFsvQGt1xeUke1ak1/6q4s40cLuxHhisKW2+xStOS/vGRtgiQCneKnHJMLD84qawg==" saltValue="iaCIOp4dMYJc7KprBVs3kg==" spinCount="100000" sheet="1" objects="1" scenarios="1"/>
  <phoneticPr fontId="31" type="noConversion"/>
  <conditionalFormatting sqref="D2:D38 F2:F38">
    <cfRule type="containsBlanks" dxfId="20" priority="2">
      <formula>LEN(TRIM(D2))=0</formula>
    </cfRule>
  </conditionalFormatting>
  <pageMargins left="0.7" right="0.7" top="0.75" bottom="0.75" header="0.3" footer="0.3"/>
  <customProperties>
    <customPr name="%locator_row%" r:id="rId1"/>
    <customPr name="%startcell%" r:id="rId2"/>
  </customProperties>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71685-B60F-453E-A5EA-EC51B5599F73}">
  <sheetPr codeName="Sheet10"/>
  <dimension ref="A1:U16"/>
  <sheetViews>
    <sheetView workbookViewId="0">
      <selection activeCell="S21" sqref="S21"/>
    </sheetView>
  </sheetViews>
  <sheetFormatPr defaultRowHeight="15" x14ac:dyDescent="0.25"/>
  <cols>
    <col min="1" max="1" width="10.7109375" bestFit="1" customWidth="1"/>
    <col min="2" max="2" width="11.7109375" bestFit="1" customWidth="1"/>
    <col min="3" max="3" width="12" bestFit="1" customWidth="1"/>
    <col min="4" max="4" width="14.5703125" customWidth="1"/>
    <col min="5" max="6" width="13.140625" bestFit="1" customWidth="1"/>
    <col min="7" max="7" width="3.85546875" customWidth="1"/>
    <col min="12" max="12" width="3.85546875" customWidth="1"/>
    <col min="17" max="17" width="3.85546875" customWidth="1"/>
    <col min="18" max="18" width="8.42578125" bestFit="1" customWidth="1"/>
    <col min="19" max="19" width="7.5703125" bestFit="1" customWidth="1"/>
    <col min="20" max="20" width="7" bestFit="1" customWidth="1"/>
    <col min="21" max="21" width="7.85546875" bestFit="1" customWidth="1"/>
  </cols>
  <sheetData>
    <row r="1" spans="1:21" x14ac:dyDescent="0.25">
      <c r="G1" s="17"/>
      <c r="I1" s="17"/>
      <c r="J1" s="17"/>
      <c r="K1" s="17"/>
      <c r="L1" s="17"/>
      <c r="N1" s="17"/>
      <c r="O1" s="17"/>
      <c r="P1" s="17"/>
      <c r="R1" s="17"/>
      <c r="S1" s="17"/>
      <c r="T1" s="17"/>
      <c r="U1" s="17"/>
    </row>
    <row r="2" spans="1:21" ht="15.75" thickBot="1" x14ac:dyDescent="0.3">
      <c r="A2" s="17" t="s">
        <v>219</v>
      </c>
      <c r="B2" s="84" t="s">
        <v>220</v>
      </c>
      <c r="C2" s="84" t="s">
        <v>221</v>
      </c>
      <c r="D2" s="85" t="s">
        <v>222</v>
      </c>
      <c r="H2" s="17" t="s">
        <v>63</v>
      </c>
      <c r="M2" s="17" t="s">
        <v>81</v>
      </c>
      <c r="R2" s="17" t="s">
        <v>105</v>
      </c>
      <c r="S2" s="17"/>
      <c r="T2" s="17"/>
      <c r="U2" s="17"/>
    </row>
    <row r="3" spans="1:21" ht="15.75" thickTop="1" x14ac:dyDescent="0.25">
      <c r="A3" t="s">
        <v>65</v>
      </c>
      <c r="B3" t="s">
        <v>223</v>
      </c>
      <c r="C3" t="s">
        <v>224</v>
      </c>
      <c r="D3" t="s">
        <v>225</v>
      </c>
      <c r="E3" t="s">
        <v>226</v>
      </c>
      <c r="F3" t="s">
        <v>227</v>
      </c>
      <c r="H3" t="s">
        <v>65</v>
      </c>
      <c r="I3" t="s">
        <v>220</v>
      </c>
      <c r="J3" t="s">
        <v>221</v>
      </c>
      <c r="K3" t="s">
        <v>222</v>
      </c>
      <c r="M3" t="s">
        <v>24</v>
      </c>
      <c r="N3" t="s">
        <v>220</v>
      </c>
      <c r="O3" t="s">
        <v>221</v>
      </c>
      <c r="P3" t="s">
        <v>222</v>
      </c>
      <c r="R3" t="s">
        <v>65</v>
      </c>
      <c r="S3" t="s">
        <v>220</v>
      </c>
      <c r="T3" t="s">
        <v>221</v>
      </c>
      <c r="U3" t="s">
        <v>222</v>
      </c>
    </row>
    <row r="4" spans="1:21" x14ac:dyDescent="0.25">
      <c r="A4" t="s">
        <v>170</v>
      </c>
      <c r="B4" t="str">
        <f>"&lt; "&amp;Thresholds[[#This Row],[Threshold1]]</f>
        <v>&lt; 70</v>
      </c>
      <c r="C4" t="str">
        <f>"≥ "&amp;Thresholds[[#This Row],[Threshold1]]&amp;" and &lt; "&amp;Thresholds[[#This Row],[Threshold2]]</f>
        <v>≥ 70 and &lt; 80</v>
      </c>
      <c r="D4" t="str">
        <f>"≥ "&amp;Thresholds[[#This Row],[Threshold2]]</f>
        <v>≥ 80</v>
      </c>
      <c r="E4">
        <v>70</v>
      </c>
      <c r="F4">
        <v>80</v>
      </c>
      <c r="H4" t="s">
        <v>170</v>
      </c>
      <c r="I4">
        <v>1</v>
      </c>
      <c r="J4">
        <v>1</v>
      </c>
      <c r="K4">
        <v>0.5</v>
      </c>
      <c r="M4" t="s">
        <v>170</v>
      </c>
      <c r="N4">
        <v>2</v>
      </c>
      <c r="O4">
        <v>1.5</v>
      </c>
      <c r="P4">
        <v>1</v>
      </c>
      <c r="R4" t="s">
        <v>193</v>
      </c>
      <c r="S4" t="s">
        <v>835</v>
      </c>
      <c r="T4" t="s">
        <v>835</v>
      </c>
      <c r="U4" t="s">
        <v>836</v>
      </c>
    </row>
    <row r="5" spans="1:21" x14ac:dyDescent="0.25">
      <c r="A5" t="s">
        <v>174</v>
      </c>
      <c r="B5" t="str">
        <f>"&lt; "&amp;Thresholds[[#This Row],[Threshold1]]</f>
        <v>&lt; 60</v>
      </c>
      <c r="C5" t="str">
        <f>"≥ "&amp;Thresholds[[#This Row],[Threshold1]]&amp;" and &lt; "&amp;Thresholds[[#This Row],[Threshold2]]</f>
        <v>≥ 60 and &lt; 88</v>
      </c>
      <c r="D5" t="str">
        <f>"≥ "&amp;Thresholds[[#This Row],[Threshold2]]</f>
        <v>≥ 88</v>
      </c>
      <c r="E5">
        <v>60</v>
      </c>
      <c r="F5">
        <v>88</v>
      </c>
      <c r="H5" t="s">
        <v>174</v>
      </c>
      <c r="I5">
        <v>2.5</v>
      </c>
      <c r="J5">
        <v>2.5</v>
      </c>
      <c r="K5">
        <v>1</v>
      </c>
      <c r="M5" t="s">
        <v>174</v>
      </c>
      <c r="N5">
        <v>2</v>
      </c>
      <c r="O5">
        <v>1.5</v>
      </c>
      <c r="P5">
        <v>1.5</v>
      </c>
      <c r="R5" t="s">
        <v>205</v>
      </c>
      <c r="S5" t="s">
        <v>837</v>
      </c>
      <c r="T5" t="s">
        <v>838</v>
      </c>
      <c r="U5" t="s">
        <v>839</v>
      </c>
    </row>
    <row r="6" spans="1:21" x14ac:dyDescent="0.25">
      <c r="A6" t="s">
        <v>178</v>
      </c>
      <c r="B6" t="str">
        <f>"&lt; "&amp;Thresholds[[#This Row],[Threshold1]]</f>
        <v>&lt; 35</v>
      </c>
      <c r="C6" t="str">
        <f>"≥ "&amp;Thresholds[[#This Row],[Threshold1]]&amp;" and &lt; "&amp;Thresholds[[#This Row],[Threshold2]]</f>
        <v>≥ 35 and &lt; 60</v>
      </c>
      <c r="D6" t="str">
        <f>"≥ "&amp;Thresholds[[#This Row],[Threshold2]]</f>
        <v>≥ 60</v>
      </c>
      <c r="E6">
        <v>35</v>
      </c>
      <c r="F6">
        <v>60</v>
      </c>
      <c r="H6" t="s">
        <v>178</v>
      </c>
      <c r="I6">
        <v>1</v>
      </c>
      <c r="J6">
        <v>1</v>
      </c>
      <c r="K6">
        <v>0.5</v>
      </c>
      <c r="M6" t="s">
        <v>178</v>
      </c>
      <c r="N6">
        <v>2</v>
      </c>
      <c r="O6">
        <v>1.5</v>
      </c>
      <c r="P6">
        <v>1</v>
      </c>
      <c r="R6" t="s">
        <v>197</v>
      </c>
      <c r="S6" t="s">
        <v>840</v>
      </c>
      <c r="T6" t="s">
        <v>841</v>
      </c>
      <c r="U6" t="s">
        <v>842</v>
      </c>
    </row>
    <row r="7" spans="1:21" x14ac:dyDescent="0.25">
      <c r="A7" t="s">
        <v>182</v>
      </c>
      <c r="B7" t="str">
        <f>"&lt; "&amp;Thresholds[[#This Row],[Threshold1]]</f>
        <v>&lt; 84</v>
      </c>
      <c r="C7" t="str">
        <f>"≥ "&amp;Thresholds[[#This Row],[Threshold1]]&amp;" and &lt; "&amp;Thresholds[[#This Row],[Threshold2]]</f>
        <v>≥ 84 and &lt; 93</v>
      </c>
      <c r="D7" t="str">
        <f>"≥ "&amp;Thresholds[[#This Row],[Threshold2]]</f>
        <v>≥ 93</v>
      </c>
      <c r="E7">
        <v>84</v>
      </c>
      <c r="F7">
        <v>93</v>
      </c>
      <c r="H7" t="s">
        <v>182</v>
      </c>
      <c r="I7">
        <v>1</v>
      </c>
      <c r="J7">
        <v>1</v>
      </c>
      <c r="K7">
        <v>1</v>
      </c>
      <c r="M7" t="s">
        <v>182</v>
      </c>
      <c r="N7">
        <v>1.5</v>
      </c>
      <c r="O7">
        <v>1.5</v>
      </c>
      <c r="P7">
        <v>1</v>
      </c>
      <c r="R7" t="s">
        <v>209</v>
      </c>
      <c r="S7" t="s">
        <v>843</v>
      </c>
      <c r="T7" t="s">
        <v>844</v>
      </c>
      <c r="U7" t="s">
        <v>845</v>
      </c>
    </row>
    <row r="8" spans="1:21" x14ac:dyDescent="0.25">
      <c r="A8" t="s">
        <v>186</v>
      </c>
      <c r="B8" t="str">
        <f>"&lt; "&amp;Thresholds[[#This Row],[Threshold1]]</f>
        <v>&lt; 80</v>
      </c>
      <c r="C8" t="str">
        <f>"≥ "&amp;Thresholds[[#This Row],[Threshold1]]&amp;" and &lt; "&amp;Thresholds[[#This Row],[Threshold2]]</f>
        <v>≥ 80 and &lt; 94</v>
      </c>
      <c r="D8" t="str">
        <f>"≥ "&amp;Thresholds[[#This Row],[Threshold2]]</f>
        <v>≥ 94</v>
      </c>
      <c r="E8">
        <v>80</v>
      </c>
      <c r="F8">
        <v>94</v>
      </c>
      <c r="H8" t="s">
        <v>186</v>
      </c>
      <c r="I8">
        <v>1</v>
      </c>
      <c r="J8">
        <v>1</v>
      </c>
      <c r="K8">
        <v>1</v>
      </c>
      <c r="M8" t="s">
        <v>186</v>
      </c>
      <c r="N8">
        <v>1.5</v>
      </c>
      <c r="O8">
        <v>1.5</v>
      </c>
      <c r="P8">
        <v>1</v>
      </c>
      <c r="R8" t="s">
        <v>201</v>
      </c>
      <c r="S8" t="s">
        <v>846</v>
      </c>
      <c r="T8" t="s">
        <v>847</v>
      </c>
      <c r="U8" t="s">
        <v>848</v>
      </c>
    </row>
    <row r="9" spans="1:21" x14ac:dyDescent="0.25">
      <c r="A9" t="s">
        <v>190</v>
      </c>
      <c r="B9" t="str">
        <f>"&lt; "&amp;Thresholds[[#This Row],[Threshold1]]</f>
        <v>&lt; 96</v>
      </c>
      <c r="C9" t="s">
        <v>228</v>
      </c>
      <c r="D9" t="str">
        <f>"≥ "&amp;Thresholds[[#This Row],[Threshold2]]</f>
        <v>≥ 96</v>
      </c>
      <c r="E9">
        <v>96</v>
      </c>
      <c r="F9">
        <v>96</v>
      </c>
      <c r="H9" t="s">
        <v>190</v>
      </c>
      <c r="I9">
        <v>1</v>
      </c>
      <c r="J9" t="e">
        <v>#N/A</v>
      </c>
      <c r="K9">
        <v>1</v>
      </c>
      <c r="M9" t="s">
        <v>190</v>
      </c>
      <c r="N9">
        <v>2</v>
      </c>
      <c r="O9" t="e">
        <v>#N/A</v>
      </c>
      <c r="P9">
        <v>1.5</v>
      </c>
      <c r="R9" t="s">
        <v>213</v>
      </c>
      <c r="S9" t="s">
        <v>849</v>
      </c>
      <c r="T9" t="s">
        <v>850</v>
      </c>
      <c r="U9" t="s">
        <v>838</v>
      </c>
    </row>
    <row r="10" spans="1:21" x14ac:dyDescent="0.25">
      <c r="A10" t="s">
        <v>193</v>
      </c>
      <c r="B10" t="str">
        <f>"&lt; "&amp;Thresholds[[#This Row],[Threshold1]]</f>
        <v>&lt; 78</v>
      </c>
      <c r="C10" t="str">
        <f>"≥ "&amp;Thresholds[[#This Row],[Threshold1]]&amp;" and &lt; "&amp;Thresholds[[#This Row],[Threshold2]]</f>
        <v>≥ 78 and &lt; 90</v>
      </c>
      <c r="D10" t="str">
        <f>"≥ "&amp;Thresholds[[#This Row],[Threshold2]]</f>
        <v>≥ 90</v>
      </c>
      <c r="E10">
        <v>78</v>
      </c>
      <c r="F10">
        <v>90</v>
      </c>
      <c r="H10" t="s">
        <v>193</v>
      </c>
      <c r="I10">
        <v>1</v>
      </c>
      <c r="J10">
        <v>1</v>
      </c>
      <c r="K10">
        <v>0.7</v>
      </c>
      <c r="M10" t="s">
        <v>193</v>
      </c>
      <c r="N10">
        <v>2</v>
      </c>
      <c r="O10">
        <v>1.5</v>
      </c>
      <c r="P10">
        <v>1</v>
      </c>
      <c r="R10" t="s">
        <v>170</v>
      </c>
      <c r="S10" t="s">
        <v>851</v>
      </c>
      <c r="T10" t="s">
        <v>839</v>
      </c>
      <c r="U10" t="s">
        <v>848</v>
      </c>
    </row>
    <row r="11" spans="1:21" x14ac:dyDescent="0.25">
      <c r="A11" t="s">
        <v>197</v>
      </c>
      <c r="B11" t="str">
        <f>"&lt; "&amp;Thresholds[[#This Row],[Threshold1]]</f>
        <v>&lt; 55</v>
      </c>
      <c r="C11" t="str">
        <f>"≥ "&amp;Thresholds[[#This Row],[Threshold1]]&amp;" and &lt; "&amp;Thresholds[[#This Row],[Threshold2]]</f>
        <v>≥ 55 and &lt; 77</v>
      </c>
      <c r="D11" t="str">
        <f>"≥ "&amp;Thresholds[[#This Row],[Threshold2]]</f>
        <v>≥ 77</v>
      </c>
      <c r="E11">
        <v>55</v>
      </c>
      <c r="F11">
        <v>77</v>
      </c>
      <c r="H11" t="s">
        <v>197</v>
      </c>
      <c r="I11">
        <v>1</v>
      </c>
      <c r="J11">
        <v>1</v>
      </c>
      <c r="K11">
        <v>0.7</v>
      </c>
      <c r="M11" t="s">
        <v>197</v>
      </c>
      <c r="N11">
        <v>2</v>
      </c>
      <c r="O11">
        <v>1.5</v>
      </c>
      <c r="P11">
        <v>1</v>
      </c>
      <c r="R11" t="s">
        <v>174</v>
      </c>
      <c r="S11" t="s">
        <v>852</v>
      </c>
      <c r="T11" t="s">
        <v>853</v>
      </c>
      <c r="U11" t="s">
        <v>838</v>
      </c>
    </row>
    <row r="12" spans="1:21" x14ac:dyDescent="0.25">
      <c r="A12" t="s">
        <v>201</v>
      </c>
      <c r="B12" t="str">
        <f>"&lt; "&amp;Thresholds[[#This Row],[Threshold1]]</f>
        <v>&lt; 37</v>
      </c>
      <c r="C12" t="str">
        <f>"≥ "&amp;Thresholds[[#This Row],[Threshold1]]&amp;" and &lt; "&amp;Thresholds[[#This Row],[Threshold2]]</f>
        <v>≥ 37 and &lt; 66</v>
      </c>
      <c r="D12" t="str">
        <f>"≥ "&amp;Thresholds[[#This Row],[Threshold2]]</f>
        <v>≥ 66</v>
      </c>
      <c r="E12">
        <v>37</v>
      </c>
      <c r="F12">
        <v>66</v>
      </c>
      <c r="H12" t="s">
        <v>201</v>
      </c>
      <c r="I12">
        <v>1</v>
      </c>
      <c r="J12">
        <v>1</v>
      </c>
      <c r="K12">
        <v>0.7</v>
      </c>
      <c r="M12" t="s">
        <v>201</v>
      </c>
      <c r="N12">
        <v>2</v>
      </c>
      <c r="O12">
        <v>1.5</v>
      </c>
      <c r="P12">
        <v>1</v>
      </c>
      <c r="R12" t="s">
        <v>178</v>
      </c>
      <c r="S12" t="s">
        <v>838</v>
      </c>
      <c r="T12" t="s">
        <v>854</v>
      </c>
      <c r="U12" t="s">
        <v>839</v>
      </c>
    </row>
    <row r="13" spans="1:21" x14ac:dyDescent="0.25">
      <c r="A13" t="s">
        <v>205</v>
      </c>
      <c r="B13" t="str">
        <f>"&lt; "&amp;Thresholds[[#This Row],[Threshold1]]</f>
        <v>&lt; 81</v>
      </c>
      <c r="C13" t="str">
        <f>"≥ "&amp;Thresholds[[#This Row],[Threshold1]]&amp;" and &lt; "&amp;Thresholds[[#This Row],[Threshold2]]</f>
        <v>≥ 81 and &lt; 87</v>
      </c>
      <c r="D13" t="str">
        <f>"≥ "&amp;Thresholds[[#This Row],[Threshold2]]</f>
        <v>≥ 87</v>
      </c>
      <c r="E13">
        <v>81</v>
      </c>
      <c r="F13">
        <v>87</v>
      </c>
      <c r="H13" t="s">
        <v>205</v>
      </c>
      <c r="I13">
        <v>1.5</v>
      </c>
      <c r="J13">
        <v>1</v>
      </c>
      <c r="K13">
        <v>1</v>
      </c>
      <c r="M13" t="s">
        <v>205</v>
      </c>
      <c r="N13">
        <v>2</v>
      </c>
      <c r="O13">
        <v>1.5</v>
      </c>
      <c r="P13">
        <v>1.5</v>
      </c>
      <c r="R13" t="s">
        <v>182</v>
      </c>
      <c r="S13" t="s">
        <v>838</v>
      </c>
      <c r="T13" t="s">
        <v>855</v>
      </c>
      <c r="U13" t="s">
        <v>855</v>
      </c>
    </row>
    <row r="14" spans="1:21" x14ac:dyDescent="0.25">
      <c r="A14" t="s">
        <v>209</v>
      </c>
      <c r="B14" t="str">
        <f>"&lt; "&amp;Thresholds[[#This Row],[Threshold1]]</f>
        <v>&lt; 57</v>
      </c>
      <c r="C14" t="str">
        <f>"≥ "&amp;Thresholds[[#This Row],[Threshold1]]&amp;" and &lt; "&amp;Thresholds[[#This Row],[Threshold2]]</f>
        <v>≥ 57 and &lt; 70</v>
      </c>
      <c r="D14" t="str">
        <f>"≥ "&amp;Thresholds[[#This Row],[Threshold2]]</f>
        <v>≥ 70</v>
      </c>
      <c r="E14">
        <v>57</v>
      </c>
      <c r="F14">
        <v>70</v>
      </c>
      <c r="H14" t="s">
        <v>209</v>
      </c>
      <c r="I14">
        <v>1.5</v>
      </c>
      <c r="J14">
        <v>1</v>
      </c>
      <c r="K14">
        <v>1</v>
      </c>
      <c r="M14" t="s">
        <v>209</v>
      </c>
      <c r="N14">
        <v>2</v>
      </c>
      <c r="O14">
        <v>1.5</v>
      </c>
      <c r="P14">
        <v>1.5</v>
      </c>
      <c r="R14" t="s">
        <v>186</v>
      </c>
      <c r="S14" t="s">
        <v>856</v>
      </c>
      <c r="T14" t="s">
        <v>841</v>
      </c>
      <c r="U14" t="s">
        <v>837</v>
      </c>
    </row>
    <row r="15" spans="1:21" x14ac:dyDescent="0.25">
      <c r="A15" t="s">
        <v>213</v>
      </c>
      <c r="B15" t="str">
        <f>"&lt; "&amp;Thresholds[[#This Row],[Threshold1]]</f>
        <v>&lt; 33</v>
      </c>
      <c r="C15" t="str">
        <f>"≥ "&amp;Thresholds[[#This Row],[Threshold1]]&amp;" and &lt; "&amp;Thresholds[[#This Row],[Threshold2]]</f>
        <v>≥ 33 and &lt; 53</v>
      </c>
      <c r="D15" t="str">
        <f>"≥ "&amp;Thresholds[[#This Row],[Threshold2]]</f>
        <v>≥ 53</v>
      </c>
      <c r="E15">
        <v>33</v>
      </c>
      <c r="F15">
        <v>53</v>
      </c>
      <c r="H15" t="s">
        <v>213</v>
      </c>
      <c r="I15">
        <v>1.5</v>
      </c>
      <c r="J15">
        <v>1</v>
      </c>
      <c r="K15">
        <v>1</v>
      </c>
      <c r="M15" t="s">
        <v>213</v>
      </c>
      <c r="N15">
        <v>2</v>
      </c>
      <c r="O15">
        <v>1.5</v>
      </c>
      <c r="P15">
        <v>1.5</v>
      </c>
      <c r="R15" t="s">
        <v>190</v>
      </c>
      <c r="S15" t="s">
        <v>837</v>
      </c>
      <c r="U15" t="s">
        <v>852</v>
      </c>
    </row>
    <row r="16" spans="1:21" x14ac:dyDescent="0.25">
      <c r="A16" t="s">
        <v>217</v>
      </c>
      <c r="B16" t="s">
        <v>228</v>
      </c>
      <c r="C16" t="str">
        <f>"≥ "&amp;Thresholds[[#This Row],[Threshold1]]&amp;" and &lt; "&amp;Thresholds[[#This Row],[Threshold2]]</f>
        <v>≥ 80 and &lt; 91</v>
      </c>
      <c r="D16" t="str">
        <f>"≥ "&amp;Thresholds[[#This Row],[Threshold2]]</f>
        <v>≥ 91</v>
      </c>
      <c r="E16">
        <v>80</v>
      </c>
      <c r="F16">
        <v>91</v>
      </c>
      <c r="H16" t="s">
        <v>217</v>
      </c>
      <c r="I16" t="e">
        <v>#N/A</v>
      </c>
      <c r="J16">
        <v>1</v>
      </c>
      <c r="K16">
        <v>1</v>
      </c>
      <c r="M16" t="s">
        <v>217</v>
      </c>
      <c r="N16" t="e">
        <f>NA()</f>
        <v>#N/A</v>
      </c>
      <c r="O16">
        <v>2</v>
      </c>
      <c r="P16">
        <v>2</v>
      </c>
      <c r="R16" t="s">
        <v>217</v>
      </c>
      <c r="T16" t="s">
        <v>857</v>
      </c>
      <c r="U16" t="s">
        <v>858</v>
      </c>
    </row>
  </sheetData>
  <sheetProtection algorithmName="SHA-512" hashValue="5aTZjqnMUbZHsqJU+HyOpJ09V8lmYzZCGdlWYk0X5n1OvTnixu9rR2nBplNSPHa33FjuLm1KxnHdn+4lpzfWFQ==" saltValue="mXTj2gsk9GQY9hmAN0ie8g==" spinCount="100000" sheet="1" objects="1" scenarios="1"/>
  <phoneticPr fontId="31" type="noConversion"/>
  <conditionalFormatting sqref="B4:D16">
    <cfRule type="cellIs" dxfId="19" priority="7" operator="equal">
      <formula>"no test"</formula>
    </cfRule>
  </conditionalFormatting>
  <conditionalFormatting sqref="I4:K16">
    <cfRule type="cellIs" dxfId="18" priority="6" operator="equal">
      <formula>""</formula>
    </cfRule>
  </conditionalFormatting>
  <conditionalFormatting sqref="N4:P16">
    <cfRule type="cellIs" dxfId="17" priority="5" operator="equal">
      <formula>""</formula>
    </cfRule>
  </conditionalFormatting>
  <conditionalFormatting sqref="I4:K16 N4:P16">
    <cfRule type="containsErrors" dxfId="16" priority="8">
      <formula>ISERROR(I4)</formula>
    </cfRule>
  </conditionalFormatting>
  <conditionalFormatting sqref="R4:R16">
    <cfRule type="containsBlanks" dxfId="15" priority="9">
      <formula>LEN(TRIM(R4))=0</formula>
    </cfRule>
  </conditionalFormatting>
  <conditionalFormatting sqref="O9">
    <cfRule type="cellIs" dxfId="14" priority="1" operator="equal">
      <formula>""</formula>
    </cfRule>
  </conditionalFormatting>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84D17-3A88-48C3-AC85-5A1507DA6143}">
  <sheetPr codeName="Sheet8"/>
  <dimension ref="A1:G232"/>
  <sheetViews>
    <sheetView workbookViewId="0">
      <selection activeCell="B29" sqref="B29"/>
    </sheetView>
  </sheetViews>
  <sheetFormatPr defaultRowHeight="15" x14ac:dyDescent="0.25"/>
  <cols>
    <col min="1" max="1" width="51.140625" bestFit="1" customWidth="1"/>
    <col min="2" max="2" width="56" bestFit="1" customWidth="1"/>
    <col min="3" max="3" width="30" bestFit="1" customWidth="1"/>
    <col min="4" max="4" width="18.42578125" bestFit="1" customWidth="1"/>
    <col min="5" max="5" width="8.28515625" bestFit="1" customWidth="1"/>
    <col min="6" max="6" width="11.140625" bestFit="1" customWidth="1"/>
  </cols>
  <sheetData>
    <row r="1" spans="1:7" x14ac:dyDescent="0.25">
      <c r="A1" t="s">
        <v>153</v>
      </c>
      <c r="B1" t="s">
        <v>229</v>
      </c>
      <c r="C1" t="s">
        <v>230</v>
      </c>
      <c r="D1" t="s">
        <v>231</v>
      </c>
      <c r="E1" t="s">
        <v>232</v>
      </c>
      <c r="F1" t="s">
        <v>233</v>
      </c>
      <c r="G1" t="s">
        <v>234</v>
      </c>
    </row>
    <row r="2" spans="1:7" x14ac:dyDescent="0.25">
      <c r="A2" t="s">
        <v>235</v>
      </c>
      <c r="B2" t="s">
        <v>236</v>
      </c>
      <c r="C2" t="s">
        <v>237</v>
      </c>
      <c r="D2" t="s">
        <v>238</v>
      </c>
      <c r="E2">
        <v>71</v>
      </c>
      <c r="F2" t="b" cm="1">
        <f t="array" ref="F2">IFERROR(OR(_xlfn._xlws.FILTER(#REF!,#REF!=Table1[[#This Row],[companyid]])),FALSE)</f>
        <v>0</v>
      </c>
      <c r="G2">
        <v>57132</v>
      </c>
    </row>
    <row r="3" spans="1:7" x14ac:dyDescent="0.25">
      <c r="A3" t="s">
        <v>239</v>
      </c>
      <c r="B3" t="s">
        <v>240</v>
      </c>
      <c r="C3" t="s">
        <v>241</v>
      </c>
      <c r="D3" t="s">
        <v>242</v>
      </c>
      <c r="E3">
        <v>43</v>
      </c>
      <c r="F3" t="b" cm="1">
        <f t="array" ref="F3">IFERROR(OR(_xlfn._xlws.FILTER(#REF!,#REF!=Table1[[#This Row],[companyid]])),FALSE)</f>
        <v>0</v>
      </c>
      <c r="G3">
        <v>57170</v>
      </c>
    </row>
    <row r="4" spans="1:7" x14ac:dyDescent="0.25">
      <c r="A4" t="s">
        <v>239</v>
      </c>
      <c r="B4" t="s">
        <v>243</v>
      </c>
      <c r="C4" t="s">
        <v>241</v>
      </c>
      <c r="D4" t="s">
        <v>242</v>
      </c>
      <c r="E4">
        <v>13</v>
      </c>
      <c r="F4" t="b" cm="1">
        <f t="array" ref="F4">IFERROR(OR(_xlfn._xlws.FILTER(#REF!,#REF!=Table1[[#This Row],[companyid]])),FALSE)</f>
        <v>0</v>
      </c>
      <c r="G4">
        <v>57170</v>
      </c>
    </row>
    <row r="5" spans="1:7" x14ac:dyDescent="0.25">
      <c r="A5" t="s">
        <v>244</v>
      </c>
      <c r="B5" t="s">
        <v>245</v>
      </c>
      <c r="C5" t="s">
        <v>246</v>
      </c>
      <c r="D5" t="s">
        <v>247</v>
      </c>
      <c r="E5">
        <v>125</v>
      </c>
      <c r="F5" t="b" cm="1">
        <f t="array" ref="F5">IFERROR(OR(_xlfn._xlws.FILTER(#REF!,#REF!=Table1[[#This Row],[companyid]])),FALSE)</f>
        <v>0</v>
      </c>
      <c r="G5">
        <v>57113</v>
      </c>
    </row>
    <row r="6" spans="1:7" x14ac:dyDescent="0.25">
      <c r="A6" t="s">
        <v>248</v>
      </c>
      <c r="B6" t="s">
        <v>249</v>
      </c>
      <c r="C6" t="s">
        <v>250</v>
      </c>
      <c r="D6" t="s">
        <v>251</v>
      </c>
      <c r="E6">
        <v>1</v>
      </c>
      <c r="F6" t="b" cm="1">
        <f t="array" ref="F6">IFERROR(OR(_xlfn._xlws.FILTER(#REF!,#REF!=Table1[[#This Row],[companyid]])),FALSE)</f>
        <v>0</v>
      </c>
      <c r="G6">
        <v>57158</v>
      </c>
    </row>
    <row r="7" spans="1:7" x14ac:dyDescent="0.25">
      <c r="A7" t="s">
        <v>252</v>
      </c>
      <c r="B7" t="s">
        <v>253</v>
      </c>
      <c r="C7" t="s">
        <v>254</v>
      </c>
      <c r="D7" t="s">
        <v>255</v>
      </c>
      <c r="E7">
        <v>6</v>
      </c>
      <c r="F7" t="b" cm="1">
        <f t="array" ref="F7">IFERROR(OR(_xlfn._xlws.FILTER(#REF!,#REF!=Table1[[#This Row],[companyid]])),FALSE)</f>
        <v>0</v>
      </c>
      <c r="G7">
        <v>57240</v>
      </c>
    </row>
    <row r="8" spans="1:7" x14ac:dyDescent="0.25">
      <c r="A8" t="s">
        <v>256</v>
      </c>
      <c r="B8" t="s">
        <v>257</v>
      </c>
      <c r="C8" t="s">
        <v>254</v>
      </c>
      <c r="D8" t="s">
        <v>258</v>
      </c>
      <c r="E8">
        <v>394</v>
      </c>
      <c r="F8" t="b" cm="1">
        <f t="array" ref="F8">IFERROR(OR(_xlfn._xlws.FILTER(#REF!,#REF!=Table1[[#This Row],[companyid]])),FALSE)</f>
        <v>0</v>
      </c>
      <c r="G8">
        <v>57248</v>
      </c>
    </row>
    <row r="9" spans="1:7" x14ac:dyDescent="0.25">
      <c r="A9" t="s">
        <v>256</v>
      </c>
      <c r="B9" t="s">
        <v>257</v>
      </c>
      <c r="C9" t="s">
        <v>254</v>
      </c>
      <c r="D9" t="s">
        <v>259</v>
      </c>
      <c r="E9">
        <v>103</v>
      </c>
      <c r="F9" t="b" cm="1">
        <f t="array" ref="F9">IFERROR(OR(_xlfn._xlws.FILTER(#REF!,#REF!=Table1[[#This Row],[companyid]])),FALSE)</f>
        <v>0</v>
      </c>
      <c r="G9">
        <v>57248</v>
      </c>
    </row>
    <row r="10" spans="1:7" x14ac:dyDescent="0.25">
      <c r="A10" t="s">
        <v>260</v>
      </c>
      <c r="B10" t="s">
        <v>261</v>
      </c>
      <c r="C10" t="s">
        <v>254</v>
      </c>
      <c r="D10" t="s">
        <v>258</v>
      </c>
      <c r="E10">
        <v>692</v>
      </c>
      <c r="F10" t="b" cm="1">
        <f t="array" ref="F10">IFERROR(OR(_xlfn._xlws.FILTER(#REF!,#REF!=Table1[[#This Row],[companyid]])),FALSE)</f>
        <v>0</v>
      </c>
      <c r="G10">
        <v>57221</v>
      </c>
    </row>
    <row r="11" spans="1:7" x14ac:dyDescent="0.25">
      <c r="A11" t="s">
        <v>260</v>
      </c>
      <c r="B11" t="s">
        <v>262</v>
      </c>
      <c r="C11" t="s">
        <v>263</v>
      </c>
      <c r="D11" t="s">
        <v>258</v>
      </c>
      <c r="E11">
        <v>665</v>
      </c>
      <c r="F11" t="b" cm="1">
        <f t="array" ref="F11">IFERROR(OR(_xlfn._xlws.FILTER(#REF!,#REF!=Table1[[#This Row],[companyid]])),FALSE)</f>
        <v>0</v>
      </c>
      <c r="G11">
        <v>57221</v>
      </c>
    </row>
    <row r="12" spans="1:7" x14ac:dyDescent="0.25">
      <c r="A12" t="s">
        <v>260</v>
      </c>
      <c r="B12" t="s">
        <v>262</v>
      </c>
      <c r="C12" t="s">
        <v>263</v>
      </c>
      <c r="D12" t="s">
        <v>264</v>
      </c>
      <c r="E12">
        <v>593</v>
      </c>
      <c r="F12" t="b" cm="1">
        <f t="array" ref="F12">IFERROR(OR(_xlfn._xlws.FILTER(#REF!,#REF!=Table1[[#This Row],[companyid]])),FALSE)</f>
        <v>0</v>
      </c>
      <c r="G12">
        <v>57221</v>
      </c>
    </row>
    <row r="13" spans="1:7" x14ac:dyDescent="0.25">
      <c r="A13" t="s">
        <v>265</v>
      </c>
      <c r="B13" t="s">
        <v>266</v>
      </c>
      <c r="C13" t="s">
        <v>267</v>
      </c>
      <c r="D13" t="s">
        <v>268</v>
      </c>
      <c r="E13">
        <v>9</v>
      </c>
      <c r="F13" t="b" cm="1">
        <f t="array" ref="F13">IFERROR(OR(_xlfn._xlws.FILTER(#REF!,#REF!=Table1[[#This Row],[companyid]])),FALSE)</f>
        <v>0</v>
      </c>
      <c r="G13">
        <v>57178</v>
      </c>
    </row>
    <row r="14" spans="1:7" x14ac:dyDescent="0.25">
      <c r="A14" t="s">
        <v>269</v>
      </c>
      <c r="B14" t="s">
        <v>270</v>
      </c>
      <c r="C14" t="s">
        <v>271</v>
      </c>
      <c r="D14" t="s">
        <v>272</v>
      </c>
      <c r="E14">
        <v>45</v>
      </c>
      <c r="F14" t="b" cm="1">
        <f t="array" ref="F14">IFERROR(OR(_xlfn._xlws.FILTER(#REF!,#REF!=Table1[[#This Row],[companyid]])),FALSE)</f>
        <v>0</v>
      </c>
      <c r="G14">
        <v>57332</v>
      </c>
    </row>
    <row r="15" spans="1:7" x14ac:dyDescent="0.25">
      <c r="A15" t="s">
        <v>273</v>
      </c>
      <c r="B15" t="s">
        <v>274</v>
      </c>
      <c r="C15" t="s">
        <v>275</v>
      </c>
      <c r="D15" t="s">
        <v>276</v>
      </c>
      <c r="E15">
        <v>372</v>
      </c>
      <c r="F15" t="b" cm="1">
        <f t="array" ref="F15">IFERROR(OR(_xlfn._xlws.FILTER(#REF!,#REF!=Table1[[#This Row],[companyid]])),FALSE)</f>
        <v>0</v>
      </c>
      <c r="G15">
        <v>57283</v>
      </c>
    </row>
    <row r="16" spans="1:7" x14ac:dyDescent="0.25">
      <c r="A16" t="s">
        <v>277</v>
      </c>
      <c r="C16" t="s">
        <v>278</v>
      </c>
      <c r="E16">
        <v>0</v>
      </c>
      <c r="F16" t="b" cm="1">
        <f t="array" ref="F16">IFERROR(OR(_xlfn._xlws.FILTER(#REF!,#REF!=Table1[[#This Row],[companyid]])),FALSE)</f>
        <v>0</v>
      </c>
      <c r="G16">
        <v>57280</v>
      </c>
    </row>
    <row r="17" spans="1:7" x14ac:dyDescent="0.25">
      <c r="A17" t="s">
        <v>279</v>
      </c>
      <c r="B17" t="s">
        <v>280</v>
      </c>
      <c r="C17" t="s">
        <v>281</v>
      </c>
      <c r="D17" t="s">
        <v>282</v>
      </c>
      <c r="E17">
        <v>174</v>
      </c>
      <c r="F17" t="b" cm="1">
        <f t="array" ref="F17">IFERROR(OR(_xlfn._xlws.FILTER(#REF!,#REF!=Table1[[#This Row],[companyid]])),FALSE)</f>
        <v>0</v>
      </c>
      <c r="G17">
        <v>57298</v>
      </c>
    </row>
    <row r="18" spans="1:7" x14ac:dyDescent="0.25">
      <c r="A18" t="s">
        <v>279</v>
      </c>
      <c r="B18" t="s">
        <v>283</v>
      </c>
      <c r="C18" t="s">
        <v>284</v>
      </c>
      <c r="D18" t="s">
        <v>282</v>
      </c>
      <c r="E18">
        <v>172</v>
      </c>
      <c r="F18" t="b" cm="1">
        <f t="array" ref="F18">IFERROR(OR(_xlfn._xlws.FILTER(#REF!,#REF!=Table1[[#This Row],[companyid]])),FALSE)</f>
        <v>0</v>
      </c>
      <c r="G18">
        <v>57298</v>
      </c>
    </row>
    <row r="19" spans="1:7" x14ac:dyDescent="0.25">
      <c r="A19" t="s">
        <v>285</v>
      </c>
      <c r="B19" t="s">
        <v>286</v>
      </c>
      <c r="C19" t="s">
        <v>287</v>
      </c>
      <c r="D19" t="s">
        <v>288</v>
      </c>
      <c r="E19">
        <v>21</v>
      </c>
      <c r="F19" t="b" cm="1">
        <f t="array" ref="F19">IFERROR(OR(_xlfn._xlws.FILTER(#REF!,#REF!=Table1[[#This Row],[companyid]])),FALSE)</f>
        <v>0</v>
      </c>
      <c r="G19">
        <v>57439</v>
      </c>
    </row>
    <row r="20" spans="1:7" x14ac:dyDescent="0.25">
      <c r="A20" t="s">
        <v>285</v>
      </c>
      <c r="B20" t="s">
        <v>289</v>
      </c>
      <c r="C20" t="s">
        <v>290</v>
      </c>
      <c r="D20" t="s">
        <v>288</v>
      </c>
      <c r="E20">
        <v>14</v>
      </c>
      <c r="F20" t="b" cm="1">
        <f t="array" ref="F20">IFERROR(OR(_xlfn._xlws.FILTER(#REF!,#REF!=Table1[[#This Row],[companyid]])),FALSE)</f>
        <v>0</v>
      </c>
      <c r="G20">
        <v>57439</v>
      </c>
    </row>
    <row r="21" spans="1:7" x14ac:dyDescent="0.25">
      <c r="A21" t="s">
        <v>291</v>
      </c>
      <c r="B21" t="s">
        <v>292</v>
      </c>
      <c r="C21" t="s">
        <v>293</v>
      </c>
      <c r="D21" t="s">
        <v>294</v>
      </c>
      <c r="E21">
        <v>18</v>
      </c>
      <c r="F21" t="b" cm="1">
        <f t="array" ref="F21">IFERROR(OR(_xlfn._xlws.FILTER(#REF!,#REF!=Table1[[#This Row],[companyid]])),FALSE)</f>
        <v>0</v>
      </c>
      <c r="G21">
        <v>57437</v>
      </c>
    </row>
    <row r="22" spans="1:7" x14ac:dyDescent="0.25">
      <c r="A22" t="s">
        <v>295</v>
      </c>
      <c r="B22" t="s">
        <v>296</v>
      </c>
      <c r="C22" t="s">
        <v>297</v>
      </c>
      <c r="D22" t="s">
        <v>298</v>
      </c>
      <c r="E22">
        <v>28</v>
      </c>
      <c r="F22" t="b" cm="1">
        <f t="array" ref="F22">IFERROR(OR(_xlfn._xlws.FILTER(#REF!,#REF!=Table1[[#This Row],[companyid]])),FALSE)</f>
        <v>0</v>
      </c>
      <c r="G22">
        <v>57464</v>
      </c>
    </row>
    <row r="23" spans="1:7" x14ac:dyDescent="0.25">
      <c r="A23" t="s">
        <v>295</v>
      </c>
      <c r="B23" t="s">
        <v>296</v>
      </c>
      <c r="C23" t="s">
        <v>297</v>
      </c>
      <c r="D23" t="s">
        <v>299</v>
      </c>
      <c r="E23">
        <v>17</v>
      </c>
      <c r="F23" t="b" cm="1">
        <f t="array" ref="F23">IFERROR(OR(_xlfn._xlws.FILTER(#REF!,#REF!=Table1[[#This Row],[companyid]])),FALSE)</f>
        <v>0</v>
      </c>
      <c r="G23">
        <v>57464</v>
      </c>
    </row>
    <row r="24" spans="1:7" x14ac:dyDescent="0.25">
      <c r="A24" t="s">
        <v>300</v>
      </c>
      <c r="B24" t="s">
        <v>301</v>
      </c>
      <c r="C24" t="s">
        <v>302</v>
      </c>
      <c r="D24" t="s">
        <v>303</v>
      </c>
      <c r="E24">
        <v>410</v>
      </c>
      <c r="F24" t="b" cm="1">
        <f t="array" ref="F24">IFERROR(OR(_xlfn._xlws.FILTER(#REF!,#REF!=Table1[[#This Row],[companyid]])),FALSE)</f>
        <v>0</v>
      </c>
      <c r="G24">
        <v>57461</v>
      </c>
    </row>
    <row r="25" spans="1:7" x14ac:dyDescent="0.25">
      <c r="A25" t="s">
        <v>300</v>
      </c>
      <c r="B25" t="s">
        <v>304</v>
      </c>
      <c r="C25" t="s">
        <v>302</v>
      </c>
      <c r="D25" t="s">
        <v>303</v>
      </c>
      <c r="E25">
        <v>407</v>
      </c>
      <c r="F25" t="b" cm="1">
        <f t="array" ref="F25">IFERROR(OR(_xlfn._xlws.FILTER(#REF!,#REF!=Table1[[#This Row],[companyid]])),FALSE)</f>
        <v>0</v>
      </c>
      <c r="G25">
        <v>57461</v>
      </c>
    </row>
    <row r="26" spans="1:7" x14ac:dyDescent="0.25">
      <c r="A26" t="s">
        <v>300</v>
      </c>
      <c r="B26" t="s">
        <v>304</v>
      </c>
      <c r="C26" t="s">
        <v>302</v>
      </c>
      <c r="E26">
        <v>365</v>
      </c>
      <c r="F26" t="b" cm="1">
        <f t="array" ref="F26">IFERROR(OR(_xlfn._xlws.FILTER(#REF!,#REF!=Table1[[#This Row],[companyid]])),FALSE)</f>
        <v>0</v>
      </c>
      <c r="G26">
        <v>57461</v>
      </c>
    </row>
    <row r="27" spans="1:7" x14ac:dyDescent="0.25">
      <c r="A27" t="s">
        <v>305</v>
      </c>
      <c r="B27" t="s">
        <v>306</v>
      </c>
      <c r="C27" t="s">
        <v>307</v>
      </c>
      <c r="D27" t="s">
        <v>308</v>
      </c>
      <c r="E27">
        <v>190</v>
      </c>
      <c r="F27" t="b" cm="1">
        <f t="array" ref="F27">IFERROR(OR(_xlfn._xlws.FILTER(#REF!,#REF!=Table1[[#This Row],[companyid]])),FALSE)</f>
        <v>0</v>
      </c>
      <c r="G27">
        <v>57460</v>
      </c>
    </row>
    <row r="28" spans="1:7" x14ac:dyDescent="0.25">
      <c r="A28" t="s">
        <v>305</v>
      </c>
      <c r="B28" t="s">
        <v>304</v>
      </c>
      <c r="C28" t="s">
        <v>302</v>
      </c>
      <c r="D28" t="s">
        <v>303</v>
      </c>
      <c r="E28">
        <v>190</v>
      </c>
      <c r="F28" t="b" cm="1">
        <f t="array" ref="F28">IFERROR(OR(_xlfn._xlws.FILTER(#REF!,#REF!=Table1[[#This Row],[companyid]])),FALSE)</f>
        <v>0</v>
      </c>
      <c r="G28">
        <v>57460</v>
      </c>
    </row>
    <row r="29" spans="1:7" x14ac:dyDescent="0.25">
      <c r="A29" t="s">
        <v>309</v>
      </c>
      <c r="B29" t="s">
        <v>310</v>
      </c>
      <c r="C29" t="s">
        <v>311</v>
      </c>
      <c r="D29" t="s">
        <v>312</v>
      </c>
      <c r="E29">
        <v>81</v>
      </c>
      <c r="F29" t="b" cm="1">
        <f t="array" ref="F29">IFERROR(OR(_xlfn._xlws.FILTER(#REF!,#REF!=Table1[[#This Row],[companyid]])),FALSE)</f>
        <v>0</v>
      </c>
      <c r="G29">
        <v>57421</v>
      </c>
    </row>
    <row r="30" spans="1:7" x14ac:dyDescent="0.25">
      <c r="A30" t="s">
        <v>313</v>
      </c>
      <c r="C30" t="s">
        <v>278</v>
      </c>
      <c r="E30">
        <v>0</v>
      </c>
      <c r="F30" t="b" cm="1">
        <f t="array" ref="F30">IFERROR(OR(_xlfn._xlws.FILTER(#REF!,#REF!=Table1[[#This Row],[companyid]])),FALSE)</f>
        <v>0</v>
      </c>
      <c r="G30">
        <v>57381</v>
      </c>
    </row>
    <row r="31" spans="1:7" x14ac:dyDescent="0.25">
      <c r="A31" t="s">
        <v>314</v>
      </c>
      <c r="B31" t="s">
        <v>315</v>
      </c>
      <c r="C31" t="s">
        <v>316</v>
      </c>
      <c r="D31" t="s">
        <v>317</v>
      </c>
      <c r="E31">
        <v>138</v>
      </c>
      <c r="F31" t="b" cm="1">
        <f t="array" ref="F31">IFERROR(OR(_xlfn._xlws.FILTER(#REF!,#REF!=Table1[[#This Row],[companyid]])),FALSE)</f>
        <v>0</v>
      </c>
      <c r="G31">
        <v>57534</v>
      </c>
    </row>
    <row r="32" spans="1:7" x14ac:dyDescent="0.25">
      <c r="A32" t="s">
        <v>318</v>
      </c>
      <c r="B32" t="s">
        <v>319</v>
      </c>
      <c r="C32" t="s">
        <v>320</v>
      </c>
      <c r="D32" t="s">
        <v>321</v>
      </c>
      <c r="E32">
        <v>8</v>
      </c>
      <c r="F32" t="b" cm="1">
        <f t="array" ref="F32">IFERROR(OR(_xlfn._xlws.FILTER(#REF!,#REF!=Table1[[#This Row],[companyid]])),FALSE)</f>
        <v>0</v>
      </c>
      <c r="G32">
        <v>57562</v>
      </c>
    </row>
    <row r="33" spans="1:7" x14ac:dyDescent="0.25">
      <c r="A33" t="s">
        <v>318</v>
      </c>
      <c r="B33" t="s">
        <v>322</v>
      </c>
      <c r="C33" t="s">
        <v>320</v>
      </c>
      <c r="D33" t="s">
        <v>321</v>
      </c>
      <c r="E33">
        <v>2</v>
      </c>
      <c r="F33" t="b" cm="1">
        <f t="array" ref="F33">IFERROR(OR(_xlfn._xlws.FILTER(#REF!,#REF!=Table1[[#This Row],[companyid]])),FALSE)</f>
        <v>0</v>
      </c>
      <c r="G33">
        <v>57562</v>
      </c>
    </row>
    <row r="34" spans="1:7" x14ac:dyDescent="0.25">
      <c r="A34" t="s">
        <v>323</v>
      </c>
      <c r="C34" t="s">
        <v>278</v>
      </c>
      <c r="E34">
        <v>3</v>
      </c>
      <c r="F34" t="b" cm="1">
        <f t="array" ref="F34">IFERROR(OR(_xlfn._xlws.FILTER(#REF!,#REF!=Table1[[#This Row],[companyid]])),FALSE)</f>
        <v>0</v>
      </c>
      <c r="G34">
        <v>61312</v>
      </c>
    </row>
    <row r="35" spans="1:7" x14ac:dyDescent="0.25">
      <c r="A35" t="s">
        <v>324</v>
      </c>
      <c r="B35" t="s">
        <v>325</v>
      </c>
      <c r="C35" t="s">
        <v>326</v>
      </c>
      <c r="D35" t="s">
        <v>327</v>
      </c>
      <c r="E35">
        <v>13</v>
      </c>
      <c r="F35" t="b" cm="1">
        <f t="array" ref="F35">IFERROR(OR(_xlfn._xlws.FILTER(#REF!,#REF!=Table1[[#This Row],[companyid]])),FALSE)</f>
        <v>0</v>
      </c>
      <c r="G35">
        <v>87871</v>
      </c>
    </row>
    <row r="36" spans="1:7" x14ac:dyDescent="0.25">
      <c r="A36" t="s">
        <v>328</v>
      </c>
      <c r="B36" t="s">
        <v>329</v>
      </c>
      <c r="C36" t="s">
        <v>330</v>
      </c>
      <c r="D36" t="s">
        <v>331</v>
      </c>
      <c r="E36">
        <v>94</v>
      </c>
      <c r="F36" t="b" cm="1">
        <f t="array" ref="F36">IFERROR(OR(_xlfn._xlws.FILTER(#REF!,#REF!=Table1[[#This Row],[companyid]])),FALSE)</f>
        <v>0</v>
      </c>
      <c r="G36">
        <v>57492</v>
      </c>
    </row>
    <row r="37" spans="1:7" x14ac:dyDescent="0.25">
      <c r="A37" t="s">
        <v>332</v>
      </c>
      <c r="B37" t="s">
        <v>333</v>
      </c>
      <c r="C37" t="s">
        <v>334</v>
      </c>
      <c r="D37" t="s">
        <v>335</v>
      </c>
      <c r="E37">
        <v>303</v>
      </c>
      <c r="F37" t="b" cm="1">
        <f t="array" ref="F37">IFERROR(OR(_xlfn._xlws.FILTER(#REF!,#REF!=Table1[[#This Row],[companyid]])),FALSE)</f>
        <v>0</v>
      </c>
      <c r="G37">
        <v>57481</v>
      </c>
    </row>
    <row r="38" spans="1:7" x14ac:dyDescent="0.25">
      <c r="A38" t="s">
        <v>332</v>
      </c>
      <c r="B38" t="s">
        <v>336</v>
      </c>
      <c r="C38" t="s">
        <v>334</v>
      </c>
      <c r="D38" t="s">
        <v>335</v>
      </c>
      <c r="E38">
        <v>294</v>
      </c>
      <c r="F38" t="b" cm="1">
        <f t="array" ref="F38">IFERROR(OR(_xlfn._xlws.FILTER(#REF!,#REF!=Table1[[#This Row],[companyid]])),FALSE)</f>
        <v>0</v>
      </c>
      <c r="G38">
        <v>57481</v>
      </c>
    </row>
    <row r="39" spans="1:7" x14ac:dyDescent="0.25">
      <c r="A39" t="s">
        <v>332</v>
      </c>
      <c r="B39" t="s">
        <v>336</v>
      </c>
      <c r="C39" t="s">
        <v>334</v>
      </c>
      <c r="D39" t="s">
        <v>337</v>
      </c>
      <c r="E39">
        <v>276</v>
      </c>
      <c r="F39" t="b" cm="1">
        <f t="array" ref="F39">IFERROR(OR(_xlfn._xlws.FILTER(#REF!,#REF!=Table1[[#This Row],[companyid]])),FALSE)</f>
        <v>0</v>
      </c>
      <c r="G39">
        <v>57481</v>
      </c>
    </row>
    <row r="40" spans="1:7" x14ac:dyDescent="0.25">
      <c r="A40" t="s">
        <v>338</v>
      </c>
      <c r="B40" t="s">
        <v>339</v>
      </c>
      <c r="C40" t="s">
        <v>340</v>
      </c>
      <c r="D40" t="s">
        <v>341</v>
      </c>
      <c r="E40">
        <v>369</v>
      </c>
      <c r="F40" t="b" cm="1">
        <f t="array" ref="F40">IFERROR(OR(_xlfn._xlws.FILTER(#REF!,#REF!=Table1[[#This Row],[companyid]])),FALSE)</f>
        <v>0</v>
      </c>
      <c r="G40">
        <v>57508</v>
      </c>
    </row>
    <row r="41" spans="1:7" x14ac:dyDescent="0.25">
      <c r="A41" t="s">
        <v>338</v>
      </c>
      <c r="B41" t="s">
        <v>342</v>
      </c>
      <c r="C41" t="s">
        <v>343</v>
      </c>
      <c r="D41" t="s">
        <v>341</v>
      </c>
      <c r="E41">
        <v>132</v>
      </c>
      <c r="F41" t="b" cm="1">
        <f t="array" ref="F41">IFERROR(OR(_xlfn._xlws.FILTER(#REF!,#REF!=Table1[[#This Row],[companyid]])),FALSE)</f>
        <v>0</v>
      </c>
      <c r="G41">
        <v>57508</v>
      </c>
    </row>
    <row r="42" spans="1:7" x14ac:dyDescent="0.25">
      <c r="A42" t="s">
        <v>344</v>
      </c>
      <c r="C42" t="s">
        <v>278</v>
      </c>
      <c r="E42">
        <v>0</v>
      </c>
      <c r="F42" t="b" cm="1">
        <f t="array" ref="F42">IFERROR(OR(_xlfn._xlws.FILTER(#REF!,#REF!=Table1[[#This Row],[companyid]])),FALSE)</f>
        <v>0</v>
      </c>
      <c r="G42">
        <v>57613</v>
      </c>
    </row>
    <row r="43" spans="1:7" x14ac:dyDescent="0.25">
      <c r="A43" t="s">
        <v>345</v>
      </c>
      <c r="B43" t="s">
        <v>346</v>
      </c>
      <c r="C43" t="s">
        <v>254</v>
      </c>
      <c r="D43" t="s">
        <v>347</v>
      </c>
      <c r="E43">
        <v>30</v>
      </c>
      <c r="F43" t="b" cm="1">
        <f t="array" ref="F43">IFERROR(OR(_xlfn._xlws.FILTER(#REF!,#REF!=Table1[[#This Row],[companyid]])),FALSE)</f>
        <v>0</v>
      </c>
      <c r="G43">
        <v>57598</v>
      </c>
    </row>
    <row r="44" spans="1:7" x14ac:dyDescent="0.25">
      <c r="A44" t="s">
        <v>345</v>
      </c>
      <c r="B44" t="s">
        <v>346</v>
      </c>
      <c r="C44" t="s">
        <v>254</v>
      </c>
      <c r="D44" t="s">
        <v>348</v>
      </c>
      <c r="E44">
        <v>15</v>
      </c>
      <c r="F44" t="b" cm="1">
        <f t="array" ref="F44">IFERROR(OR(_xlfn._xlws.FILTER(#REF!,#REF!=Table1[[#This Row],[companyid]])),FALSE)</f>
        <v>0</v>
      </c>
      <c r="G44">
        <v>57598</v>
      </c>
    </row>
    <row r="45" spans="1:7" x14ac:dyDescent="0.25">
      <c r="A45" t="s">
        <v>349</v>
      </c>
      <c r="B45" t="s">
        <v>350</v>
      </c>
      <c r="C45" t="s">
        <v>351</v>
      </c>
      <c r="D45" t="s">
        <v>352</v>
      </c>
      <c r="E45">
        <v>12</v>
      </c>
      <c r="F45" t="b" cm="1">
        <f t="array" ref="F45">IFERROR(OR(_xlfn._xlws.FILTER(#REF!,#REF!=Table1[[#This Row],[companyid]])),FALSE)</f>
        <v>0</v>
      </c>
      <c r="G45">
        <v>57762</v>
      </c>
    </row>
    <row r="46" spans="1:7" x14ac:dyDescent="0.25">
      <c r="A46" t="s">
        <v>349</v>
      </c>
      <c r="B46" t="s">
        <v>353</v>
      </c>
      <c r="C46" t="s">
        <v>351</v>
      </c>
      <c r="D46" t="s">
        <v>352</v>
      </c>
      <c r="E46">
        <v>3</v>
      </c>
      <c r="F46" t="b" cm="1">
        <f t="array" ref="F46">IFERROR(OR(_xlfn._xlws.FILTER(#REF!,#REF!=Table1[[#This Row],[companyid]])),FALSE)</f>
        <v>0</v>
      </c>
      <c r="G46">
        <v>57762</v>
      </c>
    </row>
    <row r="47" spans="1:7" x14ac:dyDescent="0.25">
      <c r="A47" t="s">
        <v>349</v>
      </c>
      <c r="C47" t="s">
        <v>278</v>
      </c>
      <c r="E47">
        <v>0</v>
      </c>
      <c r="F47" t="b" cm="1">
        <f t="array" ref="F47">IFERROR(OR(_xlfn._xlws.FILTER(#REF!,#REF!=Table1[[#This Row],[companyid]])),FALSE)</f>
        <v>0</v>
      </c>
      <c r="G47">
        <v>57762</v>
      </c>
    </row>
    <row r="48" spans="1:7" x14ac:dyDescent="0.25">
      <c r="A48" t="s">
        <v>354</v>
      </c>
      <c r="B48" t="s">
        <v>355</v>
      </c>
      <c r="C48" t="s">
        <v>356</v>
      </c>
      <c r="D48" t="s">
        <v>357</v>
      </c>
      <c r="E48">
        <v>14</v>
      </c>
      <c r="F48" t="b" cm="1">
        <f t="array" ref="F48">IFERROR(OR(_xlfn._xlws.FILTER(#REF!,#REF!=Table1[[#This Row],[companyid]])),FALSE)</f>
        <v>0</v>
      </c>
      <c r="G48">
        <v>57755</v>
      </c>
    </row>
    <row r="49" spans="1:7" x14ac:dyDescent="0.25">
      <c r="A49" t="s">
        <v>358</v>
      </c>
      <c r="B49" t="s">
        <v>359</v>
      </c>
      <c r="C49" t="s">
        <v>360</v>
      </c>
      <c r="D49" t="s">
        <v>361</v>
      </c>
      <c r="E49">
        <v>31</v>
      </c>
      <c r="F49" t="b" cm="1">
        <f t="array" ref="F49">IFERROR(OR(_xlfn._xlws.FILTER(#REF!,#REF!=Table1[[#This Row],[companyid]])),FALSE)</f>
        <v>0</v>
      </c>
      <c r="G49">
        <v>57682</v>
      </c>
    </row>
    <row r="50" spans="1:7" x14ac:dyDescent="0.25">
      <c r="A50" t="s">
        <v>358</v>
      </c>
      <c r="C50" t="s">
        <v>278</v>
      </c>
      <c r="E50">
        <v>0</v>
      </c>
      <c r="F50" t="b" cm="1">
        <f t="array" ref="F50">IFERROR(OR(_xlfn._xlws.FILTER(#REF!,#REF!=Table1[[#This Row],[companyid]])),FALSE)</f>
        <v>0</v>
      </c>
      <c r="G50">
        <v>57682</v>
      </c>
    </row>
    <row r="51" spans="1:7" x14ac:dyDescent="0.25">
      <c r="A51" t="s">
        <v>362</v>
      </c>
      <c r="B51" t="s">
        <v>363</v>
      </c>
      <c r="C51" t="s">
        <v>364</v>
      </c>
      <c r="D51" t="s">
        <v>365</v>
      </c>
      <c r="E51">
        <v>38</v>
      </c>
      <c r="F51" t="b" cm="1">
        <f t="array" ref="F51">IFERROR(OR(_xlfn._xlws.FILTER(#REF!,#REF!=Table1[[#This Row],[companyid]])),FALSE)</f>
        <v>0</v>
      </c>
      <c r="G51">
        <v>57718</v>
      </c>
    </row>
    <row r="52" spans="1:7" x14ac:dyDescent="0.25">
      <c r="A52" t="s">
        <v>362</v>
      </c>
      <c r="B52" t="s">
        <v>363</v>
      </c>
      <c r="C52" t="s">
        <v>364</v>
      </c>
      <c r="D52" t="s">
        <v>366</v>
      </c>
      <c r="E52">
        <v>26</v>
      </c>
      <c r="F52" t="b" cm="1">
        <f t="array" ref="F52">IFERROR(OR(_xlfn._xlws.FILTER(#REF!,#REF!=Table1[[#This Row],[companyid]])),FALSE)</f>
        <v>0</v>
      </c>
      <c r="G52">
        <v>57718</v>
      </c>
    </row>
    <row r="53" spans="1:7" x14ac:dyDescent="0.25">
      <c r="A53" t="s">
        <v>367</v>
      </c>
      <c r="B53" t="s">
        <v>368</v>
      </c>
      <c r="C53" t="s">
        <v>369</v>
      </c>
      <c r="D53" t="s">
        <v>370</v>
      </c>
      <c r="E53">
        <v>26</v>
      </c>
      <c r="F53" t="b" cm="1">
        <f t="array" ref="F53">IFERROR(OR(_xlfn._xlws.FILTER(#REF!,#REF!=Table1[[#This Row],[companyid]])),FALSE)</f>
        <v>0</v>
      </c>
      <c r="G53">
        <v>57704</v>
      </c>
    </row>
    <row r="54" spans="1:7" x14ac:dyDescent="0.25">
      <c r="A54" t="s">
        <v>371</v>
      </c>
      <c r="B54" t="s">
        <v>372</v>
      </c>
      <c r="C54" t="s">
        <v>373</v>
      </c>
      <c r="E54">
        <v>27</v>
      </c>
      <c r="F54" t="b" cm="1">
        <f t="array" ref="F54">IFERROR(OR(_xlfn._xlws.FILTER(#REF!,#REF!=Table1[[#This Row],[companyid]])),FALSE)</f>
        <v>0</v>
      </c>
      <c r="G54">
        <v>57844</v>
      </c>
    </row>
    <row r="55" spans="1:7" x14ac:dyDescent="0.25">
      <c r="A55" t="s">
        <v>371</v>
      </c>
      <c r="B55" t="s">
        <v>374</v>
      </c>
      <c r="C55" t="s">
        <v>375</v>
      </c>
      <c r="D55" t="s">
        <v>376</v>
      </c>
      <c r="E55">
        <v>9</v>
      </c>
      <c r="F55" t="b" cm="1">
        <f t="array" ref="F55">IFERROR(OR(_xlfn._xlws.FILTER(#REF!,#REF!=Table1[[#This Row],[companyid]])),FALSE)</f>
        <v>0</v>
      </c>
      <c r="G55">
        <v>57844</v>
      </c>
    </row>
    <row r="56" spans="1:7" x14ac:dyDescent="0.25">
      <c r="A56" t="s">
        <v>371</v>
      </c>
      <c r="C56" t="s">
        <v>278</v>
      </c>
      <c r="E56">
        <v>0</v>
      </c>
      <c r="F56" t="b" cm="1">
        <f t="array" ref="F56">IFERROR(OR(_xlfn._xlws.FILTER(#REF!,#REF!=Table1[[#This Row],[companyid]])),FALSE)</f>
        <v>0</v>
      </c>
      <c r="G56">
        <v>57844</v>
      </c>
    </row>
    <row r="57" spans="1:7" x14ac:dyDescent="0.25">
      <c r="A57" t="s">
        <v>377</v>
      </c>
      <c r="B57" t="s">
        <v>378</v>
      </c>
      <c r="C57" t="s">
        <v>379</v>
      </c>
      <c r="D57" t="s">
        <v>380</v>
      </c>
      <c r="E57">
        <v>686</v>
      </c>
      <c r="F57" t="b" cm="1">
        <f t="array" ref="F57">IFERROR(OR(_xlfn._xlws.FILTER(#REF!,#REF!=Table1[[#This Row],[companyid]])),FALSE)</f>
        <v>0</v>
      </c>
      <c r="G57">
        <v>57819</v>
      </c>
    </row>
    <row r="58" spans="1:7" x14ac:dyDescent="0.25">
      <c r="A58" t="s">
        <v>377</v>
      </c>
      <c r="B58" t="s">
        <v>381</v>
      </c>
      <c r="C58" t="s">
        <v>254</v>
      </c>
      <c r="D58" t="s">
        <v>380</v>
      </c>
      <c r="E58">
        <v>414</v>
      </c>
      <c r="F58" t="b" cm="1">
        <f t="array" ref="F58">IFERROR(OR(_xlfn._xlws.FILTER(#REF!,#REF!=Table1[[#This Row],[companyid]])),FALSE)</f>
        <v>0</v>
      </c>
      <c r="G58">
        <v>57819</v>
      </c>
    </row>
    <row r="59" spans="1:7" x14ac:dyDescent="0.25">
      <c r="A59" t="s">
        <v>382</v>
      </c>
      <c r="B59" t="s">
        <v>383</v>
      </c>
      <c r="C59" t="s">
        <v>379</v>
      </c>
      <c r="D59" t="s">
        <v>380</v>
      </c>
      <c r="E59">
        <v>160</v>
      </c>
      <c r="F59" t="b" cm="1">
        <f t="array" ref="F59">IFERROR(OR(_xlfn._xlws.FILTER(#REF!,#REF!=Table1[[#This Row],[companyid]])),FALSE)</f>
        <v>0</v>
      </c>
      <c r="G59">
        <v>57820</v>
      </c>
    </row>
    <row r="60" spans="1:7" x14ac:dyDescent="0.25">
      <c r="A60" t="s">
        <v>384</v>
      </c>
      <c r="B60" t="s">
        <v>385</v>
      </c>
      <c r="C60" t="s">
        <v>369</v>
      </c>
      <c r="D60" t="s">
        <v>386</v>
      </c>
      <c r="E60">
        <v>1</v>
      </c>
      <c r="F60" t="b" cm="1">
        <f t="array" ref="F60">IFERROR(OR(_xlfn._xlws.FILTER(#REF!,#REF!=Table1[[#This Row],[companyid]])),FALSE)</f>
        <v>0</v>
      </c>
      <c r="G60">
        <v>115311</v>
      </c>
    </row>
    <row r="61" spans="1:7" x14ac:dyDescent="0.25">
      <c r="A61" t="s">
        <v>387</v>
      </c>
      <c r="B61" t="s">
        <v>388</v>
      </c>
      <c r="C61" t="s">
        <v>389</v>
      </c>
      <c r="D61" t="s">
        <v>390</v>
      </c>
      <c r="E61">
        <v>27</v>
      </c>
      <c r="F61" t="b" cm="1">
        <f t="array" ref="F61">IFERROR(OR(_xlfn._xlws.FILTER(#REF!,#REF!=Table1[[#This Row],[companyid]])),FALSE)</f>
        <v>0</v>
      </c>
      <c r="G61">
        <v>57777</v>
      </c>
    </row>
    <row r="62" spans="1:7" x14ac:dyDescent="0.25">
      <c r="A62" t="s">
        <v>387</v>
      </c>
      <c r="B62" t="s">
        <v>391</v>
      </c>
      <c r="C62" t="s">
        <v>389</v>
      </c>
      <c r="D62" t="s">
        <v>390</v>
      </c>
      <c r="E62">
        <v>9</v>
      </c>
      <c r="F62" t="b" cm="1">
        <f t="array" ref="F62">IFERROR(OR(_xlfn._xlws.FILTER(#REF!,#REF!=Table1[[#This Row],[companyid]])),FALSE)</f>
        <v>0</v>
      </c>
      <c r="G62">
        <v>57777</v>
      </c>
    </row>
    <row r="63" spans="1:7" x14ac:dyDescent="0.25">
      <c r="A63" t="s">
        <v>392</v>
      </c>
      <c r="B63" t="s">
        <v>393</v>
      </c>
      <c r="C63" t="s">
        <v>237</v>
      </c>
      <c r="E63">
        <v>13</v>
      </c>
      <c r="F63" t="b" cm="1">
        <f t="array" ref="F63">IFERROR(OR(_xlfn._xlws.FILTER(#REF!,#REF!=Table1[[#This Row],[companyid]])),FALSE)</f>
        <v>0</v>
      </c>
      <c r="G63">
        <v>66118</v>
      </c>
    </row>
    <row r="64" spans="1:7" x14ac:dyDescent="0.25">
      <c r="A64" t="s">
        <v>394</v>
      </c>
      <c r="C64" t="s">
        <v>278</v>
      </c>
      <c r="E64">
        <v>0</v>
      </c>
      <c r="F64" t="b" cm="1">
        <f t="array" ref="F64">IFERROR(OR(_xlfn._xlws.FILTER(#REF!,#REF!=Table1[[#This Row],[companyid]])),FALSE)</f>
        <v>0</v>
      </c>
      <c r="G64">
        <v>57962</v>
      </c>
    </row>
    <row r="65" spans="1:7" x14ac:dyDescent="0.25">
      <c r="A65" t="s">
        <v>395</v>
      </c>
      <c r="B65" t="s">
        <v>396</v>
      </c>
      <c r="C65" t="s">
        <v>397</v>
      </c>
      <c r="D65" t="s">
        <v>398</v>
      </c>
      <c r="E65">
        <v>313</v>
      </c>
      <c r="F65" t="b" cm="1">
        <f t="array" ref="F65">IFERROR(OR(_xlfn._xlws.FILTER(#REF!,#REF!=Table1[[#This Row],[companyid]])),FALSE)</f>
        <v>0</v>
      </c>
      <c r="G65">
        <v>57961</v>
      </c>
    </row>
    <row r="66" spans="1:7" x14ac:dyDescent="0.25">
      <c r="A66" t="s">
        <v>395</v>
      </c>
      <c r="B66" t="s">
        <v>399</v>
      </c>
      <c r="C66" t="s">
        <v>334</v>
      </c>
      <c r="D66" t="s">
        <v>398</v>
      </c>
      <c r="E66">
        <v>168</v>
      </c>
      <c r="F66" t="b" cm="1">
        <f t="array" ref="F66">IFERROR(OR(_xlfn._xlws.FILTER(#REF!,#REF!=Table1[[#This Row],[companyid]])),FALSE)</f>
        <v>0</v>
      </c>
      <c r="G66">
        <v>57961</v>
      </c>
    </row>
    <row r="67" spans="1:7" x14ac:dyDescent="0.25">
      <c r="A67" t="s">
        <v>395</v>
      </c>
      <c r="B67" t="s">
        <v>400</v>
      </c>
      <c r="C67" t="s">
        <v>360</v>
      </c>
      <c r="D67" t="s">
        <v>398</v>
      </c>
      <c r="E67">
        <v>56</v>
      </c>
      <c r="F67" t="b" cm="1">
        <f t="array" ref="F67">IFERROR(OR(_xlfn._xlws.FILTER(#REF!,#REF!=Table1[[#This Row],[companyid]])),FALSE)</f>
        <v>0</v>
      </c>
      <c r="G67">
        <v>57961</v>
      </c>
    </row>
    <row r="68" spans="1:7" x14ac:dyDescent="0.25">
      <c r="A68" t="s">
        <v>401</v>
      </c>
      <c r="B68" t="s">
        <v>402</v>
      </c>
      <c r="C68" t="s">
        <v>254</v>
      </c>
      <c r="D68" t="s">
        <v>403</v>
      </c>
      <c r="E68">
        <v>87</v>
      </c>
      <c r="F68" t="b" cm="1">
        <f t="array" ref="F68">IFERROR(OR(_xlfn._xlws.FILTER(#REF!,#REF!=Table1[[#This Row],[companyid]])),FALSE)</f>
        <v>0</v>
      </c>
      <c r="G68">
        <v>57958</v>
      </c>
    </row>
    <row r="69" spans="1:7" x14ac:dyDescent="0.25">
      <c r="A69" t="s">
        <v>404</v>
      </c>
      <c r="B69" t="s">
        <v>405</v>
      </c>
      <c r="C69" t="s">
        <v>406</v>
      </c>
      <c r="D69" t="s">
        <v>407</v>
      </c>
      <c r="E69">
        <v>44</v>
      </c>
      <c r="F69" t="b" cm="1">
        <f t="array" ref="F69">IFERROR(OR(_xlfn._xlws.FILTER(#REF!,#REF!=Table1[[#This Row],[companyid]])),FALSE)</f>
        <v>0</v>
      </c>
      <c r="G69">
        <v>57952</v>
      </c>
    </row>
    <row r="70" spans="1:7" x14ac:dyDescent="0.25">
      <c r="A70" t="s">
        <v>404</v>
      </c>
      <c r="B70" t="s">
        <v>405</v>
      </c>
      <c r="C70" t="s">
        <v>406</v>
      </c>
      <c r="E70">
        <v>19</v>
      </c>
      <c r="F70" t="b" cm="1">
        <f t="array" ref="F70">IFERROR(OR(_xlfn._xlws.FILTER(#REF!,#REF!=Table1[[#This Row],[companyid]])),FALSE)</f>
        <v>0</v>
      </c>
      <c r="G70">
        <v>57952</v>
      </c>
    </row>
    <row r="71" spans="1:7" x14ac:dyDescent="0.25">
      <c r="A71" t="s">
        <v>408</v>
      </c>
      <c r="B71" t="s">
        <v>409</v>
      </c>
      <c r="C71" t="s">
        <v>379</v>
      </c>
      <c r="D71" t="s">
        <v>410</v>
      </c>
      <c r="E71">
        <v>50</v>
      </c>
      <c r="F71" t="b" cm="1">
        <f t="array" ref="F71">IFERROR(OR(_xlfn._xlws.FILTER(#REF!,#REF!=Table1[[#This Row],[companyid]])),FALSE)</f>
        <v>0</v>
      </c>
      <c r="G71">
        <v>57881</v>
      </c>
    </row>
    <row r="72" spans="1:7" x14ac:dyDescent="0.25">
      <c r="A72" t="s">
        <v>411</v>
      </c>
      <c r="B72" t="s">
        <v>412</v>
      </c>
      <c r="C72" t="s">
        <v>275</v>
      </c>
      <c r="D72" t="s">
        <v>413</v>
      </c>
      <c r="E72">
        <v>35</v>
      </c>
      <c r="F72" t="b" cm="1">
        <f t="array" ref="F72">IFERROR(OR(_xlfn._xlws.FILTER(#REF!,#REF!=Table1[[#This Row],[companyid]])),FALSE)</f>
        <v>0</v>
      </c>
      <c r="G72">
        <v>57912</v>
      </c>
    </row>
    <row r="73" spans="1:7" x14ac:dyDescent="0.25">
      <c r="A73" t="s">
        <v>414</v>
      </c>
      <c r="B73" t="s">
        <v>415</v>
      </c>
      <c r="C73" t="s">
        <v>416</v>
      </c>
      <c r="D73" t="s">
        <v>417</v>
      </c>
      <c r="E73">
        <v>10</v>
      </c>
      <c r="F73" t="b" cm="1">
        <f t="array" ref="F73">IFERROR(OR(_xlfn._xlws.FILTER(#REF!,#REF!=Table1[[#This Row],[companyid]])),FALSE)</f>
        <v>0</v>
      </c>
      <c r="G73">
        <v>57911</v>
      </c>
    </row>
    <row r="74" spans="1:7" x14ac:dyDescent="0.25">
      <c r="A74" t="s">
        <v>418</v>
      </c>
      <c r="B74" t="s">
        <v>419</v>
      </c>
      <c r="C74" t="s">
        <v>271</v>
      </c>
      <c r="D74" t="s">
        <v>420</v>
      </c>
      <c r="E74">
        <v>349</v>
      </c>
      <c r="F74" t="b" cm="1">
        <f t="array" ref="F74">IFERROR(OR(_xlfn._xlws.FILTER(#REF!,#REF!=Table1[[#This Row],[companyid]])),FALSE)</f>
        <v>0</v>
      </c>
      <c r="G74">
        <v>57901</v>
      </c>
    </row>
    <row r="75" spans="1:7" x14ac:dyDescent="0.25">
      <c r="A75" t="s">
        <v>421</v>
      </c>
      <c r="B75" t="s">
        <v>422</v>
      </c>
      <c r="C75" t="s">
        <v>360</v>
      </c>
      <c r="D75" t="s">
        <v>423</v>
      </c>
      <c r="E75">
        <v>208</v>
      </c>
      <c r="F75" t="b" cm="1">
        <f t="array" ref="F75">IFERROR(OR(_xlfn._xlws.FILTER(#REF!,#REF!=Table1[[#This Row],[companyid]])),FALSE)</f>
        <v>0</v>
      </c>
      <c r="G75">
        <v>57525</v>
      </c>
    </row>
    <row r="76" spans="1:7" x14ac:dyDescent="0.25">
      <c r="A76" t="s">
        <v>421</v>
      </c>
      <c r="B76" t="s">
        <v>424</v>
      </c>
      <c r="C76" t="s">
        <v>360</v>
      </c>
      <c r="D76" t="s">
        <v>423</v>
      </c>
      <c r="E76">
        <v>208</v>
      </c>
      <c r="F76" t="b" cm="1">
        <f t="array" ref="F76">IFERROR(OR(_xlfn._xlws.FILTER(#REF!,#REF!=Table1[[#This Row],[companyid]])),FALSE)</f>
        <v>0</v>
      </c>
      <c r="G76">
        <v>57525</v>
      </c>
    </row>
    <row r="77" spans="1:7" x14ac:dyDescent="0.25">
      <c r="A77" t="s">
        <v>421</v>
      </c>
      <c r="B77" t="s">
        <v>425</v>
      </c>
      <c r="C77" t="s">
        <v>271</v>
      </c>
      <c r="D77" t="s">
        <v>426</v>
      </c>
      <c r="E77">
        <v>172</v>
      </c>
      <c r="F77" t="b" cm="1">
        <f t="array" ref="F77">IFERROR(OR(_xlfn._xlws.FILTER(#REF!,#REF!=Table1[[#This Row],[companyid]])),FALSE)</f>
        <v>0</v>
      </c>
      <c r="G77">
        <v>57525</v>
      </c>
    </row>
    <row r="78" spans="1:7" x14ac:dyDescent="0.25">
      <c r="A78" t="s">
        <v>427</v>
      </c>
      <c r="B78" t="s">
        <v>428</v>
      </c>
      <c r="C78" t="s">
        <v>429</v>
      </c>
      <c r="D78" t="s">
        <v>430</v>
      </c>
      <c r="E78">
        <v>1</v>
      </c>
      <c r="F78" t="b" cm="1">
        <f t="array" ref="F78">IFERROR(OR(_xlfn._xlws.FILTER(#REF!,#REF!=Table1[[#This Row],[companyid]])),FALSE)</f>
        <v>0</v>
      </c>
      <c r="G78">
        <v>58041</v>
      </c>
    </row>
    <row r="79" spans="1:7" x14ac:dyDescent="0.25">
      <c r="A79" t="s">
        <v>431</v>
      </c>
      <c r="B79" t="s">
        <v>432</v>
      </c>
      <c r="C79" t="s">
        <v>254</v>
      </c>
      <c r="D79" t="s">
        <v>433</v>
      </c>
      <c r="E79">
        <v>36</v>
      </c>
      <c r="F79" t="b" cm="1">
        <f t="array" ref="F79">IFERROR(OR(_xlfn._xlws.FILTER(#REF!,#REF!=Table1[[#This Row],[companyid]])),FALSE)</f>
        <v>0</v>
      </c>
      <c r="G79">
        <v>57983</v>
      </c>
    </row>
    <row r="80" spans="1:7" x14ac:dyDescent="0.25">
      <c r="A80" t="s">
        <v>434</v>
      </c>
      <c r="C80" t="s">
        <v>278</v>
      </c>
      <c r="E80">
        <v>0</v>
      </c>
      <c r="F80" t="b" cm="1">
        <f t="array" ref="F80">IFERROR(OR(_xlfn._xlws.FILTER(#REF!,#REF!=Table1[[#This Row],[companyid]])),FALSE)</f>
        <v>0</v>
      </c>
      <c r="G80">
        <v>58162</v>
      </c>
    </row>
    <row r="81" spans="1:7" x14ac:dyDescent="0.25">
      <c r="A81" t="s">
        <v>435</v>
      </c>
      <c r="B81" t="s">
        <v>436</v>
      </c>
      <c r="C81" t="s">
        <v>437</v>
      </c>
      <c r="D81" t="s">
        <v>438</v>
      </c>
      <c r="E81">
        <v>120</v>
      </c>
      <c r="F81" t="b" cm="1">
        <f t="array" ref="F81">IFERROR(OR(_xlfn._xlws.FILTER(#REF!,#REF!=Table1[[#This Row],[companyid]])),FALSE)</f>
        <v>0</v>
      </c>
      <c r="G81">
        <v>58121</v>
      </c>
    </row>
    <row r="82" spans="1:7" x14ac:dyDescent="0.25">
      <c r="A82" t="s">
        <v>439</v>
      </c>
      <c r="B82" t="s">
        <v>440</v>
      </c>
      <c r="C82" t="s">
        <v>441</v>
      </c>
      <c r="D82" t="s">
        <v>442</v>
      </c>
      <c r="E82">
        <v>116</v>
      </c>
      <c r="F82" t="b" cm="1">
        <f t="array" ref="F82">IFERROR(OR(_xlfn._xlws.FILTER(#REF!,#REF!=Table1[[#This Row],[companyid]])),FALSE)</f>
        <v>0</v>
      </c>
      <c r="G82">
        <v>58078</v>
      </c>
    </row>
    <row r="83" spans="1:7" x14ac:dyDescent="0.25">
      <c r="A83" t="s">
        <v>439</v>
      </c>
      <c r="B83" t="s">
        <v>443</v>
      </c>
      <c r="C83" t="s">
        <v>297</v>
      </c>
      <c r="D83" t="s">
        <v>442</v>
      </c>
      <c r="E83">
        <v>29</v>
      </c>
      <c r="F83" t="b" cm="1">
        <f t="array" ref="F83">IFERROR(OR(_xlfn._xlws.FILTER(#REF!,#REF!=Table1[[#This Row],[companyid]])),FALSE)</f>
        <v>0</v>
      </c>
      <c r="G83">
        <v>58078</v>
      </c>
    </row>
    <row r="84" spans="1:7" x14ac:dyDescent="0.25">
      <c r="A84" t="s">
        <v>444</v>
      </c>
      <c r="B84" t="s">
        <v>445</v>
      </c>
      <c r="C84" t="s">
        <v>446</v>
      </c>
      <c r="D84" t="s">
        <v>447</v>
      </c>
      <c r="E84">
        <v>1309</v>
      </c>
      <c r="F84" t="b" cm="1">
        <f t="array" ref="F84">IFERROR(OR(_xlfn._xlws.FILTER(#REF!,#REF!=Table1[[#This Row],[companyid]])),FALSE)</f>
        <v>0</v>
      </c>
      <c r="G84">
        <v>58115</v>
      </c>
    </row>
    <row r="85" spans="1:7" x14ac:dyDescent="0.25">
      <c r="A85" t="s">
        <v>444</v>
      </c>
      <c r="B85" t="s">
        <v>448</v>
      </c>
      <c r="C85" t="s">
        <v>449</v>
      </c>
      <c r="E85">
        <v>224</v>
      </c>
      <c r="F85" t="b" cm="1">
        <f t="array" ref="F85">IFERROR(OR(_xlfn._xlws.FILTER(#REF!,#REF!=Table1[[#This Row],[companyid]])),FALSE)</f>
        <v>0</v>
      </c>
      <c r="G85">
        <v>58115</v>
      </c>
    </row>
    <row r="86" spans="1:7" x14ac:dyDescent="0.25">
      <c r="A86" t="s">
        <v>444</v>
      </c>
      <c r="B86" t="s">
        <v>450</v>
      </c>
      <c r="C86" t="s">
        <v>451</v>
      </c>
      <c r="E86">
        <v>99</v>
      </c>
      <c r="F86" t="b" cm="1">
        <f t="array" ref="F86">IFERROR(OR(_xlfn._xlws.FILTER(#REF!,#REF!=Table1[[#This Row],[companyid]])),FALSE)</f>
        <v>0</v>
      </c>
      <c r="G86">
        <v>58115</v>
      </c>
    </row>
    <row r="87" spans="1:7" x14ac:dyDescent="0.25">
      <c r="A87" t="s">
        <v>444</v>
      </c>
      <c r="B87" t="s">
        <v>452</v>
      </c>
      <c r="C87" t="s">
        <v>446</v>
      </c>
      <c r="E87">
        <v>66</v>
      </c>
      <c r="F87" t="b" cm="1">
        <f t="array" ref="F87">IFERROR(OR(_xlfn._xlws.FILTER(#REF!,#REF!=Table1[[#This Row],[companyid]])),FALSE)</f>
        <v>0</v>
      </c>
      <c r="G87">
        <v>58115</v>
      </c>
    </row>
    <row r="88" spans="1:7" x14ac:dyDescent="0.25">
      <c r="A88" t="s">
        <v>444</v>
      </c>
      <c r="B88" t="s">
        <v>453</v>
      </c>
      <c r="C88" t="s">
        <v>454</v>
      </c>
      <c r="E88">
        <v>10</v>
      </c>
      <c r="F88" t="b" cm="1">
        <f t="array" ref="F88">IFERROR(OR(_xlfn._xlws.FILTER(#REF!,#REF!=Table1[[#This Row],[companyid]])),FALSE)</f>
        <v>0</v>
      </c>
      <c r="G88">
        <v>58115</v>
      </c>
    </row>
    <row r="89" spans="1:7" x14ac:dyDescent="0.25">
      <c r="A89" t="s">
        <v>444</v>
      </c>
      <c r="B89" t="s">
        <v>455</v>
      </c>
      <c r="C89" t="s">
        <v>271</v>
      </c>
      <c r="E89">
        <v>4</v>
      </c>
      <c r="F89" t="b" cm="1">
        <f t="array" ref="F89">IFERROR(OR(_xlfn._xlws.FILTER(#REF!,#REF!=Table1[[#This Row],[companyid]])),FALSE)</f>
        <v>0</v>
      </c>
      <c r="G89">
        <v>58115</v>
      </c>
    </row>
    <row r="90" spans="1:7" x14ac:dyDescent="0.25">
      <c r="A90" t="s">
        <v>456</v>
      </c>
      <c r="B90" t="s">
        <v>457</v>
      </c>
      <c r="C90" t="s">
        <v>458</v>
      </c>
      <c r="D90" t="s">
        <v>459</v>
      </c>
      <c r="E90">
        <v>64</v>
      </c>
      <c r="F90" t="b" cm="1">
        <f t="array" ref="F90">IFERROR(OR(_xlfn._xlws.FILTER(#REF!,#REF!=Table1[[#This Row],[companyid]])),FALSE)</f>
        <v>0</v>
      </c>
      <c r="G90">
        <v>58107</v>
      </c>
    </row>
    <row r="91" spans="1:7" x14ac:dyDescent="0.25">
      <c r="A91" t="s">
        <v>456</v>
      </c>
      <c r="B91" t="s">
        <v>457</v>
      </c>
      <c r="C91" t="s">
        <v>458</v>
      </c>
      <c r="D91" t="s">
        <v>460</v>
      </c>
      <c r="E91">
        <v>40</v>
      </c>
      <c r="F91" t="b" cm="1">
        <f t="array" ref="F91">IFERROR(OR(_xlfn._xlws.FILTER(#REF!,#REF!=Table1[[#This Row],[companyid]])),FALSE)</f>
        <v>0</v>
      </c>
      <c r="G91">
        <v>58107</v>
      </c>
    </row>
    <row r="92" spans="1:7" x14ac:dyDescent="0.25">
      <c r="A92" t="s">
        <v>461</v>
      </c>
      <c r="B92" t="s">
        <v>462</v>
      </c>
      <c r="C92" t="s">
        <v>463</v>
      </c>
      <c r="D92" t="s">
        <v>464</v>
      </c>
      <c r="E92">
        <v>24</v>
      </c>
      <c r="F92" t="b" cm="1">
        <f t="array" ref="F92">IFERROR(OR(_xlfn._xlws.FILTER(#REF!,#REF!=Table1[[#This Row],[companyid]])),FALSE)</f>
        <v>0</v>
      </c>
      <c r="G92">
        <v>58242</v>
      </c>
    </row>
    <row r="93" spans="1:7" x14ac:dyDescent="0.25">
      <c r="A93" t="s">
        <v>461</v>
      </c>
      <c r="B93" t="s">
        <v>465</v>
      </c>
      <c r="C93" t="s">
        <v>466</v>
      </c>
      <c r="D93" t="s">
        <v>464</v>
      </c>
      <c r="E93">
        <v>12</v>
      </c>
      <c r="F93" t="b" cm="1">
        <f t="array" ref="F93">IFERROR(OR(_xlfn._xlws.FILTER(#REF!,#REF!=Table1[[#This Row],[companyid]])),FALSE)</f>
        <v>0</v>
      </c>
      <c r="G93">
        <v>58242</v>
      </c>
    </row>
    <row r="94" spans="1:7" x14ac:dyDescent="0.25">
      <c r="A94" t="s">
        <v>467</v>
      </c>
      <c r="B94" t="s">
        <v>468</v>
      </c>
      <c r="C94" t="s">
        <v>469</v>
      </c>
      <c r="D94" t="s">
        <v>470</v>
      </c>
      <c r="E94">
        <v>75</v>
      </c>
      <c r="F94" t="b" cm="1">
        <f t="array" ref="F94">IFERROR(OR(_xlfn._xlws.FILTER(#REF!,#REF!=Table1[[#This Row],[companyid]])),FALSE)</f>
        <v>0</v>
      </c>
      <c r="G94">
        <v>57305</v>
      </c>
    </row>
    <row r="95" spans="1:7" x14ac:dyDescent="0.25">
      <c r="A95" t="s">
        <v>471</v>
      </c>
      <c r="B95" t="s">
        <v>472</v>
      </c>
      <c r="C95" t="s">
        <v>379</v>
      </c>
      <c r="D95" t="s">
        <v>473</v>
      </c>
      <c r="E95">
        <v>33</v>
      </c>
      <c r="F95" t="b" cm="1">
        <f t="array" ref="F95">IFERROR(OR(_xlfn._xlws.FILTER(#REF!,#REF!=Table1[[#This Row],[companyid]])),FALSE)</f>
        <v>0</v>
      </c>
      <c r="G95">
        <v>58261</v>
      </c>
    </row>
    <row r="96" spans="1:7" x14ac:dyDescent="0.25">
      <c r="A96" t="s">
        <v>474</v>
      </c>
      <c r="B96" t="s">
        <v>475</v>
      </c>
      <c r="C96" t="s">
        <v>476</v>
      </c>
      <c r="D96" t="s">
        <v>477</v>
      </c>
      <c r="E96">
        <v>117</v>
      </c>
      <c r="F96" t="b" cm="1">
        <f t="array" ref="F96">IFERROR(OR(_xlfn._xlws.FILTER(#REF!,#REF!=Table1[[#This Row],[companyid]])),FALSE)</f>
        <v>0</v>
      </c>
      <c r="G96">
        <v>58221</v>
      </c>
    </row>
    <row r="97" spans="1:7" x14ac:dyDescent="0.25">
      <c r="A97" t="s">
        <v>478</v>
      </c>
      <c r="B97" t="s">
        <v>479</v>
      </c>
      <c r="C97" t="s">
        <v>429</v>
      </c>
      <c r="D97" t="s">
        <v>480</v>
      </c>
      <c r="E97">
        <v>1</v>
      </c>
      <c r="F97" t="b" cm="1">
        <f t="array" ref="F97">IFERROR(OR(_xlfn._xlws.FILTER(#REF!,#REF!=Table1[[#This Row],[companyid]])),FALSE)</f>
        <v>0</v>
      </c>
      <c r="G97">
        <v>58179</v>
      </c>
    </row>
    <row r="98" spans="1:7" x14ac:dyDescent="0.25">
      <c r="A98" t="s">
        <v>481</v>
      </c>
      <c r="B98" t="s">
        <v>482</v>
      </c>
      <c r="C98" t="s">
        <v>275</v>
      </c>
      <c r="D98" t="s">
        <v>483</v>
      </c>
      <c r="E98">
        <v>64</v>
      </c>
      <c r="F98" t="b" cm="1">
        <f t="array" ref="F98">IFERROR(OR(_xlfn._xlws.FILTER(#REF!,#REF!=Table1[[#This Row],[companyid]])),FALSE)</f>
        <v>0</v>
      </c>
      <c r="G98">
        <v>58215</v>
      </c>
    </row>
    <row r="99" spans="1:7" x14ac:dyDescent="0.25">
      <c r="A99" t="s">
        <v>484</v>
      </c>
      <c r="B99" t="s">
        <v>485</v>
      </c>
      <c r="C99" t="s">
        <v>271</v>
      </c>
      <c r="D99" t="s">
        <v>486</v>
      </c>
      <c r="E99">
        <v>115</v>
      </c>
      <c r="F99" t="b" cm="1">
        <f t="array" ref="F99">IFERROR(OR(_xlfn._xlws.FILTER(#REF!,#REF!=Table1[[#This Row],[companyid]])),FALSE)</f>
        <v>0</v>
      </c>
      <c r="G99">
        <v>58209</v>
      </c>
    </row>
    <row r="100" spans="1:7" x14ac:dyDescent="0.25">
      <c r="A100" t="s">
        <v>484</v>
      </c>
      <c r="B100" t="s">
        <v>424</v>
      </c>
      <c r="C100" t="s">
        <v>487</v>
      </c>
      <c r="D100" t="s">
        <v>486</v>
      </c>
      <c r="E100">
        <v>55</v>
      </c>
      <c r="F100" t="b" cm="1">
        <f t="array" ref="F100">IFERROR(OR(_xlfn._xlws.FILTER(#REF!,#REF!=Table1[[#This Row],[companyid]])),FALSE)</f>
        <v>0</v>
      </c>
      <c r="G100">
        <v>58209</v>
      </c>
    </row>
    <row r="101" spans="1:7" x14ac:dyDescent="0.25">
      <c r="A101" t="s">
        <v>488</v>
      </c>
      <c r="B101" t="s">
        <v>489</v>
      </c>
      <c r="C101" t="s">
        <v>275</v>
      </c>
      <c r="D101" t="s">
        <v>490</v>
      </c>
      <c r="E101">
        <v>26</v>
      </c>
      <c r="F101" t="b" cm="1">
        <f t="array" ref="F101">IFERROR(OR(_xlfn._xlws.FILTER(#REF!,#REF!=Table1[[#This Row],[companyid]])),FALSE)</f>
        <v>0</v>
      </c>
      <c r="G101">
        <v>58206</v>
      </c>
    </row>
    <row r="102" spans="1:7" x14ac:dyDescent="0.25">
      <c r="A102" t="s">
        <v>491</v>
      </c>
      <c r="C102" t="s">
        <v>278</v>
      </c>
      <c r="E102">
        <v>0</v>
      </c>
      <c r="F102" t="b" cm="1">
        <f t="array" ref="F102">IFERROR(OR(_xlfn._xlws.FILTER(#REF!,#REF!=Table1[[#This Row],[companyid]])),FALSE)</f>
        <v>0</v>
      </c>
      <c r="G102">
        <v>58285</v>
      </c>
    </row>
    <row r="103" spans="1:7" x14ac:dyDescent="0.25">
      <c r="A103" t="s">
        <v>492</v>
      </c>
      <c r="B103" t="s">
        <v>493</v>
      </c>
      <c r="C103" t="s">
        <v>254</v>
      </c>
      <c r="D103" t="s">
        <v>494</v>
      </c>
      <c r="E103">
        <v>39</v>
      </c>
      <c r="F103" t="b" cm="1">
        <f t="array" ref="F103">IFERROR(OR(_xlfn._xlws.FILTER(#REF!,#REF!=Table1[[#This Row],[companyid]])),FALSE)</f>
        <v>0</v>
      </c>
      <c r="G103">
        <v>57072</v>
      </c>
    </row>
    <row r="104" spans="1:7" x14ac:dyDescent="0.25">
      <c r="A104" t="s">
        <v>495</v>
      </c>
      <c r="B104" t="s">
        <v>496</v>
      </c>
      <c r="C104" t="s">
        <v>297</v>
      </c>
      <c r="D104" t="s">
        <v>497</v>
      </c>
      <c r="E104">
        <v>37</v>
      </c>
      <c r="F104" t="b" cm="1">
        <f t="array" ref="F104">IFERROR(OR(_xlfn._xlws.FILTER(#REF!,#REF!=Table1[[#This Row],[companyid]])),FALSE)</f>
        <v>0</v>
      </c>
      <c r="G104">
        <v>58225</v>
      </c>
    </row>
    <row r="105" spans="1:7" x14ac:dyDescent="0.25">
      <c r="A105" t="s">
        <v>495</v>
      </c>
      <c r="B105" t="s">
        <v>498</v>
      </c>
      <c r="C105" t="s">
        <v>499</v>
      </c>
      <c r="E105">
        <v>15</v>
      </c>
      <c r="F105" t="b" cm="1">
        <f t="array" ref="F105">IFERROR(OR(_xlfn._xlws.FILTER(#REF!,#REF!=Table1[[#This Row],[companyid]])),FALSE)</f>
        <v>0</v>
      </c>
      <c r="G105">
        <v>58225</v>
      </c>
    </row>
    <row r="106" spans="1:7" x14ac:dyDescent="0.25">
      <c r="A106" t="s">
        <v>500</v>
      </c>
      <c r="B106" t="s">
        <v>501</v>
      </c>
      <c r="C106" t="s">
        <v>254</v>
      </c>
      <c r="E106">
        <v>35</v>
      </c>
      <c r="F106" t="b" cm="1">
        <f t="array" ref="F106">IFERROR(OR(_xlfn._xlws.FILTER(#REF!,#REF!=Table1[[#This Row],[companyid]])),FALSE)</f>
        <v>0</v>
      </c>
      <c r="G106">
        <v>57137</v>
      </c>
    </row>
    <row r="107" spans="1:7" x14ac:dyDescent="0.25">
      <c r="A107" t="s">
        <v>500</v>
      </c>
      <c r="B107" t="s">
        <v>502</v>
      </c>
      <c r="C107" t="s">
        <v>254</v>
      </c>
      <c r="D107" t="s">
        <v>503</v>
      </c>
      <c r="E107">
        <v>6</v>
      </c>
      <c r="F107" t="b" cm="1">
        <f t="array" ref="F107">IFERROR(OR(_xlfn._xlws.FILTER(#REF!,#REF!=Table1[[#This Row],[companyid]])),FALSE)</f>
        <v>0</v>
      </c>
      <c r="G107">
        <v>57137</v>
      </c>
    </row>
    <row r="108" spans="1:7" x14ac:dyDescent="0.25">
      <c r="A108" t="s">
        <v>504</v>
      </c>
      <c r="B108" t="s">
        <v>505</v>
      </c>
      <c r="C108" t="s">
        <v>506</v>
      </c>
      <c r="D108" t="s">
        <v>507</v>
      </c>
      <c r="E108">
        <v>3</v>
      </c>
      <c r="F108" t="b" cm="1">
        <f t="array" ref="F108">IFERROR(OR(_xlfn._xlws.FILTER(#REF!,#REF!=Table1[[#This Row],[companyid]])),FALSE)</f>
        <v>0</v>
      </c>
      <c r="G108">
        <v>57124</v>
      </c>
    </row>
    <row r="109" spans="1:7" x14ac:dyDescent="0.25">
      <c r="A109" t="s">
        <v>508</v>
      </c>
      <c r="B109" t="s">
        <v>509</v>
      </c>
      <c r="C109" t="s">
        <v>254</v>
      </c>
      <c r="E109">
        <v>75</v>
      </c>
      <c r="F109" t="b" cm="1">
        <f t="array" ref="F109">IFERROR(OR(_xlfn._xlws.FILTER(#REF!,#REF!=Table1[[#This Row],[companyid]])),FALSE)</f>
        <v>0</v>
      </c>
      <c r="G109">
        <v>57146</v>
      </c>
    </row>
    <row r="110" spans="1:7" x14ac:dyDescent="0.25">
      <c r="A110" t="s">
        <v>510</v>
      </c>
      <c r="B110" t="s">
        <v>511</v>
      </c>
      <c r="C110" t="s">
        <v>364</v>
      </c>
      <c r="D110" t="s">
        <v>512</v>
      </c>
      <c r="E110">
        <v>18</v>
      </c>
      <c r="F110" t="b" cm="1">
        <f t="array" ref="F110">IFERROR(OR(_xlfn._xlws.FILTER(#REF!,#REF!=Table1[[#This Row],[companyid]])),FALSE)</f>
        <v>0</v>
      </c>
      <c r="G110">
        <v>57162</v>
      </c>
    </row>
    <row r="111" spans="1:7" x14ac:dyDescent="0.25">
      <c r="A111" t="s">
        <v>513</v>
      </c>
      <c r="B111" t="s">
        <v>514</v>
      </c>
      <c r="C111" t="s">
        <v>254</v>
      </c>
      <c r="D111" t="s">
        <v>515</v>
      </c>
      <c r="E111">
        <v>3</v>
      </c>
      <c r="F111" t="b" cm="1">
        <f t="array" ref="F111">IFERROR(OR(_xlfn._xlws.FILTER(#REF!,#REF!=Table1[[#This Row],[companyid]])),FALSE)</f>
        <v>0</v>
      </c>
      <c r="G111">
        <v>57093</v>
      </c>
    </row>
    <row r="112" spans="1:7" x14ac:dyDescent="0.25">
      <c r="A112" t="s">
        <v>516</v>
      </c>
      <c r="B112" t="s">
        <v>517</v>
      </c>
      <c r="C112" t="s">
        <v>364</v>
      </c>
      <c r="D112" t="s">
        <v>518</v>
      </c>
      <c r="E112">
        <v>88</v>
      </c>
      <c r="F112" t="b" cm="1">
        <f t="array" ref="F112">IFERROR(OR(_xlfn._xlws.FILTER(#REF!,#REF!=Table1[[#This Row],[companyid]])),FALSE)</f>
        <v>0</v>
      </c>
      <c r="G112">
        <v>57076</v>
      </c>
    </row>
    <row r="113" spans="1:7" x14ac:dyDescent="0.25">
      <c r="A113" t="s">
        <v>516</v>
      </c>
      <c r="B113" t="s">
        <v>519</v>
      </c>
      <c r="C113" t="s">
        <v>520</v>
      </c>
      <c r="E113">
        <v>44</v>
      </c>
      <c r="F113" t="b" cm="1">
        <f t="array" ref="F113">IFERROR(OR(_xlfn._xlws.FILTER(#REF!,#REF!=Table1[[#This Row],[companyid]])),FALSE)</f>
        <v>0</v>
      </c>
      <c r="G113">
        <v>57076</v>
      </c>
    </row>
    <row r="114" spans="1:7" x14ac:dyDescent="0.25">
      <c r="A114" t="s">
        <v>521</v>
      </c>
      <c r="B114" t="s">
        <v>522</v>
      </c>
      <c r="C114" t="s">
        <v>523</v>
      </c>
      <c r="D114" t="s">
        <v>524</v>
      </c>
      <c r="E114">
        <v>12</v>
      </c>
      <c r="F114" t="b" cm="1">
        <f t="array" ref="F114">IFERROR(OR(_xlfn._xlws.FILTER(#REF!,#REF!=Table1[[#This Row],[companyid]])),FALSE)</f>
        <v>0</v>
      </c>
      <c r="G114">
        <v>57075</v>
      </c>
    </row>
    <row r="115" spans="1:7" x14ac:dyDescent="0.25">
      <c r="A115" t="s">
        <v>525</v>
      </c>
      <c r="B115" t="s">
        <v>526</v>
      </c>
      <c r="C115" t="s">
        <v>527</v>
      </c>
      <c r="D115" t="s">
        <v>528</v>
      </c>
      <c r="E115">
        <v>32</v>
      </c>
      <c r="F115" t="b" cm="1">
        <f t="array" ref="F115">IFERROR(OR(_xlfn._xlws.FILTER(#REF!,#REF!=Table1[[#This Row],[companyid]])),FALSE)</f>
        <v>0</v>
      </c>
      <c r="G115">
        <v>57096</v>
      </c>
    </row>
    <row r="116" spans="1:7" x14ac:dyDescent="0.25">
      <c r="A116" t="s">
        <v>529</v>
      </c>
      <c r="B116" t="s">
        <v>530</v>
      </c>
      <c r="C116" t="s">
        <v>531</v>
      </c>
      <c r="D116" t="s">
        <v>532</v>
      </c>
      <c r="E116">
        <v>27</v>
      </c>
      <c r="F116" t="b" cm="1">
        <f t="array" ref="F116">IFERROR(OR(_xlfn._xlws.FILTER(#REF!,#REF!=Table1[[#This Row],[companyid]])),FALSE)</f>
        <v>0</v>
      </c>
      <c r="G116">
        <v>57119</v>
      </c>
    </row>
    <row r="117" spans="1:7" x14ac:dyDescent="0.25">
      <c r="A117" t="s">
        <v>529</v>
      </c>
      <c r="B117" t="s">
        <v>530</v>
      </c>
      <c r="C117" t="s">
        <v>533</v>
      </c>
      <c r="D117" t="s">
        <v>532</v>
      </c>
      <c r="E117">
        <v>9</v>
      </c>
      <c r="F117" t="b" cm="1">
        <f t="array" ref="F117">IFERROR(OR(_xlfn._xlws.FILTER(#REF!,#REF!=Table1[[#This Row],[companyid]])),FALSE)</f>
        <v>0</v>
      </c>
      <c r="G117">
        <v>57119</v>
      </c>
    </row>
    <row r="118" spans="1:7" x14ac:dyDescent="0.25">
      <c r="A118" t="s">
        <v>534</v>
      </c>
      <c r="B118" t="s">
        <v>535</v>
      </c>
      <c r="C118" t="s">
        <v>271</v>
      </c>
      <c r="D118" t="s">
        <v>536</v>
      </c>
      <c r="E118">
        <v>27</v>
      </c>
      <c r="F118" t="b" cm="1">
        <f t="array" ref="F118">IFERROR(OR(_xlfn._xlws.FILTER(#REF!,#REF!=Table1[[#This Row],[companyid]])),FALSE)</f>
        <v>0</v>
      </c>
      <c r="G118">
        <v>57097</v>
      </c>
    </row>
    <row r="119" spans="1:7" x14ac:dyDescent="0.25">
      <c r="A119" t="s">
        <v>537</v>
      </c>
      <c r="B119" t="s">
        <v>245</v>
      </c>
      <c r="C119" t="s">
        <v>246</v>
      </c>
      <c r="D119" t="s">
        <v>247</v>
      </c>
      <c r="E119">
        <v>33</v>
      </c>
      <c r="F119" t="b" cm="1">
        <f t="array" ref="F119">IFERROR(OR(_xlfn._xlws.FILTER(#REF!,#REF!=Table1[[#This Row],[companyid]])),FALSE)</f>
        <v>0</v>
      </c>
      <c r="G119">
        <v>57114</v>
      </c>
    </row>
    <row r="120" spans="1:7" x14ac:dyDescent="0.25">
      <c r="A120" t="s">
        <v>537</v>
      </c>
      <c r="B120" t="s">
        <v>538</v>
      </c>
      <c r="C120" t="s">
        <v>539</v>
      </c>
      <c r="D120" t="s">
        <v>540</v>
      </c>
      <c r="E120">
        <v>22</v>
      </c>
      <c r="F120" t="b" cm="1">
        <f t="array" ref="F120">IFERROR(OR(_xlfn._xlws.FILTER(#REF!,#REF!=Table1[[#This Row],[companyid]])),FALSE)</f>
        <v>0</v>
      </c>
      <c r="G120">
        <v>57114</v>
      </c>
    </row>
    <row r="121" spans="1:7" x14ac:dyDescent="0.25">
      <c r="A121" t="s">
        <v>541</v>
      </c>
      <c r="B121" t="s">
        <v>542</v>
      </c>
      <c r="C121" t="s">
        <v>271</v>
      </c>
      <c r="D121" t="s">
        <v>543</v>
      </c>
      <c r="E121">
        <v>3</v>
      </c>
      <c r="F121" t="b" cm="1">
        <f t="array" ref="F121">IFERROR(OR(_xlfn._xlws.FILTER(#REF!,#REF!=Table1[[#This Row],[companyid]])),FALSE)</f>
        <v>0</v>
      </c>
      <c r="G121">
        <v>57239</v>
      </c>
    </row>
    <row r="122" spans="1:7" x14ac:dyDescent="0.25">
      <c r="A122" t="s">
        <v>544</v>
      </c>
      <c r="B122" t="s">
        <v>545</v>
      </c>
      <c r="C122" t="s">
        <v>546</v>
      </c>
      <c r="D122" t="s">
        <v>547</v>
      </c>
      <c r="E122">
        <v>4</v>
      </c>
      <c r="F122" t="b" cm="1">
        <f t="array" ref="F122">IFERROR(OR(_xlfn._xlws.FILTER(#REF!,#REF!=Table1[[#This Row],[companyid]])),FALSE)</f>
        <v>0</v>
      </c>
      <c r="G122">
        <v>57222</v>
      </c>
    </row>
    <row r="123" spans="1:7" x14ac:dyDescent="0.25">
      <c r="A123" t="s">
        <v>544</v>
      </c>
      <c r="B123" t="s">
        <v>545</v>
      </c>
      <c r="C123" t="s">
        <v>546</v>
      </c>
      <c r="D123" t="s">
        <v>548</v>
      </c>
      <c r="E123">
        <v>1</v>
      </c>
      <c r="F123" t="b" cm="1">
        <f t="array" ref="F123">IFERROR(OR(_xlfn._xlws.FILTER(#REF!,#REF!=Table1[[#This Row],[companyid]])),FALSE)</f>
        <v>0</v>
      </c>
      <c r="G123">
        <v>57222</v>
      </c>
    </row>
    <row r="124" spans="1:7" x14ac:dyDescent="0.25">
      <c r="A124" t="s">
        <v>549</v>
      </c>
      <c r="B124" t="s">
        <v>550</v>
      </c>
      <c r="C124" t="s">
        <v>551</v>
      </c>
      <c r="D124" t="s">
        <v>552</v>
      </c>
      <c r="E124">
        <v>52</v>
      </c>
      <c r="F124" t="b" cm="1">
        <f t="array" ref="F124">IFERROR(OR(_xlfn._xlws.FILTER(#REF!,#REF!=Table1[[#This Row],[companyid]])),FALSE)</f>
        <v>0</v>
      </c>
      <c r="G124">
        <v>57250</v>
      </c>
    </row>
    <row r="125" spans="1:7" x14ac:dyDescent="0.25">
      <c r="A125" t="s">
        <v>549</v>
      </c>
      <c r="B125" t="s">
        <v>550</v>
      </c>
      <c r="C125" t="s">
        <v>551</v>
      </c>
      <c r="D125" t="s">
        <v>547</v>
      </c>
      <c r="E125">
        <v>31</v>
      </c>
      <c r="F125" t="b" cm="1">
        <f t="array" ref="F125">IFERROR(OR(_xlfn._xlws.FILTER(#REF!,#REF!=Table1[[#This Row],[companyid]])),FALSE)</f>
        <v>0</v>
      </c>
      <c r="G125">
        <v>57250</v>
      </c>
    </row>
    <row r="126" spans="1:7" x14ac:dyDescent="0.25">
      <c r="A126" t="s">
        <v>553</v>
      </c>
      <c r="B126" t="s">
        <v>554</v>
      </c>
      <c r="C126" t="s">
        <v>237</v>
      </c>
      <c r="D126" t="s">
        <v>555</v>
      </c>
      <c r="E126">
        <v>3</v>
      </c>
      <c r="F126" t="b" cm="1">
        <f t="array" ref="F126">IFERROR(OR(_xlfn._xlws.FILTER(#REF!,#REF!=Table1[[#This Row],[companyid]])),FALSE)</f>
        <v>0</v>
      </c>
      <c r="G126">
        <v>57185</v>
      </c>
    </row>
    <row r="127" spans="1:7" x14ac:dyDescent="0.25">
      <c r="A127" t="s">
        <v>556</v>
      </c>
      <c r="B127" t="s">
        <v>557</v>
      </c>
      <c r="C127" t="s">
        <v>379</v>
      </c>
      <c r="D127" t="s">
        <v>558</v>
      </c>
      <c r="E127">
        <v>6</v>
      </c>
      <c r="F127" t="b" cm="1">
        <f t="array" ref="F127">IFERROR(OR(_xlfn._xlws.FILTER(#REF!,#REF!=Table1[[#This Row],[companyid]])),FALSE)</f>
        <v>0</v>
      </c>
      <c r="G127">
        <v>57182</v>
      </c>
    </row>
    <row r="128" spans="1:7" x14ac:dyDescent="0.25">
      <c r="A128" t="s">
        <v>559</v>
      </c>
      <c r="B128" t="s">
        <v>560</v>
      </c>
      <c r="C128" t="s">
        <v>561</v>
      </c>
      <c r="D128" t="s">
        <v>562</v>
      </c>
      <c r="E128">
        <v>35</v>
      </c>
      <c r="F128" t="b" cm="1">
        <f t="array" ref="F128">IFERROR(OR(_xlfn._xlws.FILTER(#REF!,#REF!=Table1[[#This Row],[companyid]])),FALSE)</f>
        <v>0</v>
      </c>
      <c r="G128">
        <v>57177</v>
      </c>
    </row>
    <row r="129" spans="1:7" x14ac:dyDescent="0.25">
      <c r="A129" t="s">
        <v>563</v>
      </c>
      <c r="B129" t="s">
        <v>564</v>
      </c>
      <c r="C129" t="s">
        <v>254</v>
      </c>
      <c r="D129" t="s">
        <v>565</v>
      </c>
      <c r="E129">
        <v>85</v>
      </c>
      <c r="F129" t="b" cm="1">
        <f t="array" ref="F129">IFERROR(OR(_xlfn._xlws.FILTER(#REF!,#REF!=Table1[[#This Row],[companyid]])),FALSE)</f>
        <v>0</v>
      </c>
      <c r="G129">
        <v>57206</v>
      </c>
    </row>
    <row r="130" spans="1:7" x14ac:dyDescent="0.25">
      <c r="A130" t="s">
        <v>566</v>
      </c>
      <c r="B130" t="s">
        <v>567</v>
      </c>
      <c r="C130" t="s">
        <v>360</v>
      </c>
      <c r="D130" t="s">
        <v>568</v>
      </c>
      <c r="E130">
        <v>23</v>
      </c>
      <c r="F130" t="b" cm="1">
        <f t="array" ref="F130">IFERROR(OR(_xlfn._xlws.FILTER(#REF!,#REF!=Table1[[#This Row],[companyid]])),FALSE)</f>
        <v>0</v>
      </c>
      <c r="G130">
        <v>57198</v>
      </c>
    </row>
    <row r="131" spans="1:7" x14ac:dyDescent="0.25">
      <c r="A131" t="s">
        <v>569</v>
      </c>
      <c r="B131" t="s">
        <v>570</v>
      </c>
      <c r="C131" t="s">
        <v>364</v>
      </c>
      <c r="D131" t="s">
        <v>571</v>
      </c>
      <c r="E131">
        <v>19</v>
      </c>
      <c r="F131" t="b" cm="1">
        <f t="array" ref="F131">IFERROR(OR(_xlfn._xlws.FILTER(#REF!,#REF!=Table1[[#This Row],[companyid]])),FALSE)</f>
        <v>0</v>
      </c>
      <c r="G131">
        <v>57341</v>
      </c>
    </row>
    <row r="132" spans="1:7" x14ac:dyDescent="0.25">
      <c r="A132" t="s">
        <v>572</v>
      </c>
      <c r="B132" t="s">
        <v>573</v>
      </c>
      <c r="C132" t="s">
        <v>451</v>
      </c>
      <c r="D132" t="s">
        <v>574</v>
      </c>
      <c r="E132">
        <v>35</v>
      </c>
      <c r="F132" t="b" cm="1">
        <f t="array" ref="F132">IFERROR(OR(_xlfn._xlws.FILTER(#REF!,#REF!=Table1[[#This Row],[companyid]])),FALSE)</f>
        <v>0</v>
      </c>
      <c r="G132">
        <v>57330</v>
      </c>
    </row>
    <row r="133" spans="1:7" x14ac:dyDescent="0.25">
      <c r="A133" t="s">
        <v>572</v>
      </c>
      <c r="B133" t="s">
        <v>575</v>
      </c>
      <c r="C133" t="s">
        <v>271</v>
      </c>
      <c r="D133" t="s">
        <v>574</v>
      </c>
      <c r="E133">
        <v>20</v>
      </c>
      <c r="F133" t="b" cm="1">
        <f t="array" ref="F133">IFERROR(OR(_xlfn._xlws.FILTER(#REF!,#REF!=Table1[[#This Row],[companyid]])),FALSE)</f>
        <v>0</v>
      </c>
      <c r="G133">
        <v>57330</v>
      </c>
    </row>
    <row r="134" spans="1:7" x14ac:dyDescent="0.25">
      <c r="A134" t="s">
        <v>576</v>
      </c>
      <c r="B134" t="s">
        <v>577</v>
      </c>
      <c r="C134" t="s">
        <v>578</v>
      </c>
      <c r="D134" t="s">
        <v>579</v>
      </c>
      <c r="E134">
        <v>19</v>
      </c>
      <c r="F134" t="b" cm="1">
        <f t="array" ref="F134">IFERROR(OR(_xlfn._xlws.FILTER(#REF!,#REF!=Table1[[#This Row],[companyid]])),FALSE)</f>
        <v>0</v>
      </c>
      <c r="G134">
        <v>57327</v>
      </c>
    </row>
    <row r="135" spans="1:7" x14ac:dyDescent="0.25">
      <c r="A135" t="s">
        <v>576</v>
      </c>
      <c r="B135" t="s">
        <v>580</v>
      </c>
      <c r="C135" t="s">
        <v>578</v>
      </c>
      <c r="D135" t="s">
        <v>579</v>
      </c>
      <c r="E135">
        <v>10</v>
      </c>
      <c r="F135" t="b" cm="1">
        <f t="array" ref="F135">IFERROR(OR(_xlfn._xlws.FILTER(#REF!,#REF!=Table1[[#This Row],[companyid]])),FALSE)</f>
        <v>0</v>
      </c>
      <c r="G135">
        <v>57327</v>
      </c>
    </row>
    <row r="136" spans="1:7" x14ac:dyDescent="0.25">
      <c r="A136" t="s">
        <v>581</v>
      </c>
      <c r="B136" t="s">
        <v>582</v>
      </c>
      <c r="C136" t="s">
        <v>583</v>
      </c>
      <c r="D136" t="s">
        <v>584</v>
      </c>
      <c r="E136">
        <v>8</v>
      </c>
      <c r="F136" t="b" cm="1">
        <f t="array" ref="F136">IFERROR(OR(_xlfn._xlws.FILTER(#REF!,#REF!=Table1[[#This Row],[companyid]])),FALSE)</f>
        <v>0</v>
      </c>
      <c r="G136">
        <v>57344</v>
      </c>
    </row>
    <row r="137" spans="1:7" x14ac:dyDescent="0.25">
      <c r="A137" t="s">
        <v>581</v>
      </c>
      <c r="B137" t="s">
        <v>585</v>
      </c>
      <c r="C137" t="s">
        <v>583</v>
      </c>
      <c r="D137" t="s">
        <v>584</v>
      </c>
      <c r="E137">
        <v>2</v>
      </c>
      <c r="F137" t="b" cm="1">
        <f t="array" ref="F137">IFERROR(OR(_xlfn._xlws.FILTER(#REF!,#REF!=Table1[[#This Row],[companyid]])),FALSE)</f>
        <v>0</v>
      </c>
      <c r="G137">
        <v>57344</v>
      </c>
    </row>
    <row r="138" spans="1:7" x14ac:dyDescent="0.25">
      <c r="A138" t="s">
        <v>586</v>
      </c>
      <c r="B138" t="s">
        <v>587</v>
      </c>
      <c r="C138" t="s">
        <v>588</v>
      </c>
      <c r="D138" t="s">
        <v>589</v>
      </c>
      <c r="E138">
        <v>241</v>
      </c>
      <c r="F138" t="b" cm="1">
        <f t="array" ref="F138">IFERROR(OR(_xlfn._xlws.FILTER(#REF!,#REF!=Table1[[#This Row],[companyid]])),FALSE)</f>
        <v>0</v>
      </c>
      <c r="G138">
        <v>57290</v>
      </c>
    </row>
    <row r="139" spans="1:7" x14ac:dyDescent="0.25">
      <c r="A139" t="s">
        <v>586</v>
      </c>
      <c r="B139" t="s">
        <v>590</v>
      </c>
      <c r="C139" t="s">
        <v>588</v>
      </c>
      <c r="D139" t="s">
        <v>589</v>
      </c>
      <c r="E139">
        <v>155</v>
      </c>
      <c r="F139" t="b" cm="1">
        <f t="array" ref="F139">IFERROR(OR(_xlfn._xlws.FILTER(#REF!,#REF!=Table1[[#This Row],[companyid]])),FALSE)</f>
        <v>0</v>
      </c>
      <c r="G139">
        <v>57290</v>
      </c>
    </row>
    <row r="140" spans="1:7" x14ac:dyDescent="0.25">
      <c r="A140" t="s">
        <v>591</v>
      </c>
      <c r="B140" t="s">
        <v>592</v>
      </c>
      <c r="C140" t="s">
        <v>275</v>
      </c>
      <c r="D140" t="s">
        <v>593</v>
      </c>
      <c r="E140">
        <v>19</v>
      </c>
      <c r="F140" t="b" cm="1">
        <f t="array" ref="F140">IFERROR(OR(_xlfn._xlws.FILTER(#REF!,#REF!=Table1[[#This Row],[companyid]])),FALSE)</f>
        <v>0</v>
      </c>
      <c r="G140">
        <v>57286</v>
      </c>
    </row>
    <row r="141" spans="1:7" x14ac:dyDescent="0.25">
      <c r="A141" t="s">
        <v>594</v>
      </c>
      <c r="B141" t="s">
        <v>595</v>
      </c>
      <c r="C141" t="s">
        <v>596</v>
      </c>
      <c r="D141" t="s">
        <v>597</v>
      </c>
      <c r="E141">
        <v>114</v>
      </c>
      <c r="F141" t="b" cm="1">
        <f t="array" ref="F141">IFERROR(OR(_xlfn._xlws.FILTER(#REF!,#REF!=Table1[[#This Row],[companyid]])),FALSE)</f>
        <v>0</v>
      </c>
      <c r="G141">
        <v>63705</v>
      </c>
    </row>
    <row r="142" spans="1:7" x14ac:dyDescent="0.25">
      <c r="A142" t="s">
        <v>598</v>
      </c>
      <c r="B142" t="s">
        <v>599</v>
      </c>
      <c r="C142" t="s">
        <v>446</v>
      </c>
      <c r="D142" t="s">
        <v>600</v>
      </c>
      <c r="E142">
        <v>48</v>
      </c>
      <c r="F142" t="b" cm="1">
        <f t="array" ref="F142">IFERROR(OR(_xlfn._xlws.FILTER(#REF!,#REF!=Table1[[#This Row],[companyid]])),FALSE)</f>
        <v>0</v>
      </c>
      <c r="G142">
        <v>57273</v>
      </c>
    </row>
    <row r="143" spans="1:7" x14ac:dyDescent="0.25">
      <c r="A143" t="s">
        <v>598</v>
      </c>
      <c r="B143" t="s">
        <v>601</v>
      </c>
      <c r="C143" t="s">
        <v>602</v>
      </c>
      <c r="D143" t="s">
        <v>600</v>
      </c>
      <c r="E143">
        <v>42</v>
      </c>
      <c r="F143" t="b" cm="1">
        <f t="array" ref="F143">IFERROR(OR(_xlfn._xlws.FILTER(#REF!,#REF!=Table1[[#This Row],[companyid]])),FALSE)</f>
        <v>0</v>
      </c>
      <c r="G143">
        <v>57273</v>
      </c>
    </row>
    <row r="144" spans="1:7" x14ac:dyDescent="0.25">
      <c r="A144" t="s">
        <v>598</v>
      </c>
      <c r="B144" t="s">
        <v>601</v>
      </c>
      <c r="C144" t="s">
        <v>602</v>
      </c>
      <c r="D144" t="s">
        <v>603</v>
      </c>
      <c r="E144">
        <v>36</v>
      </c>
      <c r="F144" t="b" cm="1">
        <f t="array" ref="F144">IFERROR(OR(_xlfn._xlws.FILTER(#REF!,#REF!=Table1[[#This Row],[companyid]])),FALSE)</f>
        <v>0</v>
      </c>
      <c r="G144">
        <v>57273</v>
      </c>
    </row>
    <row r="145" spans="1:7" x14ac:dyDescent="0.25">
      <c r="A145" t="s">
        <v>604</v>
      </c>
      <c r="B145" t="s">
        <v>605</v>
      </c>
      <c r="C145" t="s">
        <v>606</v>
      </c>
      <c r="D145" t="s">
        <v>607</v>
      </c>
      <c r="E145">
        <v>132</v>
      </c>
      <c r="F145" t="b" cm="1">
        <f t="array" ref="F145">IFERROR(OR(_xlfn._xlws.FILTER(#REF!,#REF!=Table1[[#This Row],[companyid]])),FALSE)</f>
        <v>0</v>
      </c>
      <c r="G145">
        <v>57319</v>
      </c>
    </row>
    <row r="146" spans="1:7" x14ac:dyDescent="0.25">
      <c r="A146" t="s">
        <v>608</v>
      </c>
      <c r="B146" t="s">
        <v>609</v>
      </c>
      <c r="C146" t="s">
        <v>254</v>
      </c>
      <c r="D146" t="s">
        <v>610</v>
      </c>
      <c r="E146">
        <v>23</v>
      </c>
      <c r="F146" t="b" cm="1">
        <f t="array" ref="F146">IFERROR(OR(_xlfn._xlws.FILTER(#REF!,#REF!=Table1[[#This Row],[companyid]])),FALSE)</f>
        <v>0</v>
      </c>
      <c r="G146">
        <v>57310</v>
      </c>
    </row>
    <row r="147" spans="1:7" x14ac:dyDescent="0.25">
      <c r="A147" t="s">
        <v>611</v>
      </c>
      <c r="B147" t="s">
        <v>283</v>
      </c>
      <c r="C147" t="s">
        <v>284</v>
      </c>
      <c r="D147" t="s">
        <v>282</v>
      </c>
      <c r="E147">
        <v>55</v>
      </c>
      <c r="F147" t="b" cm="1">
        <f t="array" ref="F147">IFERROR(OR(_xlfn._xlws.FILTER(#REF!,#REF!=Table1[[#This Row],[companyid]])),FALSE)</f>
        <v>0</v>
      </c>
      <c r="G147">
        <v>57358</v>
      </c>
    </row>
    <row r="148" spans="1:7" x14ac:dyDescent="0.25">
      <c r="A148" t="s">
        <v>611</v>
      </c>
      <c r="B148" t="s">
        <v>283</v>
      </c>
      <c r="C148" t="s">
        <v>284</v>
      </c>
      <c r="D148" t="s">
        <v>612</v>
      </c>
      <c r="E148">
        <v>23</v>
      </c>
      <c r="F148" t="b" cm="1">
        <f t="array" ref="F148">IFERROR(OR(_xlfn._xlws.FILTER(#REF!,#REF!=Table1[[#This Row],[companyid]])),FALSE)</f>
        <v>0</v>
      </c>
      <c r="G148">
        <v>57358</v>
      </c>
    </row>
    <row r="149" spans="1:7" x14ac:dyDescent="0.25">
      <c r="A149" t="s">
        <v>613</v>
      </c>
      <c r="B149" t="s">
        <v>614</v>
      </c>
      <c r="C149" t="s">
        <v>271</v>
      </c>
      <c r="D149" t="s">
        <v>615</v>
      </c>
      <c r="E149">
        <v>28</v>
      </c>
      <c r="F149" t="b" cm="1">
        <f t="array" ref="F149">IFERROR(OR(_xlfn._xlws.FILTER(#REF!,#REF!=Table1[[#This Row],[companyid]])),FALSE)</f>
        <v>0</v>
      </c>
      <c r="G149">
        <v>57433</v>
      </c>
    </row>
    <row r="150" spans="1:7" x14ac:dyDescent="0.25">
      <c r="A150" t="s">
        <v>616</v>
      </c>
      <c r="B150" t="s">
        <v>617</v>
      </c>
      <c r="C150" t="s">
        <v>254</v>
      </c>
      <c r="D150" t="s">
        <v>618</v>
      </c>
      <c r="E150">
        <v>31</v>
      </c>
      <c r="F150" t="b" cm="1">
        <f t="array" ref="F150">IFERROR(OR(_xlfn._xlws.FILTER(#REF!,#REF!=Table1[[#This Row],[companyid]])),FALSE)</f>
        <v>0</v>
      </c>
      <c r="G150">
        <v>57431</v>
      </c>
    </row>
    <row r="151" spans="1:7" x14ac:dyDescent="0.25">
      <c r="A151" t="s">
        <v>619</v>
      </c>
      <c r="B151" t="s">
        <v>304</v>
      </c>
      <c r="C151" t="s">
        <v>302</v>
      </c>
      <c r="D151" t="s">
        <v>303</v>
      </c>
      <c r="E151">
        <v>4</v>
      </c>
      <c r="F151" t="b" cm="1">
        <f t="array" ref="F151">IFERROR(OR(_xlfn._xlws.FILTER(#REF!,#REF!=Table1[[#This Row],[companyid]])),FALSE)</f>
        <v>0</v>
      </c>
      <c r="G151">
        <v>57462</v>
      </c>
    </row>
    <row r="152" spans="1:7" x14ac:dyDescent="0.25">
      <c r="A152" t="s">
        <v>619</v>
      </c>
      <c r="B152" t="s">
        <v>620</v>
      </c>
      <c r="C152" t="s">
        <v>621</v>
      </c>
      <c r="E152">
        <v>1</v>
      </c>
      <c r="F152" t="b" cm="1">
        <f t="array" ref="F152">IFERROR(OR(_xlfn._xlws.FILTER(#REF!,#REF!=Table1[[#This Row],[companyid]])),FALSE)</f>
        <v>0</v>
      </c>
      <c r="G152">
        <v>57462</v>
      </c>
    </row>
    <row r="153" spans="1:7" x14ac:dyDescent="0.25">
      <c r="A153" t="s">
        <v>622</v>
      </c>
      <c r="B153" t="s">
        <v>623</v>
      </c>
      <c r="C153" t="s">
        <v>271</v>
      </c>
      <c r="D153" t="s">
        <v>624</v>
      </c>
      <c r="E153">
        <v>23</v>
      </c>
      <c r="F153" t="b" cm="1">
        <f t="array" ref="F153">IFERROR(OR(_xlfn._xlws.FILTER(#REF!,#REF!=Table1[[#This Row],[companyid]])),FALSE)</f>
        <v>0</v>
      </c>
      <c r="G153">
        <v>57470</v>
      </c>
    </row>
    <row r="154" spans="1:7" x14ac:dyDescent="0.25">
      <c r="A154" t="s">
        <v>625</v>
      </c>
      <c r="B154" t="s">
        <v>626</v>
      </c>
      <c r="C154" t="s">
        <v>627</v>
      </c>
      <c r="D154" t="s">
        <v>628</v>
      </c>
      <c r="E154">
        <v>17</v>
      </c>
      <c r="F154" t="b" cm="1">
        <f t="array" ref="F154">IFERROR(OR(_xlfn._xlws.FILTER(#REF!,#REF!=Table1[[#This Row],[companyid]])),FALSE)</f>
        <v>0</v>
      </c>
      <c r="G154">
        <v>57382</v>
      </c>
    </row>
    <row r="155" spans="1:7" x14ac:dyDescent="0.25">
      <c r="A155" t="s">
        <v>629</v>
      </c>
      <c r="B155" t="s">
        <v>630</v>
      </c>
      <c r="C155" t="s">
        <v>631</v>
      </c>
      <c r="D155" t="s">
        <v>632</v>
      </c>
      <c r="E155">
        <v>30</v>
      </c>
      <c r="F155" t="b" cm="1">
        <f t="array" ref="F155">IFERROR(OR(_xlfn._xlws.FILTER(#REF!,#REF!=Table1[[#This Row],[companyid]])),FALSE)</f>
        <v>0</v>
      </c>
      <c r="G155">
        <v>57799</v>
      </c>
    </row>
    <row r="156" spans="1:7" x14ac:dyDescent="0.25">
      <c r="A156" t="s">
        <v>629</v>
      </c>
      <c r="B156" t="s">
        <v>633</v>
      </c>
      <c r="C156" t="s">
        <v>284</v>
      </c>
      <c r="D156" t="s">
        <v>632</v>
      </c>
      <c r="E156">
        <v>28</v>
      </c>
      <c r="F156" t="b" cm="1">
        <f t="array" ref="F156">IFERROR(OR(_xlfn._xlws.FILTER(#REF!,#REF!=Table1[[#This Row],[companyid]])),FALSE)</f>
        <v>0</v>
      </c>
      <c r="G156">
        <v>57799</v>
      </c>
    </row>
    <row r="157" spans="1:7" x14ac:dyDescent="0.25">
      <c r="A157" t="s">
        <v>629</v>
      </c>
      <c r="B157" t="s">
        <v>630</v>
      </c>
      <c r="C157" t="s">
        <v>631</v>
      </c>
      <c r="D157" t="s">
        <v>634</v>
      </c>
      <c r="E157">
        <v>20</v>
      </c>
      <c r="F157" t="b" cm="1">
        <f t="array" ref="F157">IFERROR(OR(_xlfn._xlws.FILTER(#REF!,#REF!=Table1[[#This Row],[companyid]])),FALSE)</f>
        <v>0</v>
      </c>
      <c r="G157">
        <v>57799</v>
      </c>
    </row>
    <row r="158" spans="1:7" x14ac:dyDescent="0.25">
      <c r="A158" t="s">
        <v>635</v>
      </c>
      <c r="B158" t="s">
        <v>636</v>
      </c>
      <c r="C158" t="s">
        <v>637</v>
      </c>
      <c r="D158" t="s">
        <v>638</v>
      </c>
      <c r="E158">
        <v>45</v>
      </c>
      <c r="F158" t="b" cm="1">
        <f t="array" ref="F158">IFERROR(OR(_xlfn._xlws.FILTER(#REF!,#REF!=Table1[[#This Row],[companyid]])),FALSE)</f>
        <v>0</v>
      </c>
      <c r="G158">
        <v>57416</v>
      </c>
    </row>
    <row r="159" spans="1:7" x14ac:dyDescent="0.25">
      <c r="A159" t="s">
        <v>639</v>
      </c>
      <c r="B159" t="s">
        <v>640</v>
      </c>
      <c r="C159" t="s">
        <v>641</v>
      </c>
      <c r="D159" t="s">
        <v>642</v>
      </c>
      <c r="E159">
        <v>30</v>
      </c>
      <c r="F159" t="b" cm="1">
        <f t="array" ref="F159">IFERROR(OR(_xlfn._xlws.FILTER(#REF!,#REF!=Table1[[#This Row],[companyid]])),FALSE)</f>
        <v>0</v>
      </c>
      <c r="G159">
        <v>57410</v>
      </c>
    </row>
    <row r="160" spans="1:7" x14ac:dyDescent="0.25">
      <c r="A160" t="s">
        <v>639</v>
      </c>
      <c r="B160" t="s">
        <v>640</v>
      </c>
      <c r="C160" t="s">
        <v>641</v>
      </c>
      <c r="E160">
        <v>15</v>
      </c>
      <c r="F160" t="b" cm="1">
        <f t="array" ref="F160">IFERROR(OR(_xlfn._xlws.FILTER(#REF!,#REF!=Table1[[#This Row],[companyid]])),FALSE)</f>
        <v>0</v>
      </c>
      <c r="G160">
        <v>57410</v>
      </c>
    </row>
    <row r="161" spans="1:7" x14ac:dyDescent="0.25">
      <c r="A161" t="s">
        <v>643</v>
      </c>
      <c r="B161" t="s">
        <v>644</v>
      </c>
      <c r="C161" t="s">
        <v>645</v>
      </c>
      <c r="D161" t="s">
        <v>646</v>
      </c>
      <c r="E161">
        <v>37</v>
      </c>
      <c r="F161" t="b" cm="1">
        <f t="array" ref="F161">IFERROR(OR(_xlfn._xlws.FILTER(#REF!,#REF!=Table1[[#This Row],[companyid]])),FALSE)</f>
        <v>0</v>
      </c>
      <c r="G161">
        <v>57408</v>
      </c>
    </row>
    <row r="162" spans="1:7" x14ac:dyDescent="0.25">
      <c r="A162" t="s">
        <v>647</v>
      </c>
      <c r="B162" t="s">
        <v>648</v>
      </c>
      <c r="C162" t="s">
        <v>649</v>
      </c>
      <c r="D162" t="s">
        <v>650</v>
      </c>
      <c r="E162">
        <v>57</v>
      </c>
      <c r="F162" t="b" cm="1">
        <f t="array" ref="F162">IFERROR(OR(_xlfn._xlws.FILTER(#REF!,#REF!=Table1[[#This Row],[companyid]])),FALSE)</f>
        <v>0</v>
      </c>
      <c r="G162">
        <v>57543</v>
      </c>
    </row>
    <row r="163" spans="1:7" x14ac:dyDescent="0.25">
      <c r="A163" t="s">
        <v>651</v>
      </c>
      <c r="B163" t="s">
        <v>652</v>
      </c>
      <c r="C163" t="s">
        <v>271</v>
      </c>
      <c r="D163" t="s">
        <v>653</v>
      </c>
      <c r="E163">
        <v>34</v>
      </c>
      <c r="F163" t="b" cm="1">
        <f t="array" ref="F163">IFERROR(OR(_xlfn._xlws.FILTER(#REF!,#REF!=Table1[[#This Row],[companyid]])),FALSE)</f>
        <v>0</v>
      </c>
      <c r="G163">
        <v>57524</v>
      </c>
    </row>
    <row r="164" spans="1:7" x14ac:dyDescent="0.25">
      <c r="A164" t="s">
        <v>654</v>
      </c>
      <c r="B164" t="s">
        <v>655</v>
      </c>
      <c r="C164" t="s">
        <v>379</v>
      </c>
      <c r="D164" t="s">
        <v>656</v>
      </c>
      <c r="E164">
        <v>15</v>
      </c>
      <c r="F164" t="b" cm="1">
        <f t="array" ref="F164">IFERROR(OR(_xlfn._xlws.FILTER(#REF!,#REF!=Table1[[#This Row],[companyid]])),FALSE)</f>
        <v>0</v>
      </c>
      <c r="G164">
        <v>57480</v>
      </c>
    </row>
    <row r="165" spans="1:7" x14ac:dyDescent="0.25">
      <c r="A165" t="s">
        <v>657</v>
      </c>
      <c r="B165" t="s">
        <v>658</v>
      </c>
      <c r="C165" t="s">
        <v>659</v>
      </c>
      <c r="D165" t="s">
        <v>660</v>
      </c>
      <c r="E165">
        <v>23</v>
      </c>
      <c r="F165" t="b" cm="1">
        <f t="array" ref="F165">IFERROR(OR(_xlfn._xlws.FILTER(#REF!,#REF!=Table1[[#This Row],[companyid]])),FALSE)</f>
        <v>0</v>
      </c>
      <c r="G165">
        <v>57514</v>
      </c>
    </row>
    <row r="166" spans="1:7" x14ac:dyDescent="0.25">
      <c r="A166" t="s">
        <v>661</v>
      </c>
      <c r="B166" t="s">
        <v>662</v>
      </c>
      <c r="C166" t="s">
        <v>663</v>
      </c>
      <c r="D166" t="s">
        <v>664</v>
      </c>
      <c r="E166">
        <v>33</v>
      </c>
      <c r="F166" t="b" cm="1">
        <f t="array" ref="F166">IFERROR(OR(_xlfn._xlws.FILTER(#REF!,#REF!=Table1[[#This Row],[companyid]])),FALSE)</f>
        <v>0</v>
      </c>
      <c r="G166">
        <v>57512</v>
      </c>
    </row>
    <row r="167" spans="1:7" x14ac:dyDescent="0.25">
      <c r="A167" t="s">
        <v>665</v>
      </c>
      <c r="B167" t="s">
        <v>666</v>
      </c>
      <c r="C167" t="s">
        <v>667</v>
      </c>
      <c r="E167">
        <v>25</v>
      </c>
      <c r="F167" t="b" cm="1">
        <f t="array" ref="F167">IFERROR(OR(_xlfn._xlws.FILTER(#REF!,#REF!=Table1[[#This Row],[companyid]])),FALSE)</f>
        <v>0</v>
      </c>
      <c r="G167">
        <v>57667</v>
      </c>
    </row>
    <row r="168" spans="1:7" x14ac:dyDescent="0.25">
      <c r="A168" t="s">
        <v>665</v>
      </c>
      <c r="B168" t="s">
        <v>668</v>
      </c>
      <c r="C168" t="s">
        <v>667</v>
      </c>
      <c r="E168">
        <v>10</v>
      </c>
      <c r="F168" t="b" cm="1">
        <f t="array" ref="F168">IFERROR(OR(_xlfn._xlws.FILTER(#REF!,#REF!=Table1[[#This Row],[companyid]])),FALSE)</f>
        <v>0</v>
      </c>
      <c r="G168">
        <v>57667</v>
      </c>
    </row>
    <row r="169" spans="1:7" x14ac:dyDescent="0.25">
      <c r="A169" t="s">
        <v>669</v>
      </c>
      <c r="B169" t="s">
        <v>670</v>
      </c>
      <c r="C169" t="s">
        <v>275</v>
      </c>
      <c r="D169" t="s">
        <v>671</v>
      </c>
      <c r="E169">
        <v>23</v>
      </c>
      <c r="F169" t="b" cm="1">
        <f t="array" ref="F169">IFERROR(OR(_xlfn._xlws.FILTER(#REF!,#REF!=Table1[[#This Row],[companyid]])),FALSE)</f>
        <v>0</v>
      </c>
      <c r="G169">
        <v>57649</v>
      </c>
    </row>
    <row r="170" spans="1:7" x14ac:dyDescent="0.25">
      <c r="A170" t="s">
        <v>672</v>
      </c>
      <c r="B170" t="s">
        <v>673</v>
      </c>
      <c r="C170" t="s">
        <v>360</v>
      </c>
      <c r="D170" t="s">
        <v>674</v>
      </c>
      <c r="E170">
        <v>10</v>
      </c>
      <c r="F170" t="b" cm="1">
        <f t="array" ref="F170">IFERROR(OR(_xlfn._xlws.FILTER(#REF!,#REF!=Table1[[#This Row],[companyid]])),FALSE)</f>
        <v>0</v>
      </c>
      <c r="G170">
        <v>57615</v>
      </c>
    </row>
    <row r="171" spans="1:7" x14ac:dyDescent="0.25">
      <c r="A171" t="s">
        <v>672</v>
      </c>
      <c r="B171" t="s">
        <v>675</v>
      </c>
      <c r="C171" t="s">
        <v>676</v>
      </c>
      <c r="D171" t="s">
        <v>674</v>
      </c>
      <c r="E171">
        <v>10</v>
      </c>
      <c r="F171" t="b" cm="1">
        <f t="array" ref="F171">IFERROR(OR(_xlfn._xlws.FILTER(#REF!,#REF!=Table1[[#This Row],[companyid]])),FALSE)</f>
        <v>0</v>
      </c>
      <c r="G171">
        <v>57615</v>
      </c>
    </row>
    <row r="172" spans="1:7" x14ac:dyDescent="0.25">
      <c r="A172" t="s">
        <v>672</v>
      </c>
      <c r="B172" t="s">
        <v>675</v>
      </c>
      <c r="C172" t="s">
        <v>676</v>
      </c>
      <c r="E172">
        <v>10</v>
      </c>
      <c r="F172" t="b" cm="1">
        <f t="array" ref="F172">IFERROR(OR(_xlfn._xlws.FILTER(#REF!,#REF!=Table1[[#This Row],[companyid]])),FALSE)</f>
        <v>0</v>
      </c>
      <c r="G172">
        <v>57615</v>
      </c>
    </row>
    <row r="173" spans="1:7" x14ac:dyDescent="0.25">
      <c r="A173" t="s">
        <v>677</v>
      </c>
      <c r="B173" t="s">
        <v>678</v>
      </c>
      <c r="C173" t="s">
        <v>271</v>
      </c>
      <c r="D173" t="s">
        <v>679</v>
      </c>
      <c r="E173">
        <v>23</v>
      </c>
      <c r="F173" t="b" cm="1">
        <f t="array" ref="F173">IFERROR(OR(_xlfn._xlws.FILTER(#REF!,#REF!=Table1[[#This Row],[companyid]])),FALSE)</f>
        <v>0</v>
      </c>
      <c r="G173">
        <v>57760</v>
      </c>
    </row>
    <row r="174" spans="1:7" x14ac:dyDescent="0.25">
      <c r="A174" t="s">
        <v>680</v>
      </c>
      <c r="B174" t="s">
        <v>681</v>
      </c>
      <c r="C174" t="s">
        <v>379</v>
      </c>
      <c r="D174" t="s">
        <v>682</v>
      </c>
      <c r="E174">
        <v>3</v>
      </c>
      <c r="F174" t="b" cm="1">
        <f t="array" ref="F174">IFERROR(OR(_xlfn._xlws.FILTER(#REF!,#REF!=Table1[[#This Row],[companyid]])),FALSE)</f>
        <v>0</v>
      </c>
      <c r="G174">
        <v>57749</v>
      </c>
    </row>
    <row r="175" spans="1:7" x14ac:dyDescent="0.25">
      <c r="A175" t="s">
        <v>683</v>
      </c>
      <c r="B175" t="s">
        <v>363</v>
      </c>
      <c r="C175" t="s">
        <v>364</v>
      </c>
      <c r="D175" t="s">
        <v>366</v>
      </c>
      <c r="E175">
        <v>24</v>
      </c>
      <c r="F175" t="b" cm="1">
        <f t="array" ref="F175">IFERROR(OR(_xlfn._xlws.FILTER(#REF!,#REF!=Table1[[#This Row],[companyid]])),FALSE)</f>
        <v>0</v>
      </c>
      <c r="G175">
        <v>57693</v>
      </c>
    </row>
    <row r="176" spans="1:7" x14ac:dyDescent="0.25">
      <c r="A176" t="s">
        <v>683</v>
      </c>
      <c r="B176" t="s">
        <v>684</v>
      </c>
      <c r="C176" t="s">
        <v>254</v>
      </c>
      <c r="D176" t="s">
        <v>366</v>
      </c>
      <c r="E176">
        <v>6</v>
      </c>
      <c r="F176" t="b" cm="1">
        <f t="array" ref="F176">IFERROR(OR(_xlfn._xlws.FILTER(#REF!,#REF!=Table1[[#This Row],[companyid]])),FALSE)</f>
        <v>0</v>
      </c>
      <c r="G176">
        <v>57693</v>
      </c>
    </row>
    <row r="177" spans="1:7" x14ac:dyDescent="0.25">
      <c r="A177" t="s">
        <v>685</v>
      </c>
      <c r="B177" t="s">
        <v>686</v>
      </c>
      <c r="C177" t="s">
        <v>687</v>
      </c>
      <c r="D177" t="s">
        <v>688</v>
      </c>
      <c r="E177">
        <v>59</v>
      </c>
      <c r="F177" t="b" cm="1">
        <f t="array" ref="F177">IFERROR(OR(_xlfn._xlws.FILTER(#REF!,#REF!=Table1[[#This Row],[companyid]])),FALSE)</f>
        <v>0</v>
      </c>
      <c r="G177">
        <v>57836</v>
      </c>
    </row>
    <row r="178" spans="1:7" x14ac:dyDescent="0.25">
      <c r="A178" t="s">
        <v>685</v>
      </c>
      <c r="B178" t="s">
        <v>689</v>
      </c>
      <c r="C178" t="s">
        <v>687</v>
      </c>
      <c r="D178" t="s">
        <v>688</v>
      </c>
      <c r="E178">
        <v>38</v>
      </c>
      <c r="F178" t="b" cm="1">
        <f t="array" ref="F178">IFERROR(OR(_xlfn._xlws.FILTER(#REF!,#REF!=Table1[[#This Row],[companyid]])),FALSE)</f>
        <v>0</v>
      </c>
      <c r="G178">
        <v>57836</v>
      </c>
    </row>
    <row r="179" spans="1:7" x14ac:dyDescent="0.25">
      <c r="A179" t="s">
        <v>690</v>
      </c>
      <c r="B179" t="s">
        <v>691</v>
      </c>
      <c r="C179" t="s">
        <v>692</v>
      </c>
      <c r="D179" t="s">
        <v>693</v>
      </c>
      <c r="E179">
        <v>14</v>
      </c>
      <c r="F179" t="b" cm="1">
        <f t="array" ref="F179">IFERROR(OR(_xlfn._xlws.FILTER(#REF!,#REF!=Table1[[#This Row],[companyid]])),FALSE)</f>
        <v>0</v>
      </c>
      <c r="G179">
        <v>57835</v>
      </c>
    </row>
    <row r="180" spans="1:7" x14ac:dyDescent="0.25">
      <c r="A180" t="s">
        <v>694</v>
      </c>
      <c r="B180" t="s">
        <v>695</v>
      </c>
      <c r="C180" t="s">
        <v>696</v>
      </c>
      <c r="D180" t="s">
        <v>697</v>
      </c>
      <c r="E180">
        <v>26</v>
      </c>
      <c r="F180" t="b" cm="1">
        <f t="array" ref="F180">IFERROR(OR(_xlfn._xlws.FILTER(#REF!,#REF!=Table1[[#This Row],[companyid]])),FALSE)</f>
        <v>0</v>
      </c>
      <c r="G180">
        <v>79875</v>
      </c>
    </row>
    <row r="181" spans="1:7" x14ac:dyDescent="0.25">
      <c r="A181" t="s">
        <v>698</v>
      </c>
      <c r="B181" t="s">
        <v>699</v>
      </c>
      <c r="C181" t="s">
        <v>271</v>
      </c>
      <c r="D181" t="s">
        <v>700</v>
      </c>
      <c r="E181">
        <v>87</v>
      </c>
      <c r="F181" t="b" cm="1">
        <f t="array" ref="F181">IFERROR(OR(_xlfn._xlws.FILTER(#REF!,#REF!=Table1[[#This Row],[companyid]])),FALSE)</f>
        <v>0</v>
      </c>
      <c r="G181">
        <v>57825</v>
      </c>
    </row>
    <row r="182" spans="1:7" x14ac:dyDescent="0.25">
      <c r="A182" t="s">
        <v>701</v>
      </c>
      <c r="B182" t="s">
        <v>702</v>
      </c>
      <c r="C182" t="s">
        <v>703</v>
      </c>
      <c r="D182" t="s">
        <v>704</v>
      </c>
      <c r="E182">
        <v>56</v>
      </c>
      <c r="F182" t="b" cm="1">
        <f t="array" ref="F182">IFERROR(OR(_xlfn._xlws.FILTER(#REF!,#REF!=Table1[[#This Row],[companyid]])),FALSE)</f>
        <v>0</v>
      </c>
      <c r="G182">
        <v>57843</v>
      </c>
    </row>
    <row r="183" spans="1:7" x14ac:dyDescent="0.25">
      <c r="A183" t="s">
        <v>701</v>
      </c>
      <c r="B183" t="s">
        <v>705</v>
      </c>
      <c r="C183" t="s">
        <v>703</v>
      </c>
      <c r="D183" t="s">
        <v>704</v>
      </c>
      <c r="E183">
        <v>34</v>
      </c>
      <c r="F183" t="b" cm="1">
        <f t="array" ref="F183">IFERROR(OR(_xlfn._xlws.FILTER(#REF!,#REF!=Table1[[#This Row],[companyid]])),FALSE)</f>
        <v>0</v>
      </c>
      <c r="G183">
        <v>57843</v>
      </c>
    </row>
    <row r="184" spans="1:7" x14ac:dyDescent="0.25">
      <c r="A184" t="s">
        <v>706</v>
      </c>
      <c r="B184" t="s">
        <v>707</v>
      </c>
      <c r="C184" t="s">
        <v>708</v>
      </c>
      <c r="D184" t="s">
        <v>709</v>
      </c>
      <c r="E184">
        <v>52</v>
      </c>
      <c r="F184" t="b" cm="1">
        <f t="array" ref="F184">IFERROR(OR(_xlfn._xlws.FILTER(#REF!,#REF!=Table1[[#This Row],[companyid]])),FALSE)</f>
        <v>0</v>
      </c>
      <c r="G184">
        <v>57867</v>
      </c>
    </row>
    <row r="185" spans="1:7" x14ac:dyDescent="0.25">
      <c r="A185" t="s">
        <v>706</v>
      </c>
      <c r="B185" t="s">
        <v>707</v>
      </c>
      <c r="C185" t="s">
        <v>708</v>
      </c>
      <c r="E185">
        <v>23</v>
      </c>
      <c r="F185" t="b" cm="1">
        <f t="array" ref="F185">IFERROR(OR(_xlfn._xlws.FILTER(#REF!,#REF!=Table1[[#This Row],[companyid]])),FALSE)</f>
        <v>0</v>
      </c>
      <c r="G185">
        <v>57867</v>
      </c>
    </row>
    <row r="186" spans="1:7" x14ac:dyDescent="0.25">
      <c r="A186" t="s">
        <v>710</v>
      </c>
      <c r="B186" t="s">
        <v>711</v>
      </c>
      <c r="C186" t="s">
        <v>712</v>
      </c>
      <c r="E186">
        <v>84</v>
      </c>
      <c r="F186" t="b" cm="1">
        <f t="array" ref="F186">IFERROR(OR(_xlfn._xlws.FILTER(#REF!,#REF!=Table1[[#This Row],[companyid]])),FALSE)</f>
        <v>0</v>
      </c>
      <c r="G186">
        <v>57859</v>
      </c>
    </row>
    <row r="187" spans="1:7" x14ac:dyDescent="0.25">
      <c r="A187" t="s">
        <v>710</v>
      </c>
      <c r="B187" t="s">
        <v>713</v>
      </c>
      <c r="C187" t="s">
        <v>714</v>
      </c>
      <c r="D187" t="s">
        <v>715</v>
      </c>
      <c r="E187">
        <v>52</v>
      </c>
      <c r="F187" t="b" cm="1">
        <f t="array" ref="F187">IFERROR(OR(_xlfn._xlws.FILTER(#REF!,#REF!=Table1[[#This Row],[companyid]])),FALSE)</f>
        <v>0</v>
      </c>
      <c r="G187">
        <v>57859</v>
      </c>
    </row>
    <row r="188" spans="1:7" x14ac:dyDescent="0.25">
      <c r="A188" t="s">
        <v>716</v>
      </c>
      <c r="B188" t="s">
        <v>717</v>
      </c>
      <c r="C188" t="s">
        <v>360</v>
      </c>
      <c r="D188" t="s">
        <v>718</v>
      </c>
      <c r="E188">
        <v>16</v>
      </c>
      <c r="F188" t="b" cm="1">
        <f t="array" ref="F188">IFERROR(OR(_xlfn._xlws.FILTER(#REF!,#REF!=Table1[[#This Row],[companyid]])),FALSE)</f>
        <v>0</v>
      </c>
      <c r="G188">
        <v>57858</v>
      </c>
    </row>
    <row r="189" spans="1:7" x14ac:dyDescent="0.25">
      <c r="A189" t="s">
        <v>719</v>
      </c>
      <c r="B189" t="s">
        <v>720</v>
      </c>
      <c r="C189" t="s">
        <v>254</v>
      </c>
      <c r="D189" t="s">
        <v>721</v>
      </c>
      <c r="E189">
        <v>88</v>
      </c>
      <c r="F189" t="b" cm="1">
        <f t="array" ref="F189">IFERROR(OR(_xlfn._xlws.FILTER(#REF!,#REF!=Table1[[#This Row],[companyid]])),FALSE)</f>
        <v>0</v>
      </c>
      <c r="G189">
        <v>57856</v>
      </c>
    </row>
    <row r="190" spans="1:7" x14ac:dyDescent="0.25">
      <c r="A190" t="s">
        <v>719</v>
      </c>
      <c r="B190" t="s">
        <v>720</v>
      </c>
      <c r="C190" t="s">
        <v>722</v>
      </c>
      <c r="E190">
        <v>40</v>
      </c>
      <c r="F190" t="b" cm="1">
        <f t="array" ref="F190">IFERROR(OR(_xlfn._xlws.FILTER(#REF!,#REF!=Table1[[#This Row],[companyid]])),FALSE)</f>
        <v>0</v>
      </c>
      <c r="G190">
        <v>57856</v>
      </c>
    </row>
    <row r="191" spans="1:7" x14ac:dyDescent="0.25">
      <c r="A191" t="s">
        <v>719</v>
      </c>
      <c r="B191" t="s">
        <v>378</v>
      </c>
      <c r="C191" t="s">
        <v>722</v>
      </c>
      <c r="E191">
        <v>25</v>
      </c>
      <c r="F191" t="b" cm="1">
        <f t="array" ref="F191">IFERROR(OR(_xlfn._xlws.FILTER(#REF!,#REF!=Table1[[#This Row],[companyid]])),FALSE)</f>
        <v>0</v>
      </c>
      <c r="G191">
        <v>57856</v>
      </c>
    </row>
    <row r="192" spans="1:7" x14ac:dyDescent="0.25">
      <c r="A192" t="s">
        <v>723</v>
      </c>
      <c r="B192" t="s">
        <v>378</v>
      </c>
      <c r="C192" t="s">
        <v>379</v>
      </c>
      <c r="D192" t="s">
        <v>380</v>
      </c>
      <c r="E192">
        <v>33</v>
      </c>
      <c r="F192" t="b" cm="1">
        <f t="array" ref="F192">IFERROR(OR(_xlfn._xlws.FILTER(#REF!,#REF!=Table1[[#This Row],[companyid]])),FALSE)</f>
        <v>0</v>
      </c>
      <c r="G192">
        <v>57855</v>
      </c>
    </row>
    <row r="193" spans="1:7" x14ac:dyDescent="0.25">
      <c r="A193" t="s">
        <v>724</v>
      </c>
      <c r="B193" t="s">
        <v>725</v>
      </c>
      <c r="C193" t="s">
        <v>726</v>
      </c>
      <c r="E193">
        <v>8</v>
      </c>
      <c r="F193" t="b" cm="1">
        <f t="array" ref="F193">IFERROR(OR(_xlfn._xlws.FILTER(#REF!,#REF!=Table1[[#This Row],[companyid]])),FALSE)</f>
        <v>0</v>
      </c>
      <c r="G193">
        <v>57852</v>
      </c>
    </row>
    <row r="194" spans="1:7" x14ac:dyDescent="0.25">
      <c r="A194" t="s">
        <v>724</v>
      </c>
      <c r="B194" t="s">
        <v>727</v>
      </c>
      <c r="C194" t="s">
        <v>726</v>
      </c>
      <c r="D194" t="s">
        <v>728</v>
      </c>
      <c r="E194">
        <v>2</v>
      </c>
      <c r="F194" t="b" cm="1">
        <f t="array" ref="F194">IFERROR(OR(_xlfn._xlws.FILTER(#REF!,#REF!=Table1[[#This Row],[companyid]])),FALSE)</f>
        <v>0</v>
      </c>
      <c r="G194">
        <v>57852</v>
      </c>
    </row>
    <row r="195" spans="1:7" x14ac:dyDescent="0.25">
      <c r="A195" t="s">
        <v>729</v>
      </c>
      <c r="B195" t="s">
        <v>730</v>
      </c>
      <c r="C195" t="s">
        <v>271</v>
      </c>
      <c r="D195" t="s">
        <v>731</v>
      </c>
      <c r="E195">
        <v>33</v>
      </c>
      <c r="F195" t="b" cm="1">
        <f t="array" ref="F195">IFERROR(OR(_xlfn._xlws.FILTER(#REF!,#REF!=Table1[[#This Row],[companyid]])),FALSE)</f>
        <v>0</v>
      </c>
      <c r="G195">
        <v>57848</v>
      </c>
    </row>
    <row r="196" spans="1:7" x14ac:dyDescent="0.25">
      <c r="A196" t="s">
        <v>732</v>
      </c>
      <c r="B196" t="s">
        <v>733</v>
      </c>
      <c r="C196" t="s">
        <v>734</v>
      </c>
      <c r="D196" t="s">
        <v>735</v>
      </c>
      <c r="E196">
        <v>12</v>
      </c>
      <c r="F196" t="b" cm="1">
        <f t="array" ref="F196">IFERROR(OR(_xlfn._xlws.FILTER(#REF!,#REF!=Table1[[#This Row],[companyid]])),FALSE)</f>
        <v>0</v>
      </c>
      <c r="G196">
        <v>57790</v>
      </c>
    </row>
    <row r="197" spans="1:7" x14ac:dyDescent="0.25">
      <c r="A197" t="s">
        <v>736</v>
      </c>
      <c r="B197" t="s">
        <v>737</v>
      </c>
      <c r="C197" t="s">
        <v>738</v>
      </c>
      <c r="D197" t="s">
        <v>739</v>
      </c>
      <c r="E197">
        <v>40</v>
      </c>
      <c r="F197" t="b" cm="1">
        <f t="array" ref="F197">IFERROR(OR(_xlfn._xlws.FILTER(#REF!,#REF!=Table1[[#This Row],[companyid]])),FALSE)</f>
        <v>0</v>
      </c>
      <c r="G197">
        <v>57778</v>
      </c>
    </row>
    <row r="198" spans="1:7" x14ac:dyDescent="0.25">
      <c r="A198" t="s">
        <v>740</v>
      </c>
      <c r="B198" t="s">
        <v>741</v>
      </c>
      <c r="C198" t="s">
        <v>254</v>
      </c>
      <c r="D198" t="s">
        <v>742</v>
      </c>
      <c r="E198">
        <v>27</v>
      </c>
      <c r="F198" t="b" cm="1">
        <f t="array" ref="F198">IFERROR(OR(_xlfn._xlws.FILTER(#REF!,#REF!=Table1[[#This Row],[companyid]])),FALSE)</f>
        <v>0</v>
      </c>
      <c r="G198">
        <v>57812</v>
      </c>
    </row>
    <row r="199" spans="1:7" x14ac:dyDescent="0.25">
      <c r="A199" t="s">
        <v>743</v>
      </c>
      <c r="B199" t="s">
        <v>744</v>
      </c>
      <c r="C199" t="s">
        <v>745</v>
      </c>
      <c r="D199" t="s">
        <v>746</v>
      </c>
      <c r="E199">
        <v>12</v>
      </c>
      <c r="F199" t="b" cm="1">
        <f t="array" ref="F199">IFERROR(OR(_xlfn._xlws.FILTER(#REF!,#REF!=Table1[[#This Row],[companyid]])),FALSE)</f>
        <v>0</v>
      </c>
      <c r="G199">
        <v>114895</v>
      </c>
    </row>
    <row r="200" spans="1:7" x14ac:dyDescent="0.25">
      <c r="A200" t="s">
        <v>747</v>
      </c>
      <c r="B200" t="s">
        <v>748</v>
      </c>
      <c r="C200" t="s">
        <v>749</v>
      </c>
      <c r="D200" t="s">
        <v>750</v>
      </c>
      <c r="E200">
        <v>59</v>
      </c>
      <c r="F200" t="b" cm="1">
        <f t="array" ref="F200">IFERROR(OR(_xlfn._xlws.FILTER(#REF!,#REF!=Table1[[#This Row],[companyid]])),FALSE)</f>
        <v>0</v>
      </c>
      <c r="G200">
        <v>57932</v>
      </c>
    </row>
    <row r="201" spans="1:7" x14ac:dyDescent="0.25">
      <c r="A201" t="s">
        <v>747</v>
      </c>
      <c r="B201" t="s">
        <v>751</v>
      </c>
      <c r="C201" t="s">
        <v>487</v>
      </c>
      <c r="E201">
        <v>36</v>
      </c>
      <c r="F201" t="b" cm="1">
        <f t="array" ref="F201">IFERROR(OR(_xlfn._xlws.FILTER(#REF!,#REF!=Table1[[#This Row],[companyid]])),FALSE)</f>
        <v>0</v>
      </c>
      <c r="G201">
        <v>57932</v>
      </c>
    </row>
    <row r="202" spans="1:7" x14ac:dyDescent="0.25">
      <c r="A202" t="s">
        <v>747</v>
      </c>
      <c r="B202" t="s">
        <v>752</v>
      </c>
      <c r="C202" t="s">
        <v>487</v>
      </c>
      <c r="E202">
        <v>10</v>
      </c>
      <c r="F202" t="b" cm="1">
        <f t="array" ref="F202">IFERROR(OR(_xlfn._xlws.FILTER(#REF!,#REF!=Table1[[#This Row],[companyid]])),FALSE)</f>
        <v>0</v>
      </c>
      <c r="G202">
        <v>57932</v>
      </c>
    </row>
    <row r="203" spans="1:7" x14ac:dyDescent="0.25">
      <c r="A203" t="s">
        <v>753</v>
      </c>
      <c r="B203" t="s">
        <v>754</v>
      </c>
      <c r="C203" t="s">
        <v>297</v>
      </c>
      <c r="D203" t="s">
        <v>755</v>
      </c>
      <c r="E203">
        <v>132</v>
      </c>
      <c r="F203" t="b" cm="1">
        <f t="array" ref="F203">IFERROR(OR(_xlfn._xlws.FILTER(#REF!,#REF!=Table1[[#This Row],[companyid]])),FALSE)</f>
        <v>0</v>
      </c>
      <c r="G203">
        <v>57948</v>
      </c>
    </row>
    <row r="204" spans="1:7" x14ac:dyDescent="0.25">
      <c r="A204" t="s">
        <v>753</v>
      </c>
      <c r="B204" t="s">
        <v>756</v>
      </c>
      <c r="C204" t="s">
        <v>297</v>
      </c>
      <c r="D204" t="s">
        <v>755</v>
      </c>
      <c r="E204">
        <v>82</v>
      </c>
      <c r="F204" t="b" cm="1">
        <f t="array" ref="F204">IFERROR(OR(_xlfn._xlws.FILTER(#REF!,#REF!=Table1[[#This Row],[companyid]])),FALSE)</f>
        <v>0</v>
      </c>
      <c r="G204">
        <v>57948</v>
      </c>
    </row>
    <row r="205" spans="1:7" x14ac:dyDescent="0.25">
      <c r="A205" t="s">
        <v>757</v>
      </c>
      <c r="B205" t="s">
        <v>758</v>
      </c>
      <c r="C205" t="s">
        <v>759</v>
      </c>
      <c r="D205" t="s">
        <v>760</v>
      </c>
      <c r="E205">
        <v>45</v>
      </c>
      <c r="F205" t="b" cm="1">
        <f t="array" ref="F205">IFERROR(OR(_xlfn._xlws.FILTER(#REF!,#REF!=Table1[[#This Row],[companyid]])),FALSE)</f>
        <v>0</v>
      </c>
      <c r="G205">
        <v>57908</v>
      </c>
    </row>
    <row r="206" spans="1:7" x14ac:dyDescent="0.25">
      <c r="A206" t="s">
        <v>761</v>
      </c>
      <c r="B206" t="s">
        <v>762</v>
      </c>
      <c r="C206" t="s">
        <v>763</v>
      </c>
      <c r="D206" t="s">
        <v>764</v>
      </c>
      <c r="E206">
        <v>12</v>
      </c>
      <c r="F206" t="b" cm="1">
        <f t="array" ref="F206">IFERROR(OR(_xlfn._xlws.FILTER(#REF!,#REF!=Table1[[#This Row],[companyid]])),FALSE)</f>
        <v>0</v>
      </c>
      <c r="G206">
        <v>57897</v>
      </c>
    </row>
    <row r="207" spans="1:7" x14ac:dyDescent="0.25">
      <c r="A207" t="s">
        <v>761</v>
      </c>
      <c r="B207" t="s">
        <v>765</v>
      </c>
      <c r="C207" t="s">
        <v>763</v>
      </c>
      <c r="D207" t="s">
        <v>764</v>
      </c>
      <c r="E207">
        <v>3</v>
      </c>
      <c r="F207" t="b" cm="1">
        <f t="array" ref="F207">IFERROR(OR(_xlfn._xlws.FILTER(#REF!,#REF!=Table1[[#This Row],[companyid]])),FALSE)</f>
        <v>0</v>
      </c>
      <c r="G207">
        <v>57897</v>
      </c>
    </row>
    <row r="208" spans="1:7" x14ac:dyDescent="0.25">
      <c r="A208" t="s">
        <v>766</v>
      </c>
      <c r="B208" t="s">
        <v>767</v>
      </c>
      <c r="C208" t="s">
        <v>254</v>
      </c>
      <c r="D208" t="s">
        <v>768</v>
      </c>
      <c r="E208">
        <v>32</v>
      </c>
      <c r="F208" t="b" cm="1">
        <f t="array" ref="F208">IFERROR(OR(_xlfn._xlws.FILTER(#REF!,#REF!=Table1[[#This Row],[companyid]])),FALSE)</f>
        <v>0</v>
      </c>
      <c r="G208">
        <v>58030</v>
      </c>
    </row>
    <row r="209" spans="1:7" x14ac:dyDescent="0.25">
      <c r="A209" t="s">
        <v>769</v>
      </c>
      <c r="B209" t="s">
        <v>770</v>
      </c>
      <c r="C209" t="s">
        <v>771</v>
      </c>
      <c r="D209" t="s">
        <v>772</v>
      </c>
      <c r="E209">
        <v>30</v>
      </c>
      <c r="F209" t="b" cm="1">
        <f t="array" ref="F209">IFERROR(OR(_xlfn._xlws.FILTER(#REF!,#REF!=Table1[[#This Row],[companyid]])),FALSE)</f>
        <v>0</v>
      </c>
      <c r="G209">
        <v>58028</v>
      </c>
    </row>
    <row r="210" spans="1:7" x14ac:dyDescent="0.25">
      <c r="A210" t="s">
        <v>769</v>
      </c>
      <c r="B210" t="s">
        <v>773</v>
      </c>
      <c r="C210" t="s">
        <v>275</v>
      </c>
      <c r="D210" t="s">
        <v>772</v>
      </c>
      <c r="E210">
        <v>10</v>
      </c>
      <c r="F210" t="b" cm="1">
        <f t="array" ref="F210">IFERROR(OR(_xlfn._xlws.FILTER(#REF!,#REF!=Table1[[#This Row],[companyid]])),FALSE)</f>
        <v>0</v>
      </c>
      <c r="G210">
        <v>58028</v>
      </c>
    </row>
    <row r="211" spans="1:7" x14ac:dyDescent="0.25">
      <c r="A211" t="s">
        <v>769</v>
      </c>
      <c r="B211" t="s">
        <v>773</v>
      </c>
      <c r="C211" t="s">
        <v>771</v>
      </c>
      <c r="D211" t="s">
        <v>772</v>
      </c>
      <c r="E211">
        <v>6</v>
      </c>
      <c r="F211" t="b" cm="1">
        <f t="array" ref="F211">IFERROR(OR(_xlfn._xlws.FILTER(#REF!,#REF!=Table1[[#This Row],[companyid]])),FALSE)</f>
        <v>0</v>
      </c>
      <c r="G211">
        <v>58028</v>
      </c>
    </row>
    <row r="212" spans="1:7" x14ac:dyDescent="0.25">
      <c r="A212" t="s">
        <v>774</v>
      </c>
      <c r="B212" t="s">
        <v>775</v>
      </c>
      <c r="C212" t="s">
        <v>271</v>
      </c>
      <c r="D212" t="s">
        <v>776</v>
      </c>
      <c r="E212">
        <v>59</v>
      </c>
      <c r="F212" t="b" cm="1">
        <f t="array" ref="F212">IFERROR(OR(_xlfn._xlws.FILTER(#REF!,#REF!=Table1[[#This Row],[companyid]])),FALSE)</f>
        <v>0</v>
      </c>
      <c r="G212">
        <v>58060</v>
      </c>
    </row>
    <row r="213" spans="1:7" x14ac:dyDescent="0.25">
      <c r="A213" t="s">
        <v>777</v>
      </c>
      <c r="B213" t="s">
        <v>778</v>
      </c>
      <c r="C213" t="s">
        <v>379</v>
      </c>
      <c r="D213" t="s">
        <v>779</v>
      </c>
      <c r="E213">
        <v>29</v>
      </c>
      <c r="F213" t="b" cm="1">
        <f t="array" ref="F213">IFERROR(OR(_xlfn._xlws.FILTER(#REF!,#REF!=Table1[[#This Row],[companyid]])),FALSE)</f>
        <v>0</v>
      </c>
      <c r="G213">
        <v>58053</v>
      </c>
    </row>
    <row r="214" spans="1:7" x14ac:dyDescent="0.25">
      <c r="A214" t="s">
        <v>780</v>
      </c>
      <c r="B214" t="s">
        <v>781</v>
      </c>
      <c r="C214" t="s">
        <v>588</v>
      </c>
      <c r="D214" t="s">
        <v>782</v>
      </c>
      <c r="E214">
        <v>70</v>
      </c>
      <c r="F214" t="b" cm="1">
        <f t="array" ref="F214">IFERROR(OR(_xlfn._xlws.FILTER(#REF!,#REF!=Table1[[#This Row],[companyid]])),FALSE)</f>
        <v>0</v>
      </c>
      <c r="G214">
        <v>58011</v>
      </c>
    </row>
    <row r="215" spans="1:7" x14ac:dyDescent="0.25">
      <c r="A215" t="s">
        <v>780</v>
      </c>
      <c r="B215" t="s">
        <v>783</v>
      </c>
      <c r="C215" t="s">
        <v>588</v>
      </c>
      <c r="D215" t="s">
        <v>782</v>
      </c>
      <c r="E215">
        <v>44</v>
      </c>
      <c r="F215" t="b" cm="1">
        <f t="array" ref="F215">IFERROR(OR(_xlfn._xlws.FILTER(#REF!,#REF!=Table1[[#This Row],[companyid]])),FALSE)</f>
        <v>0</v>
      </c>
      <c r="G215">
        <v>58011</v>
      </c>
    </row>
    <row r="216" spans="1:7" x14ac:dyDescent="0.25">
      <c r="A216" t="s">
        <v>784</v>
      </c>
      <c r="B216" t="s">
        <v>785</v>
      </c>
      <c r="C216" t="s">
        <v>786</v>
      </c>
      <c r="D216" t="s">
        <v>787</v>
      </c>
      <c r="E216">
        <v>9</v>
      </c>
      <c r="F216" t="b" cm="1">
        <f t="array" ref="F216">IFERROR(OR(_xlfn._xlws.FILTER(#REF!,#REF!=Table1[[#This Row],[companyid]])),FALSE)</f>
        <v>0</v>
      </c>
      <c r="G216">
        <v>58005</v>
      </c>
    </row>
    <row r="217" spans="1:7" x14ac:dyDescent="0.25">
      <c r="A217" t="s">
        <v>788</v>
      </c>
      <c r="B217" t="s">
        <v>789</v>
      </c>
      <c r="C217" t="s">
        <v>241</v>
      </c>
      <c r="D217" t="s">
        <v>790</v>
      </c>
      <c r="E217">
        <v>33</v>
      </c>
      <c r="F217" t="b" cm="1">
        <f t="array" ref="F217">IFERROR(OR(_xlfn._xlws.FILTER(#REF!,#REF!=Table1[[#This Row],[companyid]])),FALSE)</f>
        <v>0</v>
      </c>
      <c r="G217">
        <v>58003</v>
      </c>
    </row>
    <row r="218" spans="1:7" x14ac:dyDescent="0.25">
      <c r="A218" t="s">
        <v>791</v>
      </c>
      <c r="B218" t="s">
        <v>792</v>
      </c>
      <c r="C218" t="s">
        <v>446</v>
      </c>
      <c r="D218" t="s">
        <v>793</v>
      </c>
      <c r="E218">
        <v>34</v>
      </c>
      <c r="F218" t="b" cm="1">
        <f t="array" ref="F218">IFERROR(OR(_xlfn._xlws.FILTER(#REF!,#REF!=Table1[[#This Row],[companyid]])),FALSE)</f>
        <v>0</v>
      </c>
      <c r="G218">
        <v>58071</v>
      </c>
    </row>
    <row r="219" spans="1:7" x14ac:dyDescent="0.25">
      <c r="A219" t="s">
        <v>791</v>
      </c>
      <c r="B219" t="s">
        <v>792</v>
      </c>
      <c r="C219" t="s">
        <v>446</v>
      </c>
      <c r="D219" t="s">
        <v>794</v>
      </c>
      <c r="E219">
        <v>13</v>
      </c>
      <c r="F219" t="b" cm="1">
        <f t="array" ref="F219">IFERROR(OR(_xlfn._xlws.FILTER(#REF!,#REF!=Table1[[#This Row],[companyid]])),FALSE)</f>
        <v>0</v>
      </c>
      <c r="G219">
        <v>58071</v>
      </c>
    </row>
    <row r="220" spans="1:7" x14ac:dyDescent="0.25">
      <c r="A220" t="s">
        <v>795</v>
      </c>
      <c r="B220" t="s">
        <v>796</v>
      </c>
      <c r="C220" t="s">
        <v>797</v>
      </c>
      <c r="D220" t="s">
        <v>798</v>
      </c>
      <c r="E220">
        <v>14</v>
      </c>
      <c r="F220" t="b" cm="1">
        <f t="array" ref="F220">IFERROR(OR(_xlfn._xlws.FILTER(#REF!,#REF!=Table1[[#This Row],[companyid]])),FALSE)</f>
        <v>0</v>
      </c>
      <c r="G220">
        <v>58142</v>
      </c>
    </row>
    <row r="221" spans="1:7" x14ac:dyDescent="0.25">
      <c r="A221" t="s">
        <v>799</v>
      </c>
      <c r="B221" t="s">
        <v>800</v>
      </c>
      <c r="C221" t="s">
        <v>437</v>
      </c>
      <c r="D221" t="s">
        <v>801</v>
      </c>
      <c r="E221">
        <v>12</v>
      </c>
      <c r="F221" t="b" cm="1">
        <f t="array" ref="F221">IFERROR(OR(_xlfn._xlws.FILTER(#REF!,#REF!=Table1[[#This Row],[companyid]])),FALSE)</f>
        <v>0</v>
      </c>
      <c r="G221">
        <v>117081</v>
      </c>
    </row>
    <row r="222" spans="1:7" x14ac:dyDescent="0.25">
      <c r="A222" t="s">
        <v>802</v>
      </c>
      <c r="B222" t="s">
        <v>803</v>
      </c>
      <c r="C222" t="s">
        <v>446</v>
      </c>
      <c r="D222" t="s">
        <v>804</v>
      </c>
      <c r="E222">
        <v>26</v>
      </c>
      <c r="F222" t="b" cm="1">
        <f t="array" ref="F222">IFERROR(OR(_xlfn._xlws.FILTER(#REF!,#REF!=Table1[[#This Row],[companyid]])),FALSE)</f>
        <v>0</v>
      </c>
      <c r="G222">
        <v>58160</v>
      </c>
    </row>
    <row r="223" spans="1:7" x14ac:dyDescent="0.25">
      <c r="A223" t="s">
        <v>802</v>
      </c>
      <c r="B223" t="s">
        <v>805</v>
      </c>
      <c r="C223" t="s">
        <v>446</v>
      </c>
      <c r="D223" t="s">
        <v>804</v>
      </c>
      <c r="E223">
        <v>11</v>
      </c>
      <c r="F223" t="b" cm="1">
        <f t="array" ref="F223">IFERROR(OR(_xlfn._xlws.FILTER(#REF!,#REF!=Table1[[#This Row],[companyid]])),FALSE)</f>
        <v>0</v>
      </c>
      <c r="G223">
        <v>58160</v>
      </c>
    </row>
    <row r="224" spans="1:7" x14ac:dyDescent="0.25">
      <c r="A224" t="s">
        <v>806</v>
      </c>
      <c r="B224" t="s">
        <v>807</v>
      </c>
      <c r="C224" t="s">
        <v>808</v>
      </c>
      <c r="D224" t="s">
        <v>809</v>
      </c>
      <c r="E224">
        <v>35</v>
      </c>
      <c r="F224" t="b" cm="1">
        <f t="array" ref="F224">IFERROR(OR(_xlfn._xlws.FILTER(#REF!,#REF!=Table1[[#This Row],[companyid]])),FALSE)</f>
        <v>0</v>
      </c>
      <c r="G224">
        <v>58155</v>
      </c>
    </row>
    <row r="225" spans="1:7" x14ac:dyDescent="0.25">
      <c r="A225" t="s">
        <v>806</v>
      </c>
      <c r="B225" t="s">
        <v>810</v>
      </c>
      <c r="C225" t="s">
        <v>811</v>
      </c>
      <c r="D225" t="s">
        <v>812</v>
      </c>
      <c r="E225">
        <v>22</v>
      </c>
      <c r="F225" t="b" cm="1">
        <f t="array" ref="F225">IFERROR(OR(_xlfn._xlws.FILTER(#REF!,#REF!=Table1[[#This Row],[companyid]])),FALSE)</f>
        <v>0</v>
      </c>
      <c r="G225">
        <v>58155</v>
      </c>
    </row>
    <row r="226" spans="1:7" x14ac:dyDescent="0.25">
      <c r="A226" t="s">
        <v>813</v>
      </c>
      <c r="B226" t="s">
        <v>396</v>
      </c>
      <c r="C226" t="s">
        <v>397</v>
      </c>
      <c r="D226" t="s">
        <v>442</v>
      </c>
      <c r="E226">
        <v>12</v>
      </c>
      <c r="F226" t="b" cm="1">
        <f t="array" ref="F226">IFERROR(OR(_xlfn._xlws.FILTER(#REF!,#REF!=Table1[[#This Row],[companyid]])),FALSE)</f>
        <v>0</v>
      </c>
      <c r="G226">
        <v>58079</v>
      </c>
    </row>
    <row r="227" spans="1:7" x14ac:dyDescent="0.25">
      <c r="A227" t="s">
        <v>813</v>
      </c>
      <c r="B227" t="s">
        <v>814</v>
      </c>
      <c r="C227" t="s">
        <v>487</v>
      </c>
      <c r="D227" t="s">
        <v>442</v>
      </c>
      <c r="E227">
        <v>3</v>
      </c>
      <c r="F227" t="b" cm="1">
        <f t="array" ref="F227">IFERROR(OR(_xlfn._xlws.FILTER(#REF!,#REF!=Table1[[#This Row],[companyid]])),FALSE)</f>
        <v>0</v>
      </c>
      <c r="G227">
        <v>58079</v>
      </c>
    </row>
    <row r="228" spans="1:7" x14ac:dyDescent="0.25">
      <c r="A228" t="s">
        <v>815</v>
      </c>
      <c r="B228" t="s">
        <v>816</v>
      </c>
      <c r="C228" t="s">
        <v>817</v>
      </c>
      <c r="D228" t="s">
        <v>818</v>
      </c>
      <c r="E228">
        <v>46</v>
      </c>
      <c r="F228" t="b" cm="1">
        <f t="array" ref="F228">IFERROR(OR(_xlfn._xlws.FILTER(#REF!,#REF!=Table1[[#This Row],[companyid]])),FALSE)</f>
        <v>0</v>
      </c>
      <c r="G228">
        <v>58234</v>
      </c>
    </row>
    <row r="229" spans="1:7" x14ac:dyDescent="0.25">
      <c r="A229" t="s">
        <v>819</v>
      </c>
      <c r="B229" t="s">
        <v>820</v>
      </c>
      <c r="C229" t="s">
        <v>254</v>
      </c>
      <c r="D229" t="s">
        <v>821</v>
      </c>
      <c r="E229">
        <v>93</v>
      </c>
      <c r="F229" t="b" cm="1">
        <f t="array" ref="F229">IFERROR(OR(_xlfn._xlws.FILTER(#REF!,#REF!=Table1[[#This Row],[companyid]])),FALSE)</f>
        <v>0</v>
      </c>
      <c r="G229">
        <v>58227</v>
      </c>
    </row>
    <row r="230" spans="1:7" x14ac:dyDescent="0.25">
      <c r="A230" t="s">
        <v>822</v>
      </c>
      <c r="B230" t="s">
        <v>823</v>
      </c>
      <c r="C230" t="s">
        <v>360</v>
      </c>
      <c r="D230" t="s">
        <v>824</v>
      </c>
      <c r="E230">
        <v>14</v>
      </c>
      <c r="F230" t="b" cm="1">
        <f t="array" ref="F230">IFERROR(OR(_xlfn._xlws.FILTER(#REF!,#REF!=Table1[[#This Row],[companyid]])),FALSE)</f>
        <v>0</v>
      </c>
      <c r="G230">
        <v>58246</v>
      </c>
    </row>
    <row r="231" spans="1:7" x14ac:dyDescent="0.25">
      <c r="A231" t="s">
        <v>822</v>
      </c>
      <c r="B231" t="s">
        <v>823</v>
      </c>
      <c r="C231" t="s">
        <v>360</v>
      </c>
      <c r="D231" t="s">
        <v>825</v>
      </c>
      <c r="E231">
        <v>8</v>
      </c>
      <c r="F231" t="b" cm="1">
        <f t="array" ref="F231">IFERROR(OR(_xlfn._xlws.FILTER(#REF!,#REF!=Table1[[#This Row],[companyid]])),FALSE)</f>
        <v>0</v>
      </c>
      <c r="G231">
        <v>58246</v>
      </c>
    </row>
    <row r="232" spans="1:7" x14ac:dyDescent="0.25">
      <c r="A232" t="s">
        <v>826</v>
      </c>
      <c r="B232" t="s">
        <v>827</v>
      </c>
      <c r="C232" t="s">
        <v>828</v>
      </c>
      <c r="D232" t="s">
        <v>829</v>
      </c>
      <c r="E232">
        <v>52</v>
      </c>
      <c r="F232" t="b" cm="1">
        <f t="array" ref="F232">IFERROR(OR(_xlfn._xlws.FILTER(#REF!,#REF!=Table1[[#This Row],[companyid]])),FALSE)</f>
        <v>0</v>
      </c>
      <c r="G232">
        <v>58202</v>
      </c>
    </row>
  </sheetData>
  <sheetProtection algorithmName="SHA-512" hashValue="H0hVsru3lnKNqu7MeXudCkJaCvl7H9/zbMNdFXX1GDRnnbbV508idXPC4cyzQ651Q6JZWJQT6gUyaM30Dv+QRA==" saltValue="0Z+bXVMNu0W2NlmRyfMACQ==" spinCount="100000" sheet="1" objects="1" scenarios="1"/>
  <protectedRanges>
    <protectedRange sqref="D203:D261" name="Addresses"/>
  </protectedRanges>
  <phoneticPr fontId="3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52F78-5E32-41A8-9D26-27C07BA016CC}">
  <sheetPr codeName="Sheet14"/>
  <dimension ref="A1:AT2"/>
  <sheetViews>
    <sheetView workbookViewId="0">
      <selection activeCell="D34" sqref="D34"/>
    </sheetView>
  </sheetViews>
  <sheetFormatPr defaultRowHeight="15" x14ac:dyDescent="0.25"/>
  <cols>
    <col min="1" max="1" width="13.28515625" bestFit="1" customWidth="1"/>
    <col min="2" max="2" width="9.85546875" bestFit="1" customWidth="1"/>
    <col min="3" max="3" width="15.7109375" bestFit="1" customWidth="1"/>
    <col min="4" max="4" width="40.28515625" bestFit="1" customWidth="1"/>
    <col min="5" max="5" width="11.140625" bestFit="1" customWidth="1"/>
    <col min="6" max="6" width="14.7109375" bestFit="1" customWidth="1"/>
    <col min="7" max="7" width="13.5703125" bestFit="1" customWidth="1"/>
    <col min="8" max="8" width="36.28515625" bestFit="1" customWidth="1"/>
    <col min="9" max="9" width="49.42578125" bestFit="1" customWidth="1"/>
    <col min="10" max="10" width="13.85546875" bestFit="1" customWidth="1"/>
    <col min="11" max="11" width="10.7109375" bestFit="1" customWidth="1"/>
    <col min="12" max="12" width="15.85546875" bestFit="1" customWidth="1"/>
    <col min="13" max="13" width="10.42578125" bestFit="1" customWidth="1"/>
    <col min="14" max="14" width="17.7109375" bestFit="1" customWidth="1"/>
    <col min="15" max="15" width="20.85546875" bestFit="1" customWidth="1"/>
    <col min="16" max="16" width="25.5703125" bestFit="1" customWidth="1"/>
    <col min="17" max="17" width="7.7109375" bestFit="1" customWidth="1"/>
    <col min="18" max="18" width="17.140625" bestFit="1" customWidth="1"/>
    <col min="19" max="19" width="17.5703125" bestFit="1" customWidth="1"/>
    <col min="20" max="20" width="14" bestFit="1" customWidth="1"/>
    <col min="21" max="21" width="9.5703125" bestFit="1" customWidth="1"/>
    <col min="22" max="22" width="8.5703125" bestFit="1" customWidth="1"/>
    <col min="23" max="23" width="20" bestFit="1" customWidth="1"/>
    <col min="24" max="24" width="19.140625" bestFit="1" customWidth="1"/>
    <col min="25" max="25" width="24.140625" bestFit="1" customWidth="1"/>
    <col min="26" max="26" width="11.85546875" bestFit="1" customWidth="1"/>
    <col min="27" max="27" width="26.7109375" bestFit="1" customWidth="1"/>
    <col min="28" max="28" width="36.28515625" bestFit="1" customWidth="1"/>
    <col min="29" max="29" width="20.5703125" bestFit="1" customWidth="1"/>
    <col min="30" max="30" width="22.5703125" bestFit="1" customWidth="1"/>
    <col min="31" max="31" width="13.42578125" bestFit="1" customWidth="1"/>
    <col min="32" max="32" width="8.42578125" bestFit="1" customWidth="1"/>
    <col min="33" max="33" width="12" bestFit="1" customWidth="1"/>
    <col min="34" max="34" width="11.7109375" bestFit="1" customWidth="1"/>
    <col min="35" max="35" width="7.28515625" bestFit="1" customWidth="1"/>
    <col min="36" max="36" width="15.5703125" bestFit="1" customWidth="1"/>
    <col min="37" max="37" width="15.140625" bestFit="1" customWidth="1"/>
    <col min="38" max="38" width="17.85546875" bestFit="1" customWidth="1"/>
    <col min="39" max="39" width="16.5703125" bestFit="1" customWidth="1"/>
    <col min="40" max="40" width="19.28515625" bestFit="1" customWidth="1"/>
    <col min="41" max="41" width="22.140625" bestFit="1" customWidth="1"/>
    <col min="42" max="42" width="17.7109375" bestFit="1" customWidth="1"/>
    <col min="43" max="43" width="15.140625" bestFit="1" customWidth="1"/>
    <col min="44" max="44" width="18.85546875" bestFit="1" customWidth="1"/>
    <col min="45" max="45" width="20.7109375" bestFit="1" customWidth="1"/>
    <col min="46" max="46" width="23" bestFit="1" customWidth="1"/>
    <col min="47" max="47" width="24.28515625" bestFit="1" customWidth="1"/>
    <col min="48" max="48" width="49.42578125" bestFit="1" customWidth="1"/>
  </cols>
  <sheetData>
    <row r="1" spans="1:46" x14ac:dyDescent="0.25">
      <c r="A1" t="s">
        <v>943</v>
      </c>
      <c r="B1" t="s">
        <v>889</v>
      </c>
      <c r="C1" t="s">
        <v>895</v>
      </c>
      <c r="D1" t="s">
        <v>892</v>
      </c>
      <c r="E1" t="s">
        <v>893</v>
      </c>
      <c r="F1" t="s">
        <v>905</v>
      </c>
      <c r="G1" t="s">
        <v>944</v>
      </c>
      <c r="H1" t="s">
        <v>888</v>
      </c>
      <c r="I1" t="s">
        <v>887</v>
      </c>
      <c r="J1" t="s">
        <v>945</v>
      </c>
      <c r="K1" t="s">
        <v>946</v>
      </c>
      <c r="L1" t="s">
        <v>947</v>
      </c>
      <c r="M1" t="s">
        <v>948</v>
      </c>
      <c r="N1" t="s">
        <v>949</v>
      </c>
      <c r="O1" t="s">
        <v>950</v>
      </c>
      <c r="P1" t="s">
        <v>951</v>
      </c>
      <c r="Q1" t="s">
        <v>952</v>
      </c>
      <c r="R1" t="s">
        <v>953</v>
      </c>
      <c r="S1" t="s">
        <v>954</v>
      </c>
      <c r="T1" t="s">
        <v>955</v>
      </c>
      <c r="U1" t="s">
        <v>956</v>
      </c>
      <c r="V1" t="s">
        <v>957</v>
      </c>
      <c r="W1" t="s">
        <v>927</v>
      </c>
      <c r="X1" t="s">
        <v>926</v>
      </c>
      <c r="Y1" t="s">
        <v>958</v>
      </c>
      <c r="Z1" t="s">
        <v>959</v>
      </c>
      <c r="AA1" t="s">
        <v>960</v>
      </c>
      <c r="AB1" t="s">
        <v>961</v>
      </c>
      <c r="AC1" t="s">
        <v>962</v>
      </c>
      <c r="AD1" t="s">
        <v>963</v>
      </c>
      <c r="AE1" t="s">
        <v>964</v>
      </c>
      <c r="AF1" t="s">
        <v>965</v>
      </c>
      <c r="AG1" t="s">
        <v>138</v>
      </c>
      <c r="AH1" t="s">
        <v>966</v>
      </c>
      <c r="AI1" t="s">
        <v>967</v>
      </c>
      <c r="AJ1" t="s">
        <v>968</v>
      </c>
      <c r="AK1" t="s">
        <v>969</v>
      </c>
      <c r="AL1" t="s">
        <v>970</v>
      </c>
      <c r="AM1" t="s">
        <v>971</v>
      </c>
      <c r="AN1" t="s">
        <v>972</v>
      </c>
      <c r="AO1" t="s">
        <v>973</v>
      </c>
      <c r="AP1" t="s">
        <v>974</v>
      </c>
      <c r="AQ1" t="s">
        <v>975</v>
      </c>
      <c r="AR1" t="s">
        <v>976</v>
      </c>
      <c r="AS1" t="s">
        <v>977</v>
      </c>
      <c r="AT1" t="s">
        <v>978</v>
      </c>
    </row>
    <row r="2" spans="1:46" x14ac:dyDescent="0.25">
      <c r="D2" s="149"/>
      <c r="E2" s="149"/>
      <c r="H2" s="149"/>
      <c r="I2" s="149"/>
      <c r="J2" s="149"/>
      <c r="K2" s="149"/>
      <c r="O2" s="149"/>
      <c r="P2" s="149"/>
      <c r="S2" s="149"/>
      <c r="AA2" s="149"/>
      <c r="AB2" s="149"/>
      <c r="AD2" s="149"/>
      <c r="AE2" s="149"/>
      <c r="AM2" s="150"/>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1BD7B-1D47-4774-8AD4-1314A34BD737}">
  <sheetPr codeName="Sheet6"/>
  <dimension ref="A1:CC1"/>
  <sheetViews>
    <sheetView topLeftCell="BE1" workbookViewId="0">
      <selection activeCell="BJ22" sqref="BJ22"/>
    </sheetView>
  </sheetViews>
  <sheetFormatPr defaultRowHeight="15" x14ac:dyDescent="0.25"/>
  <cols>
    <col min="1" max="1" width="14" bestFit="1" customWidth="1"/>
    <col min="2" max="2" width="13.85546875" bestFit="1" customWidth="1"/>
    <col min="3" max="3" width="81.140625" bestFit="1" customWidth="1"/>
    <col min="4" max="4" width="19.28515625" bestFit="1" customWidth="1"/>
    <col min="5" max="5" width="20.140625" bestFit="1" customWidth="1"/>
    <col min="6" max="6" width="16.7109375" bestFit="1" customWidth="1"/>
    <col min="7" max="7" width="16" bestFit="1" customWidth="1"/>
    <col min="8" max="8" width="14.140625" bestFit="1" customWidth="1"/>
    <col min="9" max="9" width="14.28515625" bestFit="1" customWidth="1"/>
    <col min="10" max="10" width="12.140625" bestFit="1" customWidth="1"/>
    <col min="11" max="11" width="26.28515625" bestFit="1" customWidth="1"/>
    <col min="12" max="12" width="22.28515625" bestFit="1" customWidth="1"/>
    <col min="13" max="13" width="22.42578125" bestFit="1" customWidth="1"/>
    <col min="14" max="14" width="20.28515625" bestFit="1" customWidth="1"/>
    <col min="15" max="15" width="34.140625" bestFit="1" customWidth="1"/>
    <col min="16" max="16" width="20" bestFit="1" customWidth="1"/>
    <col min="17" max="17" width="19.140625" bestFit="1" customWidth="1"/>
    <col min="18" max="18" width="13.5703125" bestFit="1" customWidth="1"/>
    <col min="19" max="19" width="20.5703125" bestFit="1" customWidth="1"/>
    <col min="20" max="20" width="11.42578125" bestFit="1" customWidth="1"/>
    <col min="21" max="21" width="18.85546875" bestFit="1" customWidth="1"/>
    <col min="22" max="22" width="18.42578125" bestFit="1" customWidth="1"/>
    <col min="23" max="23" width="14.7109375" bestFit="1" customWidth="1"/>
    <col min="24" max="24" width="18.85546875" bestFit="1" customWidth="1"/>
    <col min="25" max="25" width="20.85546875" bestFit="1" customWidth="1"/>
    <col min="26" max="26" width="17.140625" bestFit="1" customWidth="1"/>
    <col min="27" max="27" width="14.85546875" bestFit="1" customWidth="1"/>
    <col min="28" max="28" width="13.140625" bestFit="1" customWidth="1"/>
    <col min="29" max="29" width="16.42578125" bestFit="1" customWidth="1"/>
    <col min="30" max="30" width="14.140625" bestFit="1" customWidth="1"/>
    <col min="31" max="31" width="18.5703125" bestFit="1" customWidth="1"/>
    <col min="32" max="32" width="21" bestFit="1" customWidth="1"/>
    <col min="33" max="33" width="18.7109375" bestFit="1" customWidth="1"/>
    <col min="34" max="34" width="22.7109375" bestFit="1" customWidth="1"/>
    <col min="35" max="35" width="20.5703125" bestFit="1" customWidth="1"/>
    <col min="36" max="36" width="21.5703125" bestFit="1" customWidth="1"/>
    <col min="37" max="37" width="20.42578125" bestFit="1" customWidth="1"/>
    <col min="38" max="38" width="14.7109375" bestFit="1" customWidth="1"/>
    <col min="39" max="39" width="14.42578125" bestFit="1" customWidth="1"/>
    <col min="40" max="40" width="19.140625" bestFit="1" customWidth="1"/>
    <col min="41" max="41" width="31.42578125" bestFit="1" customWidth="1"/>
    <col min="42" max="42" width="30.7109375" bestFit="1" customWidth="1"/>
    <col min="43" max="43" width="19.85546875" bestFit="1" customWidth="1"/>
    <col min="44" max="44" width="23.7109375" bestFit="1" customWidth="1"/>
    <col min="45" max="45" width="14.28515625" bestFit="1" customWidth="1"/>
    <col min="46" max="46" width="16.7109375" bestFit="1" customWidth="1"/>
    <col min="47" max="47" width="14.42578125" bestFit="1" customWidth="1"/>
    <col min="48" max="48" width="15.7109375" bestFit="1" customWidth="1"/>
    <col min="49" max="49" width="22.42578125" bestFit="1" customWidth="1"/>
    <col min="50" max="50" width="11.140625" bestFit="1" customWidth="1"/>
    <col min="51" max="51" width="40.28515625" bestFit="1" customWidth="1"/>
    <col min="52" max="52" width="17.85546875" bestFit="1" customWidth="1"/>
    <col min="53" max="53" width="19" bestFit="1" customWidth="1"/>
    <col min="54" max="54" width="9.85546875" bestFit="1" customWidth="1"/>
    <col min="55" max="55" width="36.28515625" bestFit="1" customWidth="1"/>
    <col min="56" max="56" width="49.42578125" bestFit="1" customWidth="1"/>
    <col min="57" max="57" width="17" bestFit="1" customWidth="1"/>
    <col min="58" max="58" width="13.28515625" bestFit="1" customWidth="1"/>
    <col min="59" max="59" width="44.42578125" bestFit="1" customWidth="1"/>
    <col min="60" max="60" width="18.28515625" bestFit="1" customWidth="1"/>
    <col min="61" max="61" width="18.7109375" bestFit="1" customWidth="1"/>
    <col min="62" max="62" width="20.140625" bestFit="1" customWidth="1"/>
    <col min="63" max="63" width="81.140625" bestFit="1" customWidth="1"/>
    <col min="64" max="64" width="20.5703125" bestFit="1" customWidth="1"/>
    <col min="65" max="65" width="16.7109375" bestFit="1" customWidth="1"/>
    <col min="66" max="66" width="31.42578125" bestFit="1" customWidth="1"/>
    <col min="67" max="67" width="16" bestFit="1" customWidth="1"/>
    <col min="68" max="68" width="16.140625" bestFit="1" customWidth="1"/>
    <col min="69" max="69" width="13.85546875" bestFit="1" customWidth="1"/>
    <col min="70" max="70" width="28.140625" bestFit="1" customWidth="1"/>
    <col min="71" max="71" width="22.7109375" bestFit="1" customWidth="1"/>
    <col min="72" max="72" width="20.140625" bestFit="1" customWidth="1"/>
    <col min="73" max="75" width="18.85546875" bestFit="1" customWidth="1"/>
    <col min="76" max="76" width="19.85546875" bestFit="1" customWidth="1"/>
    <col min="77" max="77" width="72.7109375" bestFit="1" customWidth="1"/>
    <col min="78" max="78" width="16.85546875" bestFit="1" customWidth="1"/>
    <col min="79" max="79" width="12.85546875" bestFit="1" customWidth="1"/>
    <col min="80" max="80" width="10.85546875" bestFit="1" customWidth="1"/>
    <col min="81" max="81" width="18" bestFit="1" customWidth="1"/>
  </cols>
  <sheetData>
    <row r="1" spans="1:81" x14ac:dyDescent="0.25">
      <c r="A1" t="s">
        <v>942</v>
      </c>
      <c r="B1" t="s">
        <v>941</v>
      </c>
      <c r="C1" t="s">
        <v>940</v>
      </c>
      <c r="D1" t="s">
        <v>939</v>
      </c>
      <c r="E1" t="s">
        <v>938</v>
      </c>
      <c r="F1" t="s">
        <v>937</v>
      </c>
      <c r="G1" t="s">
        <v>936</v>
      </c>
      <c r="H1" t="s">
        <v>935</v>
      </c>
      <c r="I1" t="s">
        <v>934</v>
      </c>
      <c r="J1" t="s">
        <v>933</v>
      </c>
      <c r="K1" t="s">
        <v>932</v>
      </c>
      <c r="L1" t="s">
        <v>931</v>
      </c>
      <c r="M1" t="s">
        <v>930</v>
      </c>
      <c r="N1" t="s">
        <v>929</v>
      </c>
      <c r="O1" t="s">
        <v>928</v>
      </c>
      <c r="P1" t="s">
        <v>927</v>
      </c>
      <c r="Q1" t="s">
        <v>926</v>
      </c>
      <c r="R1" t="s">
        <v>925</v>
      </c>
      <c r="S1" t="s">
        <v>924</v>
      </c>
      <c r="T1" t="s">
        <v>923</v>
      </c>
      <c r="U1" t="s">
        <v>922</v>
      </c>
      <c r="V1" t="s">
        <v>921</v>
      </c>
      <c r="W1" t="s">
        <v>920</v>
      </c>
      <c r="X1" t="s">
        <v>919</v>
      </c>
      <c r="Y1" t="s">
        <v>918</v>
      </c>
      <c r="Z1" t="s">
        <v>917</v>
      </c>
      <c r="AA1" t="s">
        <v>916</v>
      </c>
      <c r="AB1" t="s">
        <v>915</v>
      </c>
      <c r="AC1" t="s">
        <v>914</v>
      </c>
      <c r="AD1" t="s">
        <v>913</v>
      </c>
      <c r="AE1" t="s">
        <v>912</v>
      </c>
      <c r="AF1" t="s">
        <v>911</v>
      </c>
      <c r="AG1" t="s">
        <v>910</v>
      </c>
      <c r="AH1" t="s">
        <v>909</v>
      </c>
      <c r="AI1" t="s">
        <v>908</v>
      </c>
      <c r="AJ1" t="s">
        <v>907</v>
      </c>
      <c r="AK1" t="s">
        <v>906</v>
      </c>
      <c r="AL1" t="s">
        <v>905</v>
      </c>
      <c r="AM1" t="s">
        <v>904</v>
      </c>
      <c r="AN1" t="s">
        <v>903</v>
      </c>
      <c r="AO1" t="s">
        <v>902</v>
      </c>
      <c r="AP1" t="s">
        <v>901</v>
      </c>
      <c r="AQ1" t="s">
        <v>900</v>
      </c>
      <c r="AR1" t="s">
        <v>899</v>
      </c>
      <c r="AS1" t="s">
        <v>898</v>
      </c>
      <c r="AT1" t="s">
        <v>897</v>
      </c>
      <c r="AU1" t="s">
        <v>896</v>
      </c>
      <c r="AV1" t="s">
        <v>895</v>
      </c>
      <c r="AW1" t="s">
        <v>894</v>
      </c>
      <c r="AX1" t="s">
        <v>893</v>
      </c>
      <c r="AY1" t="s">
        <v>892</v>
      </c>
      <c r="AZ1" t="s">
        <v>891</v>
      </c>
      <c r="BA1" t="s">
        <v>890</v>
      </c>
      <c r="BB1" t="s">
        <v>889</v>
      </c>
      <c r="BC1" t="s">
        <v>888</v>
      </c>
      <c r="BD1" t="s">
        <v>887</v>
      </c>
      <c r="BE1" t="s">
        <v>886</v>
      </c>
      <c r="BF1" t="s">
        <v>885</v>
      </c>
      <c r="BG1" t="s">
        <v>884</v>
      </c>
      <c r="BH1" t="s">
        <v>883</v>
      </c>
      <c r="BI1" t="s">
        <v>882</v>
      </c>
      <c r="BJ1" t="s">
        <v>881</v>
      </c>
      <c r="BK1" t="s">
        <v>880</v>
      </c>
      <c r="BL1" t="s">
        <v>879</v>
      </c>
      <c r="BM1" t="s">
        <v>878</v>
      </c>
      <c r="BN1" t="s">
        <v>877</v>
      </c>
      <c r="BO1" t="s">
        <v>876</v>
      </c>
      <c r="BP1" t="s">
        <v>875</v>
      </c>
      <c r="BQ1" t="s">
        <v>874</v>
      </c>
      <c r="BR1" t="s">
        <v>873</v>
      </c>
      <c r="BS1" t="s">
        <v>872</v>
      </c>
      <c r="BT1" t="s">
        <v>871</v>
      </c>
      <c r="BU1" t="s">
        <v>870</v>
      </c>
      <c r="BV1" t="s">
        <v>869</v>
      </c>
      <c r="BW1" t="s">
        <v>868</v>
      </c>
      <c r="BX1" t="s">
        <v>867</v>
      </c>
      <c r="BY1" t="s">
        <v>866</v>
      </c>
      <c r="BZ1" t="s">
        <v>865</v>
      </c>
      <c r="CA1" t="s">
        <v>864</v>
      </c>
      <c r="CB1" t="s">
        <v>863</v>
      </c>
      <c r="CC1" t="s">
        <v>862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5E955BD-C94A-4157-A455-07CEF523DC9B}">
  <ds:schemaRefs>
    <ds:schemaRef ds:uri="http://schemas.microsoft.com/sharepoint/v3/contenttype/forms"/>
  </ds:schemaRefs>
</ds:datastoreItem>
</file>

<file path=customXml/itemProps2.xml><?xml version="1.0" encoding="utf-8"?>
<ds:datastoreItem xmlns:ds="http://schemas.openxmlformats.org/officeDocument/2006/customXml" ds:itemID="{4234D313-B9DD-487F-B287-E0E6CAE0AD7D}">
  <ds:schemaRefs>
    <ds:schemaRef ds:uri="a7c4c7f9-987c-475d-a26a-521e5d0f4dc5"/>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1ed8a9e0-df63-4c43-b0d4-c670c11769ef"/>
    <ds:schemaRef ds:uri="http://www.w3.org/XML/1998/namespace"/>
  </ds:schemaRefs>
</ds:datastoreItem>
</file>

<file path=customXml/itemProps3.xml><?xml version="1.0" encoding="utf-8"?>
<ds:datastoreItem xmlns:ds="http://schemas.openxmlformats.org/officeDocument/2006/customXml" ds:itemID="{E14B8016-5EDB-4F18-B213-FF8F641B8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FC46CDE-D93E-4BD0-87CF-85CAAF318E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18</vt:i4>
      </vt:variant>
    </vt:vector>
  </HeadingPairs>
  <TitlesOfParts>
    <vt:vector size="26" baseType="lpstr">
      <vt:lpstr>Worksheet</vt:lpstr>
      <vt:lpstr>Logo Page</vt:lpstr>
      <vt:lpstr>Filter Cert Data</vt:lpstr>
      <vt:lpstr>CERT AF</vt:lpstr>
      <vt:lpstr>CERT AL</vt:lpstr>
      <vt:lpstr>DropDowns</vt:lpstr>
      <vt:lpstr>MUG Table</vt:lpstr>
      <vt:lpstr>Addresses</vt:lpstr>
      <vt:lpstr>A2LA</vt:lpstr>
      <vt:lpstr>AssetId</vt:lpstr>
      <vt:lpstr>Blank</vt:lpstr>
      <vt:lpstr>ClientCompanyId</vt:lpstr>
      <vt:lpstr>Comments</vt:lpstr>
      <vt:lpstr>CommentsAF</vt:lpstr>
      <vt:lpstr>CommentsAL</vt:lpstr>
      <vt:lpstr>Condition</vt:lpstr>
      <vt:lpstr>Locator</vt:lpstr>
      <vt:lpstr>'CERT AF'!Print_Area</vt:lpstr>
      <vt:lpstr>'CERT AL'!Print_Area</vt:lpstr>
      <vt:lpstr>Worksheet!Print_Area</vt:lpstr>
      <vt:lpstr>ResultsAF</vt:lpstr>
      <vt:lpstr>ResultsAL</vt:lpstr>
      <vt:lpstr>Scales</vt:lpstr>
      <vt:lpstr>WorkItemNumber</vt:lpstr>
      <vt:lpstr>yesno</vt:lpstr>
      <vt:lpstr>yesno2</vt:lpstr>
    </vt:vector>
  </TitlesOfParts>
  <Manager/>
  <Company>Johnson Gage &amp; Inspection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3018 Rockwell</dc:title>
  <dc:subject/>
  <dc:creator>Jeff Hall</dc:creator>
  <cp:keywords/>
  <dc:description/>
  <cp:lastModifiedBy>Jeff Hall</cp:lastModifiedBy>
  <cp:revision/>
  <dcterms:created xsi:type="dcterms:W3CDTF">2014-01-02T17:50:22Z</dcterms:created>
  <dcterms:modified xsi:type="dcterms:W3CDTF">2025-04-24T00:36:55Z</dcterms:modified>
  <cp:category>Approved Software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0x010100D7106659C9D26643AA540CBD094E0397</vt:lpwstr>
  </property>
  <property fmtid="{D5CDD505-2E9C-101B-9397-08002B2CF9AE}" pid="3" name="MediaServiceImageTags">
    <vt:lpwstr/>
  </property>
</Properties>
</file>