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refreshAllConnections="1"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4F34BBF0-CEB6-400B-A2E8-DA9BFAC97EA8}" xr6:coauthVersionLast="47" xr6:coauthVersionMax="47" xr10:uidLastSave="{00000000-0000-0000-0000-000000000000}"/>
  <bookViews>
    <workbookView xWindow="-120" yWindow="-120" windowWidth="29040" windowHeight="15720" firstSheet="1" activeTab="1" xr2:uid="{00000000-000D-0000-FFFF-FFFF00000000}"/>
  </bookViews>
  <sheets>
    <sheet name="Clients" sheetId="36" state="veryHidden" r:id="rId1"/>
    <sheet name="Worksheet" sheetId="1" r:id="rId2"/>
    <sheet name="Logo Page" sheetId="5" state="hidden" r:id="rId3"/>
    <sheet name="Filter Cert Data" sheetId="29" state="hidden" r:id="rId4"/>
    <sheet name="CERT AF" sheetId="7" r:id="rId5"/>
    <sheet name="CERT AL" sheetId="2" r:id="rId6"/>
    <sheet name="DropDowns" sheetId="3" r:id="rId7"/>
    <sheet name="MUG Table" sheetId="4" state="hidden" r:id="rId8"/>
    <sheet name="Tables" sheetId="16" state="veryHidden" r:id="rId9"/>
    <sheet name="UUT" sheetId="34" state="veryHidden" r:id="rId10"/>
    <sheet name="ServiceOrderItems" sheetId="30" state="veryHidden" r:id="rId11"/>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AssetId">ServiceOrderItems[AssetId]</definedName>
    <definedName name="Blank">'Logo Page'!$C$2</definedName>
    <definedName name="ClientAssets_GetAssetByAssetId__1" localSheetId="9" hidden="1">UUT!$A$1:$AT$2</definedName>
    <definedName name="ClientCompanyId">ServiceOrderItems[ClientCompanyId]</definedName>
    <definedName name="Comments">DropDowns!$H$3:$H$7</definedName>
    <definedName name="CommentsAF">DropDowns!$H$13:$H$15</definedName>
    <definedName name="CommentsAL">DropDowns!$H$3:$H$8</definedName>
    <definedName name="Condition">DropDowns!$D$3:$D$4</definedName>
    <definedName name="ExternalData_1" localSheetId="0" hidden="1">'Clients'!$A$1:$E$2</definedName>
    <definedName name="ExternalData_4" localSheetId="8" hidden="1">Tables!$R$3:$U$16</definedName>
    <definedName name="Image">INDIRECT('Logo Page'!$A$1)</definedName>
    <definedName name="Locator">Worksheet!$LCB$524277</definedName>
    <definedName name="Picture">INDIRECT('Logo Page'!$A$1)</definedName>
    <definedName name="_xlnm.Print_Area" localSheetId="4">'CERT AF'!$A$1:$M$62</definedName>
    <definedName name="_xlnm.Print_Area" localSheetId="5">'CERT AL'!$A$1:$M$62</definedName>
    <definedName name="_xlnm.Print_Area" localSheetId="1">Worksheet!$A$1:$V$47</definedName>
    <definedName name="ResultsAF">DropDowns!$I$13:$I$15</definedName>
    <definedName name="ResultsAL">DropDowns!$I$3:$I$8</definedName>
    <definedName name="Scales">DropDowns!$B$11:$B$24</definedName>
    <definedName name="ServiceOrderItems_GetWorkItems" localSheetId="10" hidden="1">ServiceOrderItems!$A$1:$CC$2</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1" l="1"/>
  <c r="G5" i="1"/>
  <c r="J21" i="3" a="1"/>
  <c r="J21" i="3" s="1"/>
  <c r="L44" i="29"/>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D4" i="1"/>
  <c r="D9" i="1"/>
  <c r="G7" i="1"/>
  <c r="D7" i="1"/>
  <c r="D5" i="1"/>
  <c r="D8" i="1" a="1"/>
  <c r="D8" i="1" l="1"/>
  <c r="O54" i="7"/>
  <c r="O46" i="1"/>
  <c r="O47" i="1"/>
  <c r="B58" i="2" l="1"/>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K32" i="29" l="1"/>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A44" i="1"/>
  <c r="AI44" i="1" s="1"/>
  <c r="A22" i="1"/>
  <c r="AI22" i="1" s="1"/>
  <c r="O24" i="1"/>
  <c r="O31" i="1"/>
  <c r="O36" i="1"/>
  <c r="Y18" i="1"/>
  <c r="H6" i="29" s="1"/>
  <c r="Z18" i="1"/>
  <c r="O30" i="1"/>
  <c r="Q39" i="1"/>
  <c r="A40" i="1"/>
  <c r="AI40" i="1" s="1"/>
  <c r="B13" i="2"/>
  <c r="Z22" i="1"/>
  <c r="Y22" i="1"/>
  <c r="H10" i="29" s="1"/>
  <c r="Y20" i="1"/>
  <c r="H8" i="29" s="1"/>
  <c r="Z19" i="1"/>
  <c r="A24" i="1"/>
  <c r="AI24" i="1" s="1"/>
  <c r="O32" i="1"/>
  <c r="P35" i="1"/>
  <c r="I53" i="29" s="1"/>
  <c r="A30" i="1"/>
  <c r="AI30" i="1" s="1"/>
  <c r="O19" i="1"/>
  <c r="Z20" i="1"/>
  <c r="A31" i="1"/>
  <c r="AI31" i="1" s="1"/>
  <c r="A28" i="1"/>
  <c r="AI28" i="1" s="1"/>
  <c r="A38" i="1"/>
  <c r="AI38" i="1" s="1"/>
  <c r="O38" i="1"/>
  <c r="C17" i="2"/>
  <c r="O22" i="1"/>
  <c r="P31" i="1"/>
  <c r="I49" i="29" s="1"/>
  <c r="P19" i="1"/>
  <c r="I37" i="29" s="1"/>
  <c r="O23" i="1"/>
  <c r="Z24" i="1"/>
  <c r="O28" i="1"/>
  <c r="P38" i="1"/>
  <c r="I56" i="29" s="1"/>
  <c r="A43" i="1"/>
  <c r="AI43" i="1" s="1"/>
  <c r="A20" i="1"/>
  <c r="AI20" i="1" s="1"/>
  <c r="A27" i="1"/>
  <c r="AI27" i="1" s="1"/>
  <c r="A34" i="1"/>
  <c r="AI34" i="1" s="1"/>
  <c r="A32" i="1"/>
  <c r="AI32" i="1" s="1"/>
  <c r="A35" i="1"/>
  <c r="AI35" i="1" s="1"/>
  <c r="P43" i="1"/>
  <c r="I61" i="29" s="1"/>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P22" i="1"/>
  <c r="Q34" i="1"/>
  <c r="O40" i="1"/>
  <c r="A42" i="1"/>
  <c r="AI42" i="1" s="1"/>
  <c r="O44" i="1"/>
  <c r="O18" i="1"/>
  <c r="O27" i="1"/>
  <c r="O43" i="1"/>
  <c r="O35" i="1"/>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I10" i="29"/>
  <c r="AA22" i="1"/>
  <c r="R42" i="1"/>
  <c r="J52" i="29"/>
  <c r="R34" i="1"/>
  <c r="R31" i="1"/>
  <c r="Q20" i="1"/>
  <c r="R28" i="1"/>
  <c r="R27" i="1"/>
  <c r="R23" i="1"/>
  <c r="K41" i="29" s="1"/>
  <c r="R22" i="1"/>
  <c r="R24" i="1"/>
  <c r="R18" i="1"/>
  <c r="K6" i="29" s="1"/>
  <c r="R26" i="1"/>
  <c r="R19" i="1"/>
  <c r="H38" i="29"/>
  <c r="S20" i="1"/>
  <c r="H36" i="29"/>
  <c r="S18" i="1"/>
  <c r="H37" i="29"/>
  <c r="S19" i="1"/>
  <c r="R20" i="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K42" i="29"/>
  <c r="K12" i="29"/>
  <c r="H46" i="29"/>
  <c r="Q19" i="1"/>
  <c r="T19" i="1" s="1"/>
  <c r="Q18" i="1"/>
  <c r="T18" i="1" s="1"/>
  <c r="Q28" i="1"/>
  <c r="T28" i="1" s="1"/>
  <c r="T24" i="1"/>
  <c r="Q22" i="1"/>
  <c r="T22" i="1"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211570-FDC2-4CFB-A5DA-79B0F74BB0E2}" odcFile="C:\Users\JGI\Downloads\ClientAssets_GetAssetByAssetId (1).odc" keepAlive="1" name="Query - ClientAssets_GetAssetByAssetId" description="Connection to the 'ClientAssets_GetAssetByAssetId' query in the workbook." type="5" refreshedVersion="8" background="1" saveData="1">
    <dbPr connection="Provider=Microsoft.Mashup.OleDb.1;Data Source=$Workbook$;Location=ClientAssets_GetAssetByAssetId;Extended Properties=&quot;&quot;" command="SELECT * FROM [ClientAssets_GetAssetByAssetId]"/>
  </connection>
  <connection id="2" xr16:uid="{6FEFE45E-F8EA-4890-81B3-40926C5216EA}" odcFile="C:\Users\JGI\Johnson Gage and Inspection, Inc\Johnson Gage and Inspection, Inc. - Documents\General\Excel-Qualer-SDK\Clients\Clients_GetByClientCompanyId.odc" keepAlive="1" name="Query - Clients_GetByClientCompanyId" description="Connection to the 'Clients_GetByClientCompanyId' query in the workbook." type="5" refreshedVersion="8" background="1" saveData="1">
    <dbPr connection="Provider=Microsoft.Mashup.OleDb.1;Data Source=$Workbook$;Location=Clients_GetByClientCompanyId;Extended Properties=&quot;&quot;" command="SELECT * FROM [Clients_GetByClientCompanyId]"/>
  </connection>
  <connection id="3" xr16:uid="{AA1811D6-AE2F-405D-A2B0-FDAC52EED1EE}" keepAlive="1" name="Query - ServiceOrderItems_GetWorkItems" description="Connection to the 'ServiceOrderItems_GetWorkItems' query in the workbook." type="5" refreshedVersion="8" background="1" saveData="1">
    <dbPr connection="Provider=Microsoft.Mashup.OleDb.1;Data Source=$Workbook$;Location=ServiceOrderItems_GetWorkItems;Extended Properties=&quot;&quot;" command="SELECT * FROM [ServiceOrderItems_GetWorkItems]"/>
  </connection>
  <connection id="4"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5"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<sst xmlns="http://schemas.openxmlformats.org/spreadsheetml/2006/main" count="448" uniqueCount="234">
  <si>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</si>
  <si>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</si>
  <si>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</si>
  <si>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</si>
  <si>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</si>
  <si>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</si>
  <si>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</si>
  <si>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</si>
  <si>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</si>
  <si>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</si>
  <si>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</si>
  <si>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</si>
  <si>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</si>
  <si>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</si>
  <si>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</si>
  <si>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</si>
  <si>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</si>
  <si>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</si>
  <si>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</si>
  <si>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</si>
  <si>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</si>
  <si>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</si>
  <si>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</si>
  <si>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</si>
  <si>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</si>
  <si>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</si>
  <si>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</si>
  <si>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</si>
  <si>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</si>
  <si>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</si>
  <si>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</si>
  <si>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</si>
  <si>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</si>
  <si>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</si>
  <si>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</si>
  <si>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</si>
  <si>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</si>
  <si>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</si>
  <si>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</si>
  <si>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</si>
  <si>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</si>
  <si>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</si>
  <si>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</si>
  <si>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</si>
  <si>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</si>
  <si>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</si>
  <si>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</si>
  <si>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</si>
  <si>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</si>
  <si>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</si>
  <si>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</si>
  <si>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</si>
  <si>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</si>
  <si>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</si>
  <si>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</si>
  <si>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</si>
  <si>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</si>
  <si>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</si>
  <si>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</si>
  <si>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</si>
  <si>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</si>
  <si>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</si>
  <si>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</si>
  <si>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</si>
  <si>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</si>
  <si>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</si>
  <si>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</si>
  <si>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</si>
  <si>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</si>
  <si>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</si>
  <si>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</si>
  <si>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</si>
  <si>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</si>
  <si>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</si>
  <si>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</si>
  <si>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</si>
  <si>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</si>
  <si>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</si>
  <si>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</si>
  <si>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</si>
  <si>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</si>
  <si>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</si>
  <si>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</si>
  <si>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</si>
  <si>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</si>
  <si>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</si>
  <si>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</si>
  <si>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</si>
  <si>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</si>
  <si>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</si>
  <si>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</si>
  <si>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</si>
  <si>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</si>
  <si>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</si>
  <si>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</si>
  <si>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</si>
  <si>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</si>
  <si>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</si>
  <si>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</si>
  <si>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</si>
  <si>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</si>
  <si>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</si>
  <si>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</si>
  <si>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</si>
  <si>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</si>
  <si>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</si>
  <si>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</si>
  <si>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</si>
  <si>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</si>
  <si>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</si>
  <si>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</si>
  <si>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</si>
  <si>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</si>
  <si>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</si>
  <si>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</si>
  <si>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</si>
  <si>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</si>
  <si>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</si>
  <si>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</si>
  <si>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</si>
  <si>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</si>
  <si>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</si>
  <si>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</si>
  <si>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</si>
  <si>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</si>
  <si>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</si>
  <si>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</si>
  <si>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</si>
  <si>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</si>
  <si>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</si>
  <si>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</si>
  <si>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</si>
  <si>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</si>
  <si>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</si>
  <si>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</si>
  <si>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</si>
  <si>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</si>
  <si>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</si>
  <si>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</si>
  <si>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</si>
  <si>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</si>
  <si>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</si>
  <si>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</si>
  <si>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</si>
  <si>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</si>
  <si>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</si>
  <si>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</si>
  <si>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</si>
  <si>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</si>
  <si>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</si>
  <si>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</si>
  <si>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</si>
  <si>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</si>
  <si>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Address1</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</si>
  <si>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</si>
  <si>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</si>
  <si>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</si>
  <si>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</si>
  <si>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</si>
  <si>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</si>
  <si>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</si>
  <si>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</si>
  <si>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</si>
  <si>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</si>
  <si>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</si>
  <si>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</si>
  <si>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</si>
  <si>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</si>
  <si>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</si>
  <si>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</si>
  <si>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</si>
  <si>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</si>
  <si>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</si>
  <si>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</si>
  <si>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</si>
  <si>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</si>
  <si>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</si>
  <si>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</si>
  <si>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</si>
  <si>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</si>
  <si>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</si>
  <si>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</si>
  <si>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</si>
  <si>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</si>
  <si>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</si>
  <si>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</si>
  <si>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</si>
  <si>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</si>
  <si>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</si>
  <si>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</si>
  <si>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</si>
  <si>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</si>
  <si>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</si>
  <si>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</si>
  <si>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</si>
  <si>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</si>
  <si>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</si>
  <si>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</si>
  <si>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</si>
  <si>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</si>
  <si>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</si>
  <si>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</si>
  <si>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</si>
  <si>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</si>
  <si>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</si>
  <si>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</si>
  <si>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</si>
  <si>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</si>
  <si>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</si>
  <si>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</si>
  <si>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</si>
  <si>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</si>
  <si>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</si>
  <si>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</si>
  <si>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</si>
  <si>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</si>
  <si>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</si>
  <si>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</si>
  <si>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</si>
  <si>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</si>
  <si>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</si>
  <si>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</si>
  <si>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</si>
  <si>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</si>
  <si>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</si>
  <si>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Comments AF (Long)</t>
  </si>
  <si>
    <t>Comments AL (Long)</t>
  </si>
  <si>
    <t>filtered Addr</t>
  </si>
  <si>
    <t>Is Portable:</t>
  </si>
  <si>
    <t>Substring:</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</si>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</sst>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7">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30" fillId="6" borderId="19" xfId="0" applyFont="1" applyFill="1" applyBorder="1"/>
    <xf numFmtId="0" fontId="30" fillId="6" borderId="20" xfId="0" applyFont="1" applyFill="1" applyBorder="1"/>
    <xf numFmtId="0" fontId="30" fillId="6" borderId="21" xfId="0" applyFont="1" applyFill="1" applyBorder="1"/>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0" fontId="0" fillId="4" borderId="1" xfId="0" applyFill="1" applyBorder="1" applyAlignment="1">
      <alignment horizontal="center"/>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xf numFmtId="0" fontId="0" fillId="0" borderId="0" xfId="0" applyNumberFormat="1"/>
    <xf numFmtId="22" fontId="0" fillId="0" borderId="0" xfId="0" applyNumberFormat="1"/>
    <xf numFmtId="0" fontId="0" fillId="2" borderId="1" xfId="0" applyFill="1" applyBorder="1" applyProtection="1"/>
    <xf numFmtId="0" fontId="19" fillId="2" borderId="1" xfId="0" applyFont="1" applyFill="1" applyBorder="1" applyProtection="1"/>
    <xf numFmtId="0" fontId="11" fillId="2" borderId="1" xfId="0" applyFont="1" applyFill="1" applyBorder="1" applyAlignment="1" applyProtection="1">
      <alignment horizontal="left" shrinkToFit="1"/>
      <protection locked="0"/>
    </xf>
    <xf numFmtId="0" fontId="11" fillId="2" borderId="1" xfId="0" applyFont="1" applyFill="1" applyBorder="1" applyAlignment="1" applyProtection="1">
      <alignment shrinkToFit="1"/>
    </xf>
    <xf numFmtId="0" fontId="11" fillId="2" borderId="1" xfId="0" applyNumberFormat="1" applyFont="1" applyFill="1" applyBorder="1" applyAlignment="1" applyProtection="1">
      <alignment shrinkToFit="1"/>
    </xf>
    <xf numFmtId="0" fontId="11" fillId="2" borderId="1" xfId="0" applyNumberFormat="1" applyFont="1" applyFill="1" applyBorder="1" applyAlignment="1" applyProtection="1">
      <alignment horizontal="left" shrinkToFit="1"/>
    </xf>
    <xf numFmtId="0" fontId="0" fillId="2" borderId="1" xfId="0" applyFill="1" applyBorder="1" applyAlignment="1" applyProtection="1">
      <alignment shrinkToFit="1"/>
    </xf>
    <xf numFmtId="0" fontId="0" fillId="2" borderId="9" xfId="0" applyFill="1" applyBorder="1" applyProtection="1">
      <protection locked="0"/>
    </xf>
    <xf numFmtId="0" fontId="0" fillId="2" borderId="10" xfId="0" applyFill="1" applyBorder="1" applyProtection="1">
      <protection locked="0"/>
    </xf>
    <xf numFmtId="0" fontId="0" fillId="0" borderId="0" xfId="0" applyAlignment="1">
      <alignment horizontal="fill"/>
    </xf>
  </cellXfs>
  <cellStyles count="4">
    <cellStyle name="Accent1" xfId="3" builtinId="29"/>
    <cellStyle name="Normal" xfId="0" builtinId="0"/>
    <cellStyle name="Normal 2" xfId="2" xr:uid="{00000000-0005-0000-0000-000001000000}"/>
    <cellStyle name="Normal 3" xfId="1" xr:uid="{00000000-0005-0000-0000-000002000000}"/>
  </cellStyles>
  <dxfs count="33">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95"/>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19483"/>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A357F9E-F588-4742-B9EC-77C22FB2040E}" autoFormatId="16" applyNumberFormats="0" applyBorderFormats="0" applyFontFormats="0" applyPatternFormats="0" applyAlignmentFormats="0" applyWidthHeightFormats="0">
  <queryTableRefresh nextId="31">
    <queryTableFields count="5">
      <queryTableField id="28" name="Company" tableColumnId="25"/>
      <queryTableField id="23" name="Name" tableColumnId="23"/>
      <queryTableField id="19" name="Address1" tableColumnId="19"/>
      <queryTableField id="20" name="Address2" tableColumnId="20"/>
      <queryTableField id="29" name="PhoneNumber"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5"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lientAssets_GetAssetByAssetId (1)" connectionId="1" xr16:uid="{B3E9E45A-F28F-44E4-B55E-C596154AAA99}" autoFormatId="16" applyNumberFormats="0" applyBorderFormats="0" applyFontFormats="0" applyPatternFormats="0" applyAlignmentFormats="0" applyWidthHeightFormats="0">
  <queryTableRefresh nextId="49">
    <queryTableFields count="46">
      <queryTableField id="3" name="CompanyId" tableColumnId="3"/>
      <queryTableField id="4" name="AssetId" tableColumnId="4"/>
      <queryTableField id="5" name="SerialNumber" tableColumnId="5"/>
      <queryTableField id="6" name="AssetUser" tableColumnId="6"/>
      <queryTableField id="7" name="AssetTag" tableColumnId="7"/>
      <queryTableField id="8" name="EquipmentId" tableColumnId="8"/>
      <queryTableField id="9" name="AssetStatus" tableColumnId="9"/>
      <queryTableField id="10" name="AssetName" tableColumnId="10"/>
      <queryTableField id="11" name="AssetDescription" tableColumnId="11"/>
      <queryTableField id="12" name="AssetMaker" tableColumnId="12"/>
      <queryTableField id="13" name="Location" tableColumnId="13"/>
      <queryTableField id="14" name="RoomNumber" tableColumnId="14"/>
      <queryTableField id="15" name="Barcode" tableColumnId="15"/>
      <queryTableField id="16" name="LegacyIdentifier" tableColumnId="16"/>
      <queryTableField id="17" name="RootCategoryName" tableColumnId="17"/>
      <queryTableField id="18" name="CategoryName" tableColumnId="18"/>
      <queryTableField id="19" name="Class" tableColumnId="19"/>
      <queryTableField id="20" name="CustodianEmail" tableColumnId="20"/>
      <queryTableField id="21" name="CustodianName" tableColumnId="21"/>
      <queryTableField id="22" name="Department" tableColumnId="22"/>
      <queryTableField id="23" name="Station" tableColumnId="23"/>
      <queryTableField id="24" name="Notes" tableColumnId="24"/>
      <queryTableField id="25" name="DocumentNumber" tableColumnId="25"/>
      <queryTableField id="26" name="DocumentSection" tableColumnId="26"/>
      <queryTableField id="27" name="CumulativeServiceCost" tableColumnId="27"/>
      <queryTableField id="28" name="ProductId" tableColumnId="28"/>
      <queryTableField id="29" name="ManufacturerPartNumber" tableColumnId="29"/>
      <queryTableField id="30" name="ProductName" tableColumnId="30"/>
      <queryTableField id="31" name="ProductDescription" tableColumnId="31"/>
      <queryTableField id="32" name="ProductManufacturer" tableColumnId="32"/>
      <queryTableField id="33" name="SiteName" tableColumnId="33"/>
      <queryTableField id="34" name="SiteId" tableColumnId="34"/>
      <queryTableField id="35" name="Condition" tableColumnId="35"/>
      <queryTableField id="36" name="Criticality" tableColumnId="36"/>
      <queryTableField id="37" name="Pool" tableColumnId="37"/>
      <queryTableField id="38" name="PurchaseDate" tableColumnId="38"/>
      <queryTableField id="39" name="PurchaseCost" tableColumnId="39"/>
      <queryTableField id="40" name="LifeSpanMonths" tableColumnId="40"/>
      <queryTableField id="41" name="ActivationDate" tableColumnId="41"/>
      <queryTableField id="42" name="DepreciationBasis" tableColumnId="42"/>
      <queryTableField id="43" name="DepreciationMethod" tableColumnId="43"/>
      <queryTableField id="44" name="RetirementDate" tableColumnId="44"/>
      <queryTableField id="45" name="SalvageValue" tableColumnId="45"/>
      <queryTableField id="46" name="RetirmentReason" tableColumnId="46"/>
      <queryTableField id="47" name="CompositeParentId" tableColumnId="47"/>
      <queryTableField id="48" name="CompositeChildCount" tableColumnId="4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ServiceOrderItems_GetWorkItems" connectionId="3" xr16:uid="{C343F3A2-E34C-45FC-9810-4C0289910862}"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582EC16-7422-443A-8659-BAEAB9541FF5}" name="Clients" displayName="Clients" ref="A1:E2" tableType="queryTable" insertRow="1" totalsRowShown="0">
  <autoFilter ref="A1:E2" xr:uid="{3582EC16-7422-443A-8659-BAEAB9541FF5}"/>
  <tableColumns count="5">
    <tableColumn id="25" xr3:uid="{780125C1-9B09-48A8-A1A4-AB8CCE1B92A5}" uniqueName="25" name="Company" queryTableFieldId="28"/>
    <tableColumn id="23" xr3:uid="{F713F0FA-9258-4428-B7B1-57BA56D9A5D5}" uniqueName="23" name="Name" queryTableFieldId="23" dataDxfId="9"/>
    <tableColumn id="19" xr3:uid="{967DB899-A070-4D99-9755-31A81AAFE189}" uniqueName="19" name="Address1" queryTableFieldId="19"/>
    <tableColumn id="20" xr3:uid="{445ADA05-EF4C-4A9D-AADE-FBEA9E909936}" uniqueName="20" name="Address2" queryTableFieldId="20" dataDxfId="8"/>
    <tableColumn id="26" xr3:uid="{CDE1B2CA-03E4-4140-B999-045016CA3141}" uniqueName="26" name="PhoneNumber" queryTableFieldId="2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2">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31">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30"/>
    <tableColumn id="3" xr3:uid="{3C2AA4EE-2EA3-4E39-96BE-88D7CD62515A}" name="MID" dataDxfId="29"/>
    <tableColumn id="4" xr3:uid="{040AEA25-6926-41E6-8F6C-D2ACD028C50A}" name="HIGH" dataDxfId="28"/>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27"/>
    <tableColumn id="2" xr3:uid="{8DDC443A-F464-4586-BFBC-A283955AD65B}" uniqueName="2" name="LOW" queryTableFieldId="5" dataDxfId="26"/>
    <tableColumn id="3" xr3:uid="{12C80642-7065-4132-9FAE-8DCBB91FB621}" uniqueName="3" name="MID" queryTableFieldId="6" dataDxfId="25"/>
    <tableColumn id="4" xr3:uid="{7A720683-61F0-475F-B332-B3C7D41A03C7}" uniqueName="4" name="HIGH" queryTableFieldId="7" dataDxfId="2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169DAB-B0C6-4195-BC14-651C8980209A}" name="UUT" displayName="UUT" ref="A1:AT2" tableType="queryTable" insertRow="1" totalsRowShown="0">
  <autoFilter ref="A1:AT2" xr:uid="{5F169DAB-B0C6-4195-BC14-651C8980209A}"/>
  <tableColumns count="46">
    <tableColumn id="3" xr3:uid="{32BF8A7D-8513-4873-8F98-D67067CE365C}" uniqueName="3" name="CompanyId" queryTableFieldId="3"/>
    <tableColumn id="4" xr3:uid="{59397EA4-23CA-4AF2-B3FB-5AFDB1604D75}" uniqueName="4" name="AssetId" queryTableFieldId="4"/>
    <tableColumn id="5" xr3:uid="{F264739F-5FE8-4F03-A96B-1C9F7C669519}" uniqueName="5" name="SerialNumber" queryTableFieldId="5"/>
    <tableColumn id="6" xr3:uid="{C5BF57B5-39C6-4093-AA18-A47C50086891}" uniqueName="6" name="AssetUser" queryTableFieldId="6" dataDxfId="23"/>
    <tableColumn id="7" xr3:uid="{5CEEA402-82DD-4AB0-A9B0-905D017BC5CC}" uniqueName="7" name="AssetTag" queryTableFieldId="7" dataDxfId="22"/>
    <tableColumn id="8" xr3:uid="{D0881531-6BD2-44A8-A3B6-338D9EF7FE56}" uniqueName="8" name="EquipmentId" queryTableFieldId="8"/>
    <tableColumn id="9" xr3:uid="{22924580-22CC-4CC1-99D1-3CA38C9AC950}" uniqueName="9" name="AssetStatus" queryTableFieldId="9"/>
    <tableColumn id="10" xr3:uid="{99E0E7FC-F7A7-419C-8F19-8035448EE112}" uniqueName="10" name="AssetName" queryTableFieldId="10" dataDxfId="21"/>
    <tableColumn id="11" xr3:uid="{7C4C8638-6649-4618-AFED-7320BF0D0EC5}" uniqueName="11" name="AssetDescription" queryTableFieldId="11" dataDxfId="20"/>
    <tableColumn id="12" xr3:uid="{3F0739AB-CF95-4141-9518-A6638647A2D9}" uniqueName="12" name="AssetMaker" queryTableFieldId="12" dataDxfId="19"/>
    <tableColumn id="13" xr3:uid="{CAC765BB-C741-473C-9256-76D69544B1BA}" uniqueName="13" name="Location" queryTableFieldId="13" dataDxfId="18"/>
    <tableColumn id="14" xr3:uid="{79D5330A-BE9F-4292-B8DF-A64CF7E43552}" uniqueName="14" name="RoomNumber" queryTableFieldId="14"/>
    <tableColumn id="15" xr3:uid="{7F9F9AF1-59DC-4CE1-89AC-76E7050DE623}" uniqueName="15" name="Barcode" queryTableFieldId="15"/>
    <tableColumn id="16" xr3:uid="{84BFF2C9-FA0E-4BC8-AF01-6C38BB7B2829}" uniqueName="16" name="LegacyIdentifier" queryTableFieldId="16"/>
    <tableColumn id="17" xr3:uid="{C2393B61-6EA2-45D9-B95B-25C863FD5D91}" uniqueName="17" name="RootCategoryName" queryTableFieldId="17" dataDxfId="17"/>
    <tableColumn id="18" xr3:uid="{F2F9DBB8-48EC-4BFA-A70E-58859A19755C}" uniqueName="18" name="CategoryName" queryTableFieldId="18" dataDxfId="16"/>
    <tableColumn id="19" xr3:uid="{8014AFC8-872F-4212-B231-42196B9DE162}" uniqueName="19" name="Class" queryTableFieldId="19"/>
    <tableColumn id="20" xr3:uid="{C54AFFFD-6E1F-4716-A097-C14E7F702107}" uniqueName="20" name="CustodianEmail" queryTableFieldId="20"/>
    <tableColumn id="21" xr3:uid="{59F826B1-6BBA-4104-94E8-C32ECCE3E3AA}" uniqueName="21" name="CustodianName" queryTableFieldId="21" dataDxfId="15"/>
    <tableColumn id="22" xr3:uid="{5F983742-C831-4278-A7C8-A5F0B0611C9E}" uniqueName="22" name="Department" queryTableFieldId="22"/>
    <tableColumn id="23" xr3:uid="{BE0B36CB-85CE-4ACD-8455-1A277BD0643B}" uniqueName="23" name="Station" queryTableFieldId="23"/>
    <tableColumn id="24" xr3:uid="{93117D5B-5417-49DD-A843-42799557293B}" uniqueName="24" name="Notes" queryTableFieldId="24"/>
    <tableColumn id="25" xr3:uid="{13C0A32B-B5D0-46A7-ABFF-5479F2EA3BB2}" uniqueName="25" name="DocumentNumber" queryTableFieldId="25"/>
    <tableColumn id="26" xr3:uid="{4B0C0A51-0375-4279-8B3B-D2B5404870F5}" uniqueName="26" name="DocumentSection" queryTableFieldId="26"/>
    <tableColumn id="27" xr3:uid="{EE46B051-DDCE-4175-A2F8-DAC8C7FE37A1}" uniqueName="27" name="CumulativeServiceCost" queryTableFieldId="27"/>
    <tableColumn id="28" xr3:uid="{3F8D08FF-DCBC-4C68-B52D-BD19DF780AFB}" uniqueName="28" name="ProductId" queryTableFieldId="28"/>
    <tableColumn id="29" xr3:uid="{30A8A956-BAB6-4AAA-A9DE-59B6BD29CC59}" uniqueName="29" name="ManufacturerPartNumber" queryTableFieldId="29" dataDxfId="14"/>
    <tableColumn id="30" xr3:uid="{9C6E91A3-2855-4289-94A5-046C797BB057}" uniqueName="30" name="ProductName" queryTableFieldId="30" dataDxfId="13"/>
    <tableColumn id="31" xr3:uid="{4A901DD8-3823-43B8-AE10-D132A8626D56}" uniqueName="31" name="ProductDescription" queryTableFieldId="31"/>
    <tableColumn id="32" xr3:uid="{480629D5-8330-4A9C-99CD-351B6393B161}" uniqueName="32" name="ProductManufacturer" queryTableFieldId="32" dataDxfId="12"/>
    <tableColumn id="33" xr3:uid="{611C4C52-4CD2-473B-BCCB-D74DB8524CFA}" uniqueName="33" name="SiteName" queryTableFieldId="33" dataDxfId="11"/>
    <tableColumn id="34" xr3:uid="{F2E723E4-0849-428E-8654-CF0F168BE968}" uniqueName="34" name="SiteId" queryTableFieldId="34"/>
    <tableColumn id="35" xr3:uid="{19A0639F-7406-457F-B799-A4C7AE9D7722}" uniqueName="35" name="Condition" queryTableFieldId="35"/>
    <tableColumn id="36" xr3:uid="{D407EB48-256E-4066-9867-9C0DF58E3EDA}" uniqueName="36" name="Criticality" queryTableFieldId="36"/>
    <tableColumn id="37" xr3:uid="{6BB0183B-BF04-4B04-81BB-A4CC4CA9DE46}" uniqueName="37" name="Pool" queryTableFieldId="37"/>
    <tableColumn id="38" xr3:uid="{ED3DAC19-B843-4AD8-B02F-153781416454}" uniqueName="38" name="PurchaseDate" queryTableFieldId="38"/>
    <tableColumn id="39" xr3:uid="{58B8CABA-1056-4669-AF41-AA5FB709BD33}" uniqueName="39" name="PurchaseCost" queryTableFieldId="39"/>
    <tableColumn id="40" xr3:uid="{5231D393-AD2E-42C9-9FC3-A9E21CFF3D70}" uniqueName="40" name="LifeSpanMonths" queryTableFieldId="40"/>
    <tableColumn id="41" xr3:uid="{89402733-E34F-455F-B419-6EFC838252B2}" uniqueName="41" name="ActivationDate" queryTableFieldId="41" dataDxfId="10"/>
    <tableColumn id="42" xr3:uid="{B3718061-116F-4702-A786-4E3FE3485880}" uniqueName="42" name="DepreciationBasis" queryTableFieldId="42"/>
    <tableColumn id="43" xr3:uid="{4A912717-56BA-40D8-AC30-38F6F6D8F880}" uniqueName="43" name="DepreciationMethod" queryTableFieldId="43"/>
    <tableColumn id="44" xr3:uid="{40018D6B-8844-40B2-8FE5-AF0E478D9721}" uniqueName="44" name="RetirementDate" queryTableFieldId="44"/>
    <tableColumn id="45" xr3:uid="{063601FE-C137-42E0-A21E-026E5A97932D}" uniqueName="45" name="SalvageValue" queryTableFieldId="45"/>
    <tableColumn id="46" xr3:uid="{5D3F6DCA-17DF-4EA3-8FD8-BFE7739F0C15}" uniqueName="46" name="RetirmentReason" queryTableFieldId="46"/>
    <tableColumn id="47" xr3:uid="{E625EB7F-A997-4AC1-9412-791A1AAD7CA0}" uniqueName="47" name="CompositeParentId" queryTableFieldId="47"/>
    <tableColumn id="48" xr3:uid="{BB045F1C-7BF4-447A-80E9-58FAD51F05B1}" uniqueName="48" name="CompositeChildCount" queryTableFieldId="4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F10654-F6E9-4C41-9848-B85671957007}" name="ServiceOrderItems" displayName="ServiceOrderItems" ref="A1:CC2" tableType="queryTable" insertRow="1" totalsRowShown="0">
  <autoFilter ref="A1:CC2" xr:uid="{29F10654-F6E9-4C41-9848-B85671957007}"/>
  <tableColumns count="81">
    <tableColumn id="1" xr3:uid="{17D1F4A8-9E37-44DD-B22E-9F72B7525E97}" uniqueName="1" name="WorkItemId" queryTableFieldId="1"/>
    <tableColumn id="2" xr3:uid="{F229CD35-D5AC-47B2-8ED6-DBD6E41DB43C}" uniqueName="2" name="ClientNotes" queryTableFieldId="2"/>
    <tableColumn id="3" xr3:uid="{F4591BF3-F2F4-4738-8247-D43B10AA42E4}" uniqueName="3" name="ServiceComments" queryTableFieldId="3"/>
    <tableColumn id="4" xr3:uid="{C717E576-C4B0-4841-8171-481E7D883CFF}" uniqueName="4" name="PrivateComments" queryTableFieldId="4"/>
    <tableColumn id="5" xr3:uid="{84711850-5AAD-4D3E-9365-5EA486F8477F}" uniqueName="5" name="OrderItemNumber" queryTableFieldId="5"/>
    <tableColumn id="6" xr3:uid="{023333A8-B2D7-4CEB-9F88-3D2B394D4CF2}" uniqueName="6" name="ServiceOrderId" queryTableFieldId="6"/>
    <tableColumn id="7" xr3:uid="{99390338-52F4-43CF-852E-384696EF8ED7}" uniqueName="7" name="ChannelCount" queryTableFieldId="7"/>
    <tableColumn id="8" xr3:uid="{E9F83AA8-90B7-44A9-A97D-836E1C5B9814}" uniqueName="8" name="ServiceTotal" queryTableFieldId="8"/>
    <tableColumn id="9" xr3:uid="{3CEF2FB9-16B5-4E01-819C-18AC91EC4DC2}" uniqueName="9" name="RepairsTotal" queryTableFieldId="9"/>
    <tableColumn id="10" xr3:uid="{0DD83421-E0E6-4618-9F6D-6D4BB80BF264}" uniqueName="10" name="PartsTotal" queryTableFieldId="10"/>
    <tableColumn id="11" xr3:uid="{DFD62280-1C31-40B7-9881-66B86F91FDDB}" uniqueName="11" name="PartsTotalBeforeDiscount" queryTableFieldId="11"/>
    <tableColumn id="12" xr3:uid="{A58F307C-A84B-45D5-A520-49CEE0F34885}" uniqueName="12" name="OverrideServiceTotal" queryTableFieldId="12"/>
    <tableColumn id="13" xr3:uid="{43CF9FC8-2F71-49D8-AEB2-1354A799EF95}" uniqueName="13" name="OverrideRepairsTotal" queryTableFieldId="13"/>
    <tableColumn id="14" xr3:uid="{3FAE26B1-6E62-4DAF-8E23-291924F6C157}" uniqueName="14" name="OverridePartsTotal" queryTableFieldId="14"/>
    <tableColumn id="15" xr3:uid="{D66BC245-3AAB-4412-8E8B-CAE067F19F83}" uniqueName="15" name="ServiceType" queryTableFieldId="15"/>
    <tableColumn id="16" xr3:uid="{6111D41B-F69C-41F4-979B-C04373976B02}" uniqueName="16" name="DocumentNumber" queryTableFieldId="16"/>
    <tableColumn id="17" xr3:uid="{5E3F1E89-1400-4FE6-861C-A8EE6FFA145E}" uniqueName="17" name="DocumentSection" queryTableFieldId="17"/>
    <tableColumn id="18" xr3:uid="{43219C98-D889-4F74-8EFF-DD0310A61CA4}" uniqueName="18" name="WorkStatus" queryTableFieldId="18"/>
    <tableColumn id="19" xr3:uid="{6C777E67-F056-4ADE-9AC0-BD7093EED05D}" uniqueName="19" name="CustomWorkStatus" queryTableFieldId="19"/>
    <tableColumn id="20" xr3:uid="{2357FAD0-5845-44E6-9429-4B8BF35BB35B}" uniqueName="20" name="IsLimited" queryTableFieldId="20"/>
    <tableColumn id="21" xr3:uid="{2C97DB4F-CA89-411D-BFE7-798F2B6B4925}" uniqueName="21" name="CheckedOn" queryTableFieldId="21"/>
    <tableColumn id="22" xr3:uid="{0FFD63B5-ECE7-472D-9D7D-52D742995B0A}" uniqueName="22" name="CheckedByName" queryTableFieldId="22"/>
    <tableColumn id="23" xr3:uid="{82D9140F-9235-4CC3-8754-9D3C806B0DBF}" uniqueName="23" name="CheckedById" queryTableFieldId="23"/>
    <tableColumn id="24" xr3:uid="{26E46E67-B7F8-4FEB-96D1-95874817CF09}" uniqueName="24" name="CompletedOn" queryTableFieldId="24"/>
    <tableColumn id="25" xr3:uid="{9497D375-602A-4BF2-A7A0-EDFACD0AEF5B}" uniqueName="25" name="CompletedByName" queryTableFieldId="25"/>
    <tableColumn id="26" xr3:uid="{BBBB3B78-BCF3-430E-A49E-27C20B7BE8F6}" uniqueName="26" name="CompletedById" queryTableFieldId="26"/>
    <tableColumn id="27" xr3:uid="{DEEAE3A6-0D68-4032-9325-34E2085ED385}" uniqueName="27" name="UpdatedById" queryTableFieldId="27"/>
    <tableColumn id="28" xr3:uid="{710BF2E0-DF36-4EC6-BC64-1918621478FA}" uniqueName="28" name="UpdatedBy" queryTableFieldId="28"/>
    <tableColumn id="29" xr3:uid="{B11CA1DD-3735-4931-AC62-73BEEB1F4A23}" uniqueName="29" name="AsFoundCheck" queryTableFieldId="29"/>
    <tableColumn id="30" xr3:uid="{4B25E414-1559-441F-B67E-EEA3B615F764}" uniqueName="30" name="AsLeftCheck" queryTableFieldId="30"/>
    <tableColumn id="31" xr3:uid="{3F0EC5F1-70AA-4D46-A11E-DB9ECDB983FA}" uniqueName="31" name="ItemResultStatus" queryTableFieldId="31"/>
    <tableColumn id="32" xr3:uid="{FD7F18FD-0157-4FF9-B42E-2285A60FEDBC}" uniqueName="32" name="ItemAsFoundResult" queryTableFieldId="32"/>
    <tableColumn id="33" xr3:uid="{AB327D90-AAD9-4B7E-975F-E7A49F1364EE}" uniqueName="33" name="ItemAsLeftResult" queryTableFieldId="33"/>
    <tableColumn id="34" xr3:uid="{17EBD652-F46B-480C-837D-7E3F28A92998}" uniqueName="34" name="AsFoundSpecification" queryTableFieldId="34"/>
    <tableColumn id="35" xr3:uid="{1A318284-3AAA-4C47-9DB6-AA58DCF47C66}" uniqueName="35" name="AsLeftSpecification" queryTableFieldId="35"/>
    <tableColumn id="36" xr3:uid="{64260EF3-EB03-485B-9EE2-CCA7061386FB}" uniqueName="36" name="CreatedOnUtc" queryTableFieldId="36"/>
    <tableColumn id="37" xr3:uid="{C9A10DC9-8E90-4370-88DD-6A827B8CC79F}" uniqueName="37" name="UpdatedOnUtc" queryTableFieldId="37"/>
    <tableColumn id="38" xr3:uid="{B5D527EE-407E-43B4-B732-80AA735F95E6}" uniqueName="38" name="EquipmentId" queryTableFieldId="38"/>
    <tableColumn id="39" xr3:uid="{D59E9BFB-DEBE-4E4D-9BE2-824A6F713901}" uniqueName="39" name="ServiceLevel" queryTableFieldId="39"/>
    <tableColumn id="40" xr3:uid="{EBEDF94E-6A81-41B0-B2D9-D451D94A33D1}" uniqueName="40" name="ServiceLevelCode" queryTableFieldId="40"/>
    <tableColumn id="41" xr3:uid="{C201762A-4101-4364-93D0-7E88E08A54B2}" uniqueName="41" name="ServiceLevelDocumentNumber" queryTableFieldId="41"/>
    <tableColumn id="42" xr3:uid="{901C81E0-47CD-439D-8CB3-5B366A7FBF3E}" uniqueName="42" name="ServiceLevelDocumentSection" queryTableFieldId="42"/>
    <tableColumn id="43" xr3:uid="{775B315B-6725-485A-A8AC-26B91D5B06E0}" uniqueName="43" name="NextServiceLevel" queryTableFieldId="43"/>
    <tableColumn id="44" xr3:uid="{638CF923-95D9-43DB-9E84-CAE8F33334F9}" uniqueName="44" name="NextServiceLevelCode" queryTableFieldId="44"/>
    <tableColumn id="45" xr3:uid="{B3EF4F3A-BE73-4081-B5BB-45358B8CA5DB}" uniqueName="45" name="ResultStatus" queryTableFieldId="45"/>
    <tableColumn id="46" xr3:uid="{1ECA652A-016B-4C2A-88DD-111680B30DCA}" uniqueName="46" name="AsFoundResult" queryTableFieldId="46"/>
    <tableColumn id="47" xr3:uid="{A917CF85-5DAF-422C-98C6-5DBC1A225BDB}" uniqueName="47" name="AsLeftResult" queryTableFieldId="47"/>
    <tableColumn id="48" xr3:uid="{D0E439A6-2275-4C33-A95A-DAFDDE0956AF}" uniqueName="48" name="SerialNumber" queryTableFieldId="48"/>
    <tableColumn id="49" xr3:uid="{BE704A59-AA30-4C6D-96FE-0FE2EA573DA6}" uniqueName="49" name="SerialNumberChange" queryTableFieldId="49"/>
    <tableColumn id="50" xr3:uid="{F0A9222B-0000-419D-98F5-F464BAD234DC}" uniqueName="50" name="AssetTag" queryTableFieldId="50"/>
    <tableColumn id="51" xr3:uid="{C0E57F08-BCBF-4A27-8A26-39590BE95749}" uniqueName="51" name="AssetUser" queryTableFieldId="51"/>
    <tableColumn id="52" xr3:uid="{DAC63763-2F6A-4114-9F51-5F26D0975D01}" uniqueName="52" name="AssetTagChange" queryTableFieldId="52"/>
    <tableColumn id="53" xr3:uid="{21968569-9D01-4D63-AD45-A9B5DE6431CD}" uniqueName="53" name="AssetUserChange" queryTableFieldId="53"/>
    <tableColumn id="54" xr3:uid="{CC40D5BF-B8A1-47D7-A04C-102AF83BC4A5}" uniqueName="54" name="AssetId" queryTableFieldId="54"/>
    <tableColumn id="55" xr3:uid="{C5C40621-5D79-4B7C-8521-D206E74B3D79}" uniqueName="55" name="AssetName" queryTableFieldId="55"/>
    <tableColumn id="56" xr3:uid="{29BE9DBD-AFA2-40AC-AA72-7F8DCD64442F}" uniqueName="56" name="AssetDescription" queryTableFieldId="56"/>
    <tableColumn id="57" xr3:uid="{1D360961-77B1-4E70-BBFB-40C8F1B67435}" uniqueName="57" name="AssetSiteName" queryTableFieldId="57"/>
    <tableColumn id="58" xr3:uid="{5F5E924C-7B26-4528-B861-9221EA97D5F2}" uniqueName="58" name="AssetSiteId" queryTableFieldId="58"/>
    <tableColumn id="59" xr3:uid="{985F9096-A3A6-499C-9B7D-40CCC405993C}" uniqueName="59" name="AssetCompanyName" queryTableFieldId="59"/>
    <tableColumn id="60" xr3:uid="{33869B11-37EF-48B4-A9E4-6116517A6F3D}" uniqueName="60" name="AssetCompanyId" queryTableFieldId="60"/>
    <tableColumn id="61" xr3:uid="{58C18D99-ED50-4E4E-A9BA-8EEC00C4373C}" uniqueName="61" name="ClientCompanyId" queryTableFieldId="61"/>
    <tableColumn id="62" xr3:uid="{4B330B60-6D4C-49EF-903D-7FEE5719FCD7}" uniqueName="62" name="VendorCompanyId" queryTableFieldId="62"/>
    <tableColumn id="63" xr3:uid="{D11DAAC4-6F0D-46EC-8003-1B4BCF2C60D5}" uniqueName="63" name="ServiceNotes" queryTableFieldId="63"/>
    <tableColumn id="64" xr3:uid="{C2C25933-D2B9-4EEF-875A-91F0A39EA0D9}" uniqueName="64" name="ProviderTechnician" queryTableFieldId="64"/>
    <tableColumn id="65" xr3:uid="{07FE6D2E-A7EC-48CD-BC1E-3CCB985D48DC}" uniqueName="65" name="ProviderPhone" queryTableFieldId="65"/>
    <tableColumn id="66" xr3:uid="{4524F472-AAAA-477C-87ED-F0BB23FDFF7C}" uniqueName="66" name="ProviderCompany" queryTableFieldId="66"/>
    <tableColumn id="67" xr3:uid="{6107A64D-C66F-421B-B66B-A498E23EFB12}" uniqueName="67" name="ServiceCharge" queryTableFieldId="67"/>
    <tableColumn id="68" xr3:uid="{FA86076A-D7C2-4918-90F3-46DAC5E54D9A}" uniqueName="68" name="RepairsCharge" queryTableFieldId="68"/>
    <tableColumn id="69" xr3:uid="{6EB53B50-A90E-431B-A2C9-CA7E1B1455D0}" uniqueName="69" name="PartsCharge" queryTableFieldId="69"/>
    <tableColumn id="70" xr3:uid="{22C5AE1E-8C00-47FC-9676-C7790432CEC6}" uniqueName="70" name="PartsChargeBeforeDiscount" queryTableFieldId="70"/>
    <tableColumn id="71" xr3:uid="{66E79A2E-E44F-4DD7-9137-D3565B595B44}" uniqueName="71" name="CustomOrderNumber" queryTableFieldId="71"/>
    <tableColumn id="72" xr3:uid="{28EE0052-A7A1-45CA-9087-B48131F58748}" uniqueName="72" name="CertificateNumber" queryTableFieldId="72"/>
    <tableColumn id="73" xr3:uid="{0235FF1F-A577-490C-97DF-BF5B8CA035DD}" uniqueName="73" name="ServiceDate" queryTableFieldId="73"/>
    <tableColumn id="74" xr3:uid="{CC0600F3-E9E3-4026-865B-31F84A5898FD}" uniqueName="74" name="DueDate" queryTableFieldId="74"/>
    <tableColumn id="75" xr3:uid="{1B4750D3-A57D-46EE-8632-A018ADC47D20}" uniqueName="75" name="NextServiceDate" queryTableFieldId="75"/>
    <tableColumn id="76" xr3:uid="{E281C5E7-CE9B-44C1-B8E5-0D886F1FCAEA}" uniqueName="76" name="MaintenanceTask" queryTableFieldId="76"/>
    <tableColumn id="77" xr3:uid="{BC6FAE86-850F-4336-8525-1780156F4B8B}" uniqueName="77" name="MaintenancePlan" queryTableFieldId="77"/>
    <tableColumn id="78" xr3:uid="{02FC9C30-84B5-444E-AF07-29C5F58F61B9}" uniqueName="78" name="ServiceOptions" queryTableFieldId="78"/>
    <tableColumn id="79" xr3:uid="{C8E4B5B2-8FA0-4401-AC2B-18436E811EFB}" uniqueName="79" name="VendorTag" queryTableFieldId="79"/>
    <tableColumn id="80" xr3:uid="{85532542-ED23-4404-A452-3FE75A99A1F6}" uniqueName="80" name="LegacyId" queryTableFieldId="80"/>
    <tableColumn id="81" xr3:uid="{8B560688-3C6D-4E98-B695-08A1AA10BDF1}" uniqueName="81" name="AssetOwnership" queryTableFieldId="8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7FC64-B744-47FF-BA81-FFF696C97327}">
  <sheetPr codeName="Sheet16"/>
  <dimension ref="A1:E2"/>
  <sheetViews>
    <sheetView workbookViewId="0">
      <selection sqref="A1:E3"/>
    </sheetView>
  </sheetViews>
  <sheetFormatPr defaultRowHeight="15" x14ac:dyDescent="0.25"/>
  <cols>
    <col min="1" max="1" width="44.42578125" bestFit="1" customWidth="1"/>
    <col min="2" max="2" width="16" bestFit="1" customWidth="1"/>
    <col min="3" max="3" width="27" bestFit="1" customWidth="1"/>
    <col min="4" max="4" width="17.5703125" bestFit="1" customWidth="1"/>
    <col min="5" max="5" width="16.42578125" bestFit="1" customWidth="1"/>
    <col min="6" max="6" width="27" bestFit="1" customWidth="1"/>
    <col min="7" max="8" width="17.5703125" bestFit="1" customWidth="1"/>
    <col min="9" max="9" width="16.42578125" bestFit="1" customWidth="1"/>
    <col min="10" max="10" width="13.28515625" bestFit="1" customWidth="1"/>
    <col min="11" max="11" width="21.85546875" bestFit="1" customWidth="1"/>
    <col min="12" max="12" width="17.85546875" bestFit="1" customWidth="1"/>
    <col min="13" max="13" width="12.85546875" bestFit="1" customWidth="1"/>
    <col min="14" max="14" width="14" bestFit="1" customWidth="1"/>
    <col min="15" max="15" width="44.42578125" bestFit="1" customWidth="1"/>
    <col min="16" max="16" width="22" bestFit="1" customWidth="1"/>
    <col min="17" max="17" width="20.28515625" bestFit="1" customWidth="1"/>
    <col min="18" max="18" width="20.85546875" bestFit="1" customWidth="1"/>
    <col min="19" max="19" width="10.85546875" bestFit="1" customWidth="1"/>
    <col min="20" max="20" width="16.7109375" bestFit="1" customWidth="1"/>
    <col min="21" max="21" width="35.28515625" bestFit="1" customWidth="1"/>
    <col min="22" max="22" width="29.7109375" bestFit="1" customWidth="1"/>
    <col min="23" max="23" width="29.42578125" bestFit="1" customWidth="1"/>
    <col min="24" max="24" width="16.140625" bestFit="1" customWidth="1"/>
    <col min="25" max="25" width="18.28515625" bestFit="1" customWidth="1"/>
    <col min="26" max="26" width="12.28515625" bestFit="1" customWidth="1"/>
  </cols>
  <sheetData>
    <row r="1" spans="1:5" x14ac:dyDescent="0.25">
      <c r="A1"/>
      <c r="B1"/>
      <c r="C1"/>
      <c r="D1"/>
      <c r="E1"/>
    </row>
    <row r="2" spans="1:5" x14ac:dyDescent="0.25">
      <c r="B2" s="145"/>
      <c r="D2" s="145"/>
    </row>
  </sheetData>
  <phoneticPr fontId="3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09" t="s">
        <v>232</v>
      </c>
      <c r="B1" s="121" t="s">
        <v>0</v>
      </c>
      <c r="C1" s="121"/>
      <c r="D1" s="121"/>
      <c r="E1" s="121"/>
      <c r="F1" s="121"/>
      <c r="G1" s="121"/>
      <c r="H1" s="121"/>
      <c r="I1" s="121"/>
      <c r="J1" s="121"/>
      <c r="K1" s="121"/>
      <c r="L1" s="121"/>
      <c r="M1" s="121"/>
      <c r="N1" s="121"/>
      <c r="O1" s="121"/>
      <c r="P1" s="117" t="s">
        <v>1</v>
      </c>
      <c r="Q1" s="117"/>
      <c r="R1" s="117"/>
      <c r="S1" s="117"/>
      <c r="W1" t="s">
        <v>2</v>
      </c>
    </row>
    <row r="2" spans="1:28" ht="26.25" x14ac:dyDescent="0.4">
      <c r="A2" s="78"/>
      <c r="B2" s="122" t="s">
        <v>3</v>
      </c>
      <c r="C2" s="122"/>
      <c r="D2" s="122"/>
      <c r="E2" s="122"/>
      <c r="F2" s="122"/>
      <c r="G2" s="122"/>
      <c r="H2" s="122"/>
      <c r="I2" s="122"/>
      <c r="J2" s="122"/>
      <c r="K2" s="122"/>
      <c r="L2" s="122"/>
      <c r="M2" s="122"/>
      <c r="N2" s="122"/>
      <c r="O2" s="122"/>
      <c r="P2" s="77" t="s">
        <v>4</v>
      </c>
      <c r="Q2" s="36"/>
      <c r="R2" s="36"/>
      <c r="U2" s="16" t="s">
        <v>5</v>
      </c>
      <c r="V2" s="17" t="s">
        <v>6</v>
      </c>
      <c r="W2" s="17"/>
      <c r="X2" s="17"/>
      <c r="Y2" s="17"/>
      <c r="Z2" s="17"/>
    </row>
    <row r="3" spans="1:28" ht="15.75" x14ac:dyDescent="0.25">
      <c r="C3" s="4" t="s">
        <v>7</v>
      </c>
      <c r="D3" s="149"/>
      <c r="E3" s="149"/>
      <c r="F3" s="87" t="s">
        <v>8</v>
      </c>
      <c r="G3" s="130"/>
      <c r="H3" s="130"/>
      <c r="K3" s="4" t="s">
        <v>9</v>
      </c>
      <c r="L3" s="105" t="s">
        <v>10</v>
      </c>
      <c r="N3" s="123"/>
      <c r="O3" s="123"/>
      <c r="P3" s="62" t="s">
        <v>11</v>
      </c>
      <c r="U3" s="4" t="s">
        <v>12</v>
      </c>
      <c r="V3" s="56"/>
      <c r="W3" s="47"/>
      <c r="X3" s="47"/>
      <c r="Y3" s="47"/>
      <c r="Z3" s="47"/>
    </row>
    <row r="4" spans="1:28" ht="15.75" x14ac:dyDescent="0.25">
      <c r="C4" s="4" t="s">
        <v>13</v>
      </c>
      <c r="D4" s="148" t="str">
        <f>NonBlank(INDEX(Clients[Company],1))</f>
        <v/>
      </c>
      <c r="E4" s="148"/>
      <c r="F4" s="86" t="s">
        <v>14</v>
      </c>
      <c r="G4" s="154"/>
      <c r="H4" s="155"/>
      <c r="K4" s="88" t="str">
        <f>IFERROR(VLOOKUP($D$4,#REF!,2,FALSE),"")</f>
        <v/>
      </c>
      <c r="L4" s="19"/>
      <c r="N4" s="124"/>
      <c r="O4" s="124"/>
      <c r="P4" s="63" t="s">
        <v>15</v>
      </c>
      <c r="U4" s="4" t="s">
        <v>16</v>
      </c>
      <c r="V4" s="56"/>
      <c r="W4" s="47" t="b">
        <v>1</v>
      </c>
      <c r="X4" s="47"/>
      <c r="Y4" s="47"/>
      <c r="Z4" s="47"/>
      <c r="AA4" s="103"/>
    </row>
    <row r="5" spans="1:28" ht="15.75" x14ac:dyDescent="0.25">
      <c r="C5" s="4" t="s">
        <v>17</v>
      </c>
      <c r="D5" s="150" t="str">
        <f>NonBlank(UUT[CategoryName])</f>
        <v/>
      </c>
      <c r="E5" s="150"/>
      <c r="F5" s="86" t="s">
        <v>18</v>
      </c>
      <c r="G5" s="147" t="str">
        <f>IFERROR(VLOOKUP(G4,'Clients'!C2:E2,2,FALSE),"")</f>
        <v/>
      </c>
      <c r="H5" s="147"/>
      <c r="K5" s="88"/>
      <c r="M5" s="4" t="s">
        <v>19</v>
      </c>
      <c r="N5" s="55"/>
      <c r="P5" s="63" t="s">
        <v>20</v>
      </c>
      <c r="U5" s="4" t="s">
        <v>21</v>
      </c>
      <c r="V5" s="56"/>
      <c r="W5" s="47"/>
      <c r="X5" s="47"/>
      <c r="Y5" s="47"/>
      <c r="Z5" s="47"/>
    </row>
    <row r="6" spans="1:28" ht="15.75" x14ac:dyDescent="0.25">
      <c r="C6" s="4" t="s">
        <v>22</v>
      </c>
      <c r="D6" s="129"/>
      <c r="E6" s="129"/>
      <c r="F6" s="86" t="s">
        <v>23</v>
      </c>
      <c r="G6" s="147" t="str">
        <f>IFERROR(VLOOKUP(G4,'Clients'!C2:E2,3,FALSE),"")</f>
        <v/>
      </c>
      <c r="H6" s="147"/>
      <c r="I6" t="s">
        <v>24</v>
      </c>
      <c r="K6" s="88"/>
      <c r="M6" s="4" t="s">
        <v>25</v>
      </c>
      <c r="N6" s="57"/>
      <c r="P6" s="63" t="s">
        <v>26</v>
      </c>
      <c r="U6" s="4" t="s">
        <v>27</v>
      </c>
      <c r="V6" s="56"/>
      <c r="W6" s="47"/>
      <c r="X6" s="47"/>
      <c r="Y6" s="47"/>
      <c r="Z6" s="47"/>
    </row>
    <row r="7" spans="1:28" ht="15.75" x14ac:dyDescent="0.25">
      <c r="C7" s="4" t="s">
        <v>28</v>
      </c>
      <c r="D7" s="151" t="str">
        <f>NonBlank(UUT[ProductManufacturer])</f>
        <v/>
      </c>
      <c r="E7" s="151"/>
      <c r="F7" s="4" t="s">
        <v>29</v>
      </c>
      <c r="G7" s="153" t="str">
        <f>NonBlank(UUT[ManufacturerPartNumber])</f>
        <v/>
      </c>
      <c r="H7" s="153"/>
      <c r="I7" s="82" t="str">
        <f>D7 &amp; " " &amp; G7</f>
        <v xml:space="preserve"> </v>
      </c>
      <c r="M7" s="4" t="s">
        <v>30</v>
      </c>
      <c r="N7" s="57"/>
      <c r="P7" s="63" t="s">
        <v>31</v>
      </c>
      <c r="U7" s="4" t="s">
        <v>32</v>
      </c>
      <c r="V7" s="56"/>
      <c r="W7" s="47"/>
      <c r="X7" s="47"/>
      <c r="Y7" s="47"/>
      <c r="Z7" s="47"/>
    </row>
    <row r="8" spans="1:28" ht="15.75" x14ac:dyDescent="0.25">
      <c r="C8" s="4" t="s">
        <v>33</v>
      </c>
      <c r="D8" s="152" t="str" cm="1">
        <f t="array" ref="D8">NonBlank(ServiceOrderItems[SerialNumber])</f>
        <v/>
      </c>
      <c r="E8" s="152"/>
      <c r="M8" s="4" t="s">
        <v>34</v>
      </c>
      <c r="N8" s="58"/>
      <c r="P8" s="63" t="s">
        <v>35</v>
      </c>
      <c r="U8" s="4" t="s">
        <v>36</v>
      </c>
      <c r="V8" s="56"/>
      <c r="W8" s="47"/>
      <c r="X8" s="47"/>
      <c r="Y8" s="47"/>
      <c r="Z8" s="47"/>
    </row>
    <row r="9" spans="1:28" ht="15.75" x14ac:dyDescent="0.25">
      <c r="C9" s="4" t="s">
        <v>37</v>
      </c>
      <c r="D9" s="150" t="str">
        <f>NonBlank(UUT[Location])</f>
        <v/>
      </c>
      <c r="E9" s="150"/>
      <c r="H9" t="s">
        <v>38</v>
      </c>
      <c r="J9" s="105" t="s">
        <v>141</v>
      </c>
      <c r="M9" s="4" t="s">
        <v>39</v>
      </c>
      <c r="N9" s="59"/>
      <c r="P9" s="63" t="s">
        <v>40</v>
      </c>
      <c r="U9" s="4"/>
    </row>
    <row r="10" spans="1:28" x14ac:dyDescent="0.25">
      <c r="B10" s="113" t="s">
        <v>41</v>
      </c>
      <c r="C10" s="113"/>
      <c r="D10" s="113"/>
      <c r="E10" s="113"/>
      <c r="F10" s="113"/>
      <c r="G10" s="113"/>
      <c r="H10" s="113"/>
      <c r="I10" s="113"/>
      <c r="J10" s="113"/>
      <c r="K10" s="113"/>
      <c r="L10" s="113"/>
      <c r="M10" s="113"/>
      <c r="N10" s="113"/>
      <c r="O10" s="113"/>
      <c r="P10" s="18"/>
      <c r="Q10" s="18"/>
      <c r="R10" s="18"/>
      <c r="U10" s="68" t="s">
        <v>42</v>
      </c>
      <c r="V10" s="17" t="s">
        <v>6</v>
      </c>
      <c r="W10" s="17"/>
      <c r="X10" s="17"/>
      <c r="Y10" s="17"/>
      <c r="Z10" s="17"/>
    </row>
    <row r="11" spans="1:28" x14ac:dyDescent="0.25">
      <c r="C11" s="4" t="s">
        <v>43</v>
      </c>
      <c r="D11" s="106" t="s">
        <v>144</v>
      </c>
      <c r="H11" s="4" t="s">
        <v>44</v>
      </c>
      <c r="I11" s="4"/>
      <c r="J11" t="str">
        <f>IF(D11="Yes","ASTM E-110-14","ASTM E18-24")</f>
        <v>ASTM E18-24</v>
      </c>
      <c r="U11" s="4" t="s">
        <v>16</v>
      </c>
      <c r="V11" s="56"/>
      <c r="W11" s="47"/>
      <c r="X11" s="47"/>
      <c r="Y11" s="47"/>
      <c r="Z11" s="47"/>
    </row>
    <row r="12" spans="1:28" x14ac:dyDescent="0.25">
      <c r="E12" s="4" t="s">
        <v>45</v>
      </c>
      <c r="F12" t="s">
        <v>46</v>
      </c>
      <c r="M12" s="4" t="s">
        <v>47</v>
      </c>
      <c r="N12" s="5" t="s">
        <v>48</v>
      </c>
      <c r="O12" s="5"/>
      <c r="P12" s="5"/>
      <c r="Q12" s="5"/>
      <c r="R12" s="5"/>
      <c r="U12" s="4" t="s">
        <v>21</v>
      </c>
      <c r="V12" s="56"/>
      <c r="W12" s="47"/>
      <c r="X12" s="47"/>
      <c r="Y12" s="47"/>
      <c r="Z12" s="47"/>
    </row>
    <row r="13" spans="1:28" x14ac:dyDescent="0.25">
      <c r="B13" s="113" t="s">
        <v>41</v>
      </c>
      <c r="C13" s="113"/>
      <c r="D13" s="113"/>
      <c r="E13" s="113"/>
      <c r="F13" s="113"/>
      <c r="G13" s="113"/>
      <c r="H13" s="113"/>
      <c r="I13" s="113"/>
      <c r="J13" s="113"/>
      <c r="K13" s="113"/>
      <c r="L13" s="113"/>
      <c r="M13" s="113"/>
      <c r="N13" s="113"/>
      <c r="O13" s="113"/>
      <c r="P13" s="18"/>
      <c r="Q13" s="18"/>
      <c r="R13" s="18"/>
      <c r="U13" s="4" t="s">
        <v>27</v>
      </c>
      <c r="V13" s="56"/>
      <c r="W13" s="47"/>
      <c r="X13" s="47"/>
      <c r="Y13" s="47"/>
      <c r="Z13" s="47"/>
    </row>
    <row r="14" spans="1:28" ht="15.75" x14ac:dyDescent="0.25">
      <c r="B14" t="s">
        <v>49</v>
      </c>
      <c r="F14" s="54"/>
      <c r="G14" s="54"/>
      <c r="H14" s="54"/>
      <c r="I14" s="54"/>
      <c r="J14" s="54"/>
      <c r="K14" s="54"/>
      <c r="L14" s="54"/>
      <c r="M14" s="20"/>
      <c r="N14" s="20"/>
      <c r="O14" s="20"/>
      <c r="P14" s="5"/>
      <c r="Q14" s="5"/>
      <c r="R14" s="5"/>
      <c r="U14" s="4" t="s">
        <v>50</v>
      </c>
      <c r="V14" s="56"/>
      <c r="W14" s="47"/>
      <c r="X14" s="47"/>
      <c r="Y14" s="47"/>
      <c r="Z14" s="47"/>
    </row>
    <row r="15" spans="1:28" ht="15.75" x14ac:dyDescent="0.25">
      <c r="B15" t="s">
        <v>51</v>
      </c>
      <c r="F15" s="60"/>
      <c r="G15" s="60"/>
      <c r="H15" s="60"/>
      <c r="I15" s="60"/>
      <c r="J15" s="60"/>
      <c r="K15" s="60"/>
      <c r="L15" s="60"/>
      <c r="M15" s="72"/>
      <c r="N15" s="72"/>
      <c r="O15" s="72"/>
      <c r="P15" s="18"/>
      <c r="Q15" s="18"/>
      <c r="R15" s="18"/>
      <c r="U15" s="4" t="s">
        <v>36</v>
      </c>
      <c r="V15" s="56"/>
      <c r="W15" s="47"/>
      <c r="X15" s="47"/>
      <c r="Y15" s="47"/>
      <c r="Z15" s="47"/>
    </row>
    <row r="16" spans="1:28" x14ac:dyDescent="0.25">
      <c r="B16" s="114" t="s">
        <v>52</v>
      </c>
      <c r="C16" s="114"/>
      <c r="D16" s="114" t="s">
        <v>53</v>
      </c>
      <c r="E16" s="114"/>
      <c r="F16" s="46" t="s">
        <v>54</v>
      </c>
      <c r="G16" s="46"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4" t="s">
        <v>67</v>
      </c>
      <c r="J17" s="64" t="s">
        <v>68</v>
      </c>
      <c r="K17" s="9"/>
      <c r="L17" s="9"/>
      <c r="M17" s="9"/>
      <c r="N17" s="9"/>
      <c r="O17" s="10" t="s">
        <v>69</v>
      </c>
      <c r="P17" s="9"/>
      <c r="Q17" s="10" t="s">
        <v>70</v>
      </c>
      <c r="R17" s="9"/>
      <c r="S17" s="111"/>
      <c r="T17" s="111"/>
      <c r="U17" s="27"/>
      <c r="V17" s="27" t="s">
        <v>71</v>
      </c>
      <c r="W17" s="27" t="s">
        <v>72</v>
      </c>
      <c r="X17" s="27" t="s">
        <v>73</v>
      </c>
      <c r="Y17" s="27" t="s">
        <v>74</v>
      </c>
      <c r="Z17" s="27" t="s">
        <v>75</v>
      </c>
      <c r="AA17" s="4" t="s">
        <v>76</v>
      </c>
      <c r="AB17" s="21" t="s">
        <v>77</v>
      </c>
      <c r="AC17" s="21" t="s">
        <v>78</v>
      </c>
      <c r="AE17" s="98" t="s">
        <v>79</v>
      </c>
      <c r="AF17" s="15" t="s">
        <v>80</v>
      </c>
      <c r="AG17" s="15" t="s">
        <v>81</v>
      </c>
      <c r="AH17" s="15" t="s">
        <v>63</v>
      </c>
      <c r="AI17" s="15" t="s">
        <v>82</v>
      </c>
    </row>
    <row r="18" spans="1:35" ht="16.5" customHeight="1" x14ac:dyDescent="0.3">
      <c r="A18" s="4" t="str">
        <f>IFERROR(VLOOKUP(B18,Thresholds[],2,FALSE),"")</f>
        <v/>
      </c>
      <c r="B18" s="100" t="str">
        <f>IF(F$14="","",F$14)</f>
        <v/>
      </c>
      <c r="C18" s="61"/>
      <c r="D18" s="115"/>
      <c r="E18" s="116"/>
      <c r="F18" s="66"/>
      <c r="G18" s="66"/>
      <c r="H18" s="80"/>
      <c r="I18" s="81" t="str">
        <f>IFERROR(IF(OR(AA18&lt;-AH18,AA18&gt;AH18),"AF ERROR",IF(Y18&gt;AG18,"AF REPEAT","")),"")</f>
        <v/>
      </c>
      <c r="J18" s="67"/>
      <c r="K18" s="67"/>
      <c r="L18" s="67"/>
      <c r="M18" s="67"/>
      <c r="N18" s="67"/>
      <c r="O18" s="11" t="str">
        <f>IFERROR(IF(B18="","",AB18-AC18),"")</f>
        <v/>
      </c>
      <c r="P18" s="14" t="str">
        <f>IFERROR(IF(B18="","",AVERAGE(J18:N18)),"")</f>
        <v/>
      </c>
      <c r="Q18" s="11" t="str">
        <f>IFERROR(IF(B18="","",P18-C18),"")</f>
        <v/>
      </c>
      <c r="R18" s="13" t="str">
        <f t="shared" ref="R18:R20" si="0">IFERROR(AE18&amp;"/"&amp;AF18,"")</f>
        <v/>
      </c>
      <c r="S18" s="69" t="str">
        <f>IFERROR(IF(O18&gt;AG18,"OOT REPEATABILITY",""),"")</f>
        <v/>
      </c>
      <c r="T18" s="69" t="str">
        <f>IFERROR(IF(OR(Q18&lt;-AH18,Q18&gt;AH18),"OOT ERROR",""),"")</f>
        <v/>
      </c>
      <c r="V18" t="str">
        <f>IFERROR(VLOOKUP(B18,UNCERTAINTY[],2,FALSE),"")</f>
        <v/>
      </c>
      <c r="W18" s="48" t="str">
        <f>IF(F18&gt;0,MAX(F18:G18),"")</f>
        <v/>
      </c>
      <c r="X18" s="28" t="str">
        <f>IF(F18&gt;0,MIN(F18:G18),"")</f>
        <v/>
      </c>
      <c r="Y18" s="48" t="str">
        <f>IF(F18&gt;0,W18-X18,"")</f>
        <v/>
      </c>
      <c r="Z18" s="48"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0" t="str">
        <f>IF(F$14="","",F$14)</f>
        <v/>
      </c>
      <c r="C19" s="61"/>
      <c r="D19" s="115"/>
      <c r="E19" s="116"/>
      <c r="F19" s="66"/>
      <c r="G19" s="66"/>
      <c r="H19" s="80" t="str">
        <f>IF(AND(C19-C18&lt;5,C19&gt;0),"Too Close","")</f>
        <v/>
      </c>
      <c r="I19" s="81" t="str">
        <f>IFERROR(IF(OR(AA19&lt;-AH19,AA19&gt;AH19),"AF ERROR",IF(Y19&gt;AG19,"AF REPEAT","")),"")</f>
        <v/>
      </c>
      <c r="J19" s="67"/>
      <c r="K19" s="67"/>
      <c r="L19" s="67"/>
      <c r="M19" s="67"/>
      <c r="N19" s="67"/>
      <c r="O19" s="11" t="str">
        <f>IFERROR(IF(B19="","",AB19-AC19),"")</f>
        <v/>
      </c>
      <c r="P19" s="14" t="str">
        <f>IFERROR(IF(B19="","",AVERAGE(J19:N19)),"")</f>
        <v/>
      </c>
      <c r="Q19" s="11" t="str">
        <f>IFERROR(IF(B19="","",P19-C19),"")</f>
        <v/>
      </c>
      <c r="R19" s="13" t="str">
        <f t="shared" si="0"/>
        <v/>
      </c>
      <c r="S19" s="69" t="str">
        <f>IFERROR(IF(O19&gt;AG19,"OOT REPEATABILITY",""),"")</f>
        <v/>
      </c>
      <c r="T19" s="69" t="str">
        <f>IFERROR(IF(OR(Q19&lt;-AH19,Q19&gt;AH19),"OOT ERROR",""),"")</f>
        <v/>
      </c>
      <c r="V19" t="str">
        <f>IFERROR(VLOOKUP(B19,UNCERTAINTY[],3,FALSE),"")</f>
        <v/>
      </c>
      <c r="W19" s="48" t="str">
        <f>IF(F19&gt;0,MAX(F19:G19),"")</f>
        <v/>
      </c>
      <c r="X19" s="28" t="str">
        <f>IF(F19&gt;0,MIN(F19:G19),"")</f>
        <v/>
      </c>
      <c r="Y19" s="48" t="str">
        <f>IF(F19&gt;0,W19-X19,"")</f>
        <v/>
      </c>
      <c r="Z19" s="48"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0" t="str">
        <f>IF(F$14="","",F$14)</f>
        <v/>
      </c>
      <c r="C20" s="61"/>
      <c r="D20" s="115"/>
      <c r="E20" s="116"/>
      <c r="F20" s="66"/>
      <c r="G20" s="66"/>
      <c r="H20" s="80" t="str">
        <f>IF(AND(C20-C19&lt;5,C20&gt;0),"Too Close","")</f>
        <v/>
      </c>
      <c r="I20" s="81" t="str">
        <f>IFERROR(IF(OR(AA20&lt;-AH20,AA20&gt;AH20),"AF ERROR",IF(Y20&gt;AG20,"AF REPEAT","")),"")</f>
        <v/>
      </c>
      <c r="J20" s="67"/>
      <c r="K20" s="67"/>
      <c r="L20" s="67"/>
      <c r="M20" s="67"/>
      <c r="N20" s="67"/>
      <c r="O20" s="11" t="str">
        <f>IFERROR(IF(B20="","",AB20-AC20),"")</f>
        <v/>
      </c>
      <c r="P20" s="14" t="str">
        <f>IFERROR(IF(B20="","",AVERAGE(J20:N20)),"")</f>
        <v/>
      </c>
      <c r="Q20" s="11" t="str">
        <f>IFERROR(IF(B20="","",P20-C20),"")</f>
        <v/>
      </c>
      <c r="R20" s="13" t="str">
        <f t="shared" si="0"/>
        <v/>
      </c>
      <c r="S20" s="69" t="str">
        <f>IFERROR(IF(O20&gt;AG20,"OOT REPEATABILITY",""),"")</f>
        <v/>
      </c>
      <c r="T20" s="69" t="str">
        <f>IFERROR(IF(OR(Q20&lt;-AH20,Q20&gt;AH20),"OOT ERROR",""),"")</f>
        <v/>
      </c>
      <c r="V20" t="str">
        <f>IFERROR(VLOOKUP(B20,UNCERTAINTY[],4,FALSE),"")</f>
        <v/>
      </c>
      <c r="W20" s="48" t="str">
        <f>IF(F20&gt;0,MAX(F20:G20),"")</f>
        <v/>
      </c>
      <c r="X20" s="28" t="str">
        <f>IF(F20&gt;0,MIN(F20:G20),"")</f>
        <v/>
      </c>
      <c r="Y20" s="48" t="str">
        <f>IF(F20&gt;0,W20-X20,"")</f>
        <v/>
      </c>
      <c r="Z20" s="48"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89"/>
      <c r="B21" s="101"/>
      <c r="C21" s="90"/>
      <c r="D21" s="112"/>
      <c r="E21" s="112"/>
      <c r="F21" s="11"/>
      <c r="G21" s="11"/>
      <c r="H21" s="65"/>
      <c r="I21" s="81"/>
      <c r="J21" s="11"/>
      <c r="K21" s="11"/>
      <c r="L21" s="9"/>
      <c r="M21" s="9"/>
      <c r="N21" s="11"/>
      <c r="O21" s="12"/>
      <c r="P21" s="12"/>
      <c r="Q21" s="12"/>
      <c r="R21" s="12"/>
      <c r="S21" s="3"/>
      <c r="T21" s="3"/>
      <c r="W21" s="48"/>
      <c r="X21" s="28"/>
      <c r="Y21" s="48"/>
      <c r="Z21" s="48"/>
      <c r="AA21" s="22"/>
      <c r="AB21" s="3"/>
      <c r="AC21" s="22"/>
    </row>
    <row r="22" spans="1:35" ht="16.5" customHeight="1" x14ac:dyDescent="0.3">
      <c r="A22" s="4" t="str">
        <f>IFERROR(VLOOKUP(B22,Thresholds[],2,FALSE),"")</f>
        <v/>
      </c>
      <c r="B22" s="100" t="str">
        <f>IF(G$14="","",G$14)</f>
        <v/>
      </c>
      <c r="C22" s="61"/>
      <c r="D22" s="110"/>
      <c r="E22" s="110"/>
      <c r="F22" s="66"/>
      <c r="G22" s="66"/>
      <c r="H22" s="80"/>
      <c r="I22" s="81" t="str">
        <f>IFERROR(IF(OR(AA22&lt;-AH22,AA22&gt;AH22),"AF ERROR",IF(Y22&gt;AG22,"AF REPEAT","")),"")</f>
        <v/>
      </c>
      <c r="J22" s="67"/>
      <c r="K22" s="67"/>
      <c r="L22" s="67"/>
      <c r="M22" s="67"/>
      <c r="N22" s="67"/>
      <c r="O22" s="11" t="str">
        <f>IFERROR(IF(B22="","",AB22-AC22),"")</f>
        <v/>
      </c>
      <c r="P22" s="14" t="str">
        <f>IFERROR(IF(B22="","",AVERAGE(J22:N22)),"")</f>
        <v/>
      </c>
      <c r="Q22" s="11" t="str">
        <f>IFERROR(IF(B22="","",P22-C22),"")</f>
        <v/>
      </c>
      <c r="R22" s="13" t="str">
        <f t="shared" ref="R22:R24" si="3">IFERROR(AE22&amp;"/"&amp;AF22,"")</f>
        <v/>
      </c>
      <c r="S22" s="69" t="str">
        <f>IFERROR(IF(O22&gt;AG22,"OOT REPEATABILITY",""),"")</f>
        <v/>
      </c>
      <c r="T22" s="69" t="str">
        <f>IFERROR(IF(OR(Q22&lt;-AH22,Q22&gt;AH22),"OOT ERROR",""),"")</f>
        <v/>
      </c>
      <c r="V22" t="str">
        <f>IFERROR(VLOOKUP(B22,UNCERTAINTY[],2,FALSE),"")</f>
        <v/>
      </c>
      <c r="W22" s="48" t="str">
        <f t="shared" ref="W22:W44" si="4">IF(F22&gt;0,MAX(F22:G22),"")</f>
        <v/>
      </c>
      <c r="X22" s="28" t="str">
        <f t="shared" ref="X22:X44" si="5">IF(F22&gt;0,MIN(F22:G22),"")</f>
        <v/>
      </c>
      <c r="Y22" s="48" t="str">
        <f t="shared" ref="Y22:Y44" si="6">IF(F22&gt;0,W22-X22,"")</f>
        <v/>
      </c>
      <c r="Z22" s="48"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0" t="str">
        <f>IF(G$14="","",G$14)</f>
        <v/>
      </c>
      <c r="C23" s="61"/>
      <c r="D23" s="110"/>
      <c r="E23" s="110"/>
      <c r="F23" s="66"/>
      <c r="G23" s="66"/>
      <c r="H23" s="80" t="str">
        <f>IF(AND(C23-C22&lt;5,C23&gt;0),"Too Close","")</f>
        <v/>
      </c>
      <c r="I23" s="81" t="str">
        <f>IFERROR(IF(OR(AA23&lt;-AH23,AA23&gt;AH23),"AF ERROR",IF(Y23&gt;AG23,"AF REPEAT","")),"")</f>
        <v/>
      </c>
      <c r="J23" s="67"/>
      <c r="K23" s="67"/>
      <c r="L23" s="67"/>
      <c r="M23" s="67"/>
      <c r="N23" s="67"/>
      <c r="O23" s="11" t="str">
        <f>IFERROR(IF(B23="","",AB23-AC23),"")</f>
        <v/>
      </c>
      <c r="P23" s="14" t="str">
        <f>IFERROR(IF(B23="","",AVERAGE(J23:N23)),"")</f>
        <v/>
      </c>
      <c r="Q23" s="11" t="str">
        <f>IFERROR(IF(B23="","",P23-C23),"")</f>
        <v/>
      </c>
      <c r="R23" s="13" t="str">
        <f t="shared" si="3"/>
        <v/>
      </c>
      <c r="S23" s="69" t="str">
        <f>IFERROR(IF(O23&gt;AG23,"OOT REPEATABILITY",""),"")</f>
        <v/>
      </c>
      <c r="T23" s="69" t="str">
        <f>IFERROR(IF(OR(Q23&lt;-AH23,Q23&gt;AH23),"OOT ERROR",""),"")</f>
        <v/>
      </c>
      <c r="V23" t="str">
        <f>IFERROR(VLOOKUP(B23,UNCERTAINTY[],3,FALSE),"")</f>
        <v/>
      </c>
      <c r="W23" s="48" t="str">
        <f t="shared" si="4"/>
        <v/>
      </c>
      <c r="X23" s="28" t="str">
        <f t="shared" si="5"/>
        <v/>
      </c>
      <c r="Y23" s="48" t="str">
        <f t="shared" si="6"/>
        <v/>
      </c>
      <c r="Z23" s="48"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0" t="str">
        <f>IF(G$14="","",G$14)</f>
        <v/>
      </c>
      <c r="C24" s="61"/>
      <c r="D24" s="110"/>
      <c r="E24" s="110"/>
      <c r="F24" s="66"/>
      <c r="G24" s="66"/>
      <c r="H24" s="80" t="str">
        <f>IF(AND(C24-C23&lt;5,C24&gt;0),"Too Close","")</f>
        <v/>
      </c>
      <c r="I24" s="81" t="str">
        <f>IFERROR(IF(OR(AA24&lt;-AH24,AA24&gt;AH24),"AF ERROR",IF(Y24&gt;AG24,"AF REPEAT","")),"")</f>
        <v/>
      </c>
      <c r="J24" s="67"/>
      <c r="K24" s="67"/>
      <c r="L24" s="67"/>
      <c r="M24" s="67"/>
      <c r="N24" s="67"/>
      <c r="O24" s="11" t="str">
        <f>IFERROR(IF(B24="","",AB24-AC24),"")</f>
        <v/>
      </c>
      <c r="P24" s="14" t="str">
        <f>IFERROR(IF(B24="","",AVERAGE(J24:N24)),"")</f>
        <v/>
      </c>
      <c r="Q24" s="11" t="str">
        <f>IFERROR(IF(B24="","",P24-C24),"")</f>
        <v/>
      </c>
      <c r="R24" s="13" t="str">
        <f t="shared" si="3"/>
        <v/>
      </c>
      <c r="S24" s="69" t="str">
        <f>IFERROR(IF(O24&gt;AG24,"OOT REPEATABILITY",""),"")</f>
        <v/>
      </c>
      <c r="T24" s="69" t="str">
        <f>IFERROR(IF(OR(Q24&lt;-AH24,Q24&gt;AH24),"OOT ERROR",""),"")</f>
        <v/>
      </c>
      <c r="V24" t="str">
        <f>IFERROR(VLOOKUP(B24,UNCERTAINTY[],4,FALSE),"")</f>
        <v/>
      </c>
      <c r="W24" s="48" t="str">
        <f t="shared" si="4"/>
        <v/>
      </c>
      <c r="X24" s="28" t="str">
        <f t="shared" si="5"/>
        <v/>
      </c>
      <c r="Y24" s="48" t="str">
        <f t="shared" si="6"/>
        <v/>
      </c>
      <c r="Z24" s="48"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02"/>
      <c r="C25" s="90"/>
      <c r="D25" s="112"/>
      <c r="E25" s="112"/>
      <c r="F25" s="3"/>
      <c r="G25" s="3"/>
      <c r="H25" s="64"/>
      <c r="I25" s="81"/>
      <c r="J25" s="11"/>
      <c r="K25" s="11"/>
      <c r="L25" s="9"/>
      <c r="M25" s="9"/>
      <c r="N25" s="11"/>
      <c r="O25" s="12"/>
      <c r="P25" s="12"/>
      <c r="Q25" s="12"/>
      <c r="R25" s="12"/>
      <c r="S25" s="3"/>
      <c r="T25" s="3"/>
      <c r="W25" s="48" t="str">
        <f t="shared" si="4"/>
        <v/>
      </c>
      <c r="X25" s="28" t="str">
        <f t="shared" si="5"/>
        <v/>
      </c>
      <c r="Y25" s="48" t="str">
        <f t="shared" si="6"/>
        <v/>
      </c>
      <c r="Z25" s="48" t="str">
        <f t="shared" si="7"/>
        <v/>
      </c>
      <c r="AA25" s="22"/>
      <c r="AB25" s="3"/>
      <c r="AC25" s="22"/>
    </row>
    <row r="26" spans="1:35" ht="16.5" customHeight="1" x14ac:dyDescent="0.3">
      <c r="A26" s="4" t="str">
        <f>IFERROR(VLOOKUP(B26,Thresholds[],2,FALSE),"")</f>
        <v/>
      </c>
      <c r="B26" s="100" t="str">
        <f>IF(H$14="","",H$14)</f>
        <v/>
      </c>
      <c r="C26" s="61"/>
      <c r="D26" s="110"/>
      <c r="E26" s="110"/>
      <c r="F26" s="66"/>
      <c r="G26" s="66"/>
      <c r="H26" s="80"/>
      <c r="I26" s="81" t="str">
        <f>IFERROR(IF(OR(AA26&lt;-AH26,AA26&gt;AH26),"AF ERROR",IF(Y26&gt;AG26,"AF REPEAT","")),"")</f>
        <v/>
      </c>
      <c r="J26" s="67"/>
      <c r="K26" s="67"/>
      <c r="L26" s="67"/>
      <c r="M26" s="67"/>
      <c r="N26" s="67"/>
      <c r="O26" s="11" t="str">
        <f>IFERROR(IF(B26="","",AB26-AC26),"")</f>
        <v/>
      </c>
      <c r="P26" s="14" t="str">
        <f>IFERROR(IF(B26="","",AVERAGE(J26:N26)),"")</f>
        <v/>
      </c>
      <c r="Q26" s="11" t="str">
        <f>IFERROR(IF(B26="","",P26-C26),"")</f>
        <v/>
      </c>
      <c r="R26" s="13" t="str">
        <f t="shared" ref="R26:R28" si="10">IFERROR(AE26&amp;"/"&amp;AF26,"")</f>
        <v/>
      </c>
      <c r="S26" s="69" t="str">
        <f>IFERROR(IF(O26&gt;AG26,"OOT REPEATABILITY",""),"")</f>
        <v/>
      </c>
      <c r="T26" s="69" t="str">
        <f>IFERROR(IF(OR(Q26&lt;-AH26,Q26&gt;AH26),"OOT ERROR",""),"")</f>
        <v/>
      </c>
      <c r="V26" t="str">
        <f>IFERROR(VLOOKUP(B26,UNCERTAINTY[],2,FALSE),"")</f>
        <v/>
      </c>
      <c r="W26" s="48" t="str">
        <f t="shared" si="4"/>
        <v/>
      </c>
      <c r="X26" s="28" t="str">
        <f t="shared" si="5"/>
        <v/>
      </c>
      <c r="Y26" s="48" t="str">
        <f t="shared" si="6"/>
        <v/>
      </c>
      <c r="Z26" s="48"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0" t="str">
        <f>IF(H$14="","",H$14)</f>
        <v/>
      </c>
      <c r="C27" s="61"/>
      <c r="D27" s="110"/>
      <c r="E27" s="110"/>
      <c r="F27" s="66"/>
      <c r="G27" s="66"/>
      <c r="H27" s="80" t="str">
        <f>IF(AND(C27-C26&lt;5,C27&gt;0),"Too Close","")</f>
        <v/>
      </c>
      <c r="I27" s="81" t="str">
        <f>IFERROR(IF(OR(AA27&lt;-AH27,AA27&gt;AH27),"AF ERROR",IF(Y27&gt;AG27,"AF REPEAT","")),"")</f>
        <v/>
      </c>
      <c r="J27" s="67"/>
      <c r="K27" s="67"/>
      <c r="L27" s="67"/>
      <c r="M27" s="67"/>
      <c r="N27" s="67"/>
      <c r="O27" s="11" t="str">
        <f>IFERROR(IF(B27="","",AB27-AC27),"")</f>
        <v/>
      </c>
      <c r="P27" s="14" t="str">
        <f>IFERROR(IF(B27="","",AVERAGE(J27:N27)),"")</f>
        <v/>
      </c>
      <c r="Q27" s="11" t="str">
        <f>IFERROR(IF(B27="","",P27-C27),"")</f>
        <v/>
      </c>
      <c r="R27" s="13" t="str">
        <f t="shared" si="10"/>
        <v/>
      </c>
      <c r="S27" s="69" t="str">
        <f>IFERROR(IF(O27&gt;AG27,"OOT REPEATABILITY",""),"")</f>
        <v/>
      </c>
      <c r="T27" s="69" t="str">
        <f>IFERROR(IF(OR(Q27&lt;-AH27,Q27&gt;AH27),"OOT ERROR",""),"")</f>
        <v/>
      </c>
      <c r="V27" t="str">
        <f>IFERROR(VLOOKUP(B27,UNCERTAINTY[],3,FALSE),"")</f>
        <v/>
      </c>
      <c r="W27" s="48" t="str">
        <f t="shared" si="4"/>
        <v/>
      </c>
      <c r="X27" s="28" t="str">
        <f t="shared" si="5"/>
        <v/>
      </c>
      <c r="Y27" s="48" t="str">
        <f t="shared" si="6"/>
        <v/>
      </c>
      <c r="Z27" s="48"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0" t="str">
        <f>IF(H$14="","",H$14)</f>
        <v/>
      </c>
      <c r="C28" s="61"/>
      <c r="D28" s="110"/>
      <c r="E28" s="110"/>
      <c r="F28" s="66"/>
      <c r="G28" s="66"/>
      <c r="H28" s="80" t="str">
        <f>IF(AND(C28-C27&lt;5,C28&gt;0),"Too Close","")</f>
        <v/>
      </c>
      <c r="I28" s="81" t="str">
        <f>IFERROR(IF(OR(AA28&lt;-AH28,AA28&gt;AH28),"AF ERROR",IF(Y28&gt;AG28,"AF REPEAT","")),"")</f>
        <v/>
      </c>
      <c r="J28" s="67"/>
      <c r="K28" s="67"/>
      <c r="L28" s="67"/>
      <c r="M28" s="67"/>
      <c r="N28" s="67"/>
      <c r="O28" s="11" t="str">
        <f>IFERROR(IF(B28="","",AB28-AC28),"")</f>
        <v/>
      </c>
      <c r="P28" s="14" t="str">
        <f>IFERROR(IF(B28="","",AVERAGE(J28:N28)),"")</f>
        <v/>
      </c>
      <c r="Q28" s="11" t="str">
        <f>IFERROR(IF(B28="","",P28-C28),"")</f>
        <v/>
      </c>
      <c r="R28" s="13" t="str">
        <f t="shared" si="10"/>
        <v/>
      </c>
      <c r="S28" s="69" t="str">
        <f>IFERROR(IF(O28&gt;AG28,"OOT REPEATABILITY",""),"")</f>
        <v/>
      </c>
      <c r="T28" s="69" t="str">
        <f>IFERROR(IF(OR(Q28&lt;-AH28,Q28&gt;AH28),"OOT ERROR",""),"")</f>
        <v/>
      </c>
      <c r="V28" t="str">
        <f>IFERROR(VLOOKUP(B28,UNCERTAINTY[],4,FALSE),"")</f>
        <v/>
      </c>
      <c r="W28" s="48" t="str">
        <f t="shared" si="4"/>
        <v/>
      </c>
      <c r="X28" s="28" t="str">
        <f t="shared" si="5"/>
        <v/>
      </c>
      <c r="Y28" s="48" t="str">
        <f t="shared" si="6"/>
        <v/>
      </c>
      <c r="Z28" s="48"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02"/>
      <c r="C29" s="90"/>
      <c r="D29" s="112"/>
      <c r="E29" s="112"/>
      <c r="F29" s="3"/>
      <c r="G29" s="3"/>
      <c r="H29" s="64"/>
      <c r="I29" s="81"/>
      <c r="J29" s="11"/>
      <c r="K29" s="11"/>
      <c r="L29" s="9"/>
      <c r="M29" s="9"/>
      <c r="N29" s="11"/>
      <c r="O29" s="12"/>
      <c r="P29" s="12"/>
      <c r="Q29" s="12"/>
      <c r="R29" s="12"/>
      <c r="S29" s="3"/>
      <c r="T29" s="3"/>
      <c r="W29" s="48" t="str">
        <f t="shared" si="4"/>
        <v/>
      </c>
      <c r="X29" s="28" t="str">
        <f t="shared" si="5"/>
        <v/>
      </c>
      <c r="Y29" s="48" t="str">
        <f t="shared" si="6"/>
        <v/>
      </c>
      <c r="Z29" s="48" t="str">
        <f t="shared" si="7"/>
        <v/>
      </c>
      <c r="AA29" s="22"/>
      <c r="AB29" s="3"/>
      <c r="AC29" s="22"/>
    </row>
    <row r="30" spans="1:35" ht="16.5" customHeight="1" x14ac:dyDescent="0.3">
      <c r="A30" s="4" t="str">
        <f>IFERROR(VLOOKUP(B30,Thresholds[],2,FALSE),"")</f>
        <v/>
      </c>
      <c r="B30" s="100" t="str">
        <f>IF(I$14="","",I$14)</f>
        <v/>
      </c>
      <c r="C30" s="61"/>
      <c r="D30" s="110"/>
      <c r="E30" s="110"/>
      <c r="F30" s="66"/>
      <c r="G30" s="66"/>
      <c r="H30" s="80"/>
      <c r="I30" s="81" t="str">
        <f>IFERROR(IF(OR(AA30&lt;-AH30,AA30&gt;AH30),"AF ERROR",IF(Y30&gt;AG30,"AF REPEAT","")),"")</f>
        <v/>
      </c>
      <c r="J30" s="67"/>
      <c r="K30" s="67"/>
      <c r="L30" s="67"/>
      <c r="M30" s="67"/>
      <c r="N30" s="67"/>
      <c r="O30" s="11" t="str">
        <f>IFERROR(IF(B30="","",AB30-AC30),"")</f>
        <v/>
      </c>
      <c r="P30" s="14" t="str">
        <f>IFERROR(IF(B30="","",AVERAGE(J30:N30)),"")</f>
        <v/>
      </c>
      <c r="Q30" s="11" t="str">
        <f>IFERROR(IF(B30="","",P30-C30),"")</f>
        <v/>
      </c>
      <c r="R30" s="13" t="str">
        <f>IFERROR(AE30&amp;"/"&amp;AF30,"")</f>
        <v/>
      </c>
      <c r="S30" s="69" t="str">
        <f>IFERROR(IF(O30&gt;AG30,"OOT REPEATABILITY",""),"")</f>
        <v/>
      </c>
      <c r="T30" s="69" t="str">
        <f>IFERROR(IF(OR(Q30&lt;-AH30,Q30&gt;AH30),"OOT ERROR",""),"")</f>
        <v/>
      </c>
      <c r="V30" t="str">
        <f>IFERROR(VLOOKUP(B30,UNCERTAINTY[],2,FALSE),"")</f>
        <v/>
      </c>
      <c r="W30" s="48" t="str">
        <f t="shared" si="4"/>
        <v/>
      </c>
      <c r="X30" s="28" t="str">
        <f t="shared" si="5"/>
        <v/>
      </c>
      <c r="Y30" s="48" t="str">
        <f t="shared" si="6"/>
        <v/>
      </c>
      <c r="Z30" s="48"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0" t="str">
        <f>IF(I$14="","",I$14)</f>
        <v/>
      </c>
      <c r="C31" s="61"/>
      <c r="D31" s="110"/>
      <c r="E31" s="110"/>
      <c r="F31" s="66"/>
      <c r="G31" s="66"/>
      <c r="H31" s="80" t="str">
        <f>IF(AND(C31-C30&lt;5,C31&gt;0),"Too Close","")</f>
        <v/>
      </c>
      <c r="I31" s="81" t="str">
        <f>IFERROR(IF(OR(AA31&lt;-AH31,AA31&gt;AH31),"AF ERROR",IF(Y31&gt;AG31,"AF REPEAT","")),"")</f>
        <v/>
      </c>
      <c r="J31" s="67"/>
      <c r="K31" s="67"/>
      <c r="L31" s="67"/>
      <c r="M31" s="67"/>
      <c r="N31" s="67"/>
      <c r="O31" s="11" t="str">
        <f>IFERROR(IF(B31="","",AB31-AC31),"")</f>
        <v/>
      </c>
      <c r="P31" s="14" t="str">
        <f>IFERROR(IF(B31="","",AVERAGE(J31:N31)),"")</f>
        <v/>
      </c>
      <c r="Q31" s="11" t="str">
        <f>IFERROR(IF(B31="","",P31-C31),"")</f>
        <v/>
      </c>
      <c r="R31" s="13" t="str">
        <f t="shared" ref="R31:R32" si="15">IFERROR(AE31&amp;"/"&amp;AF31,"")</f>
        <v/>
      </c>
      <c r="S31" s="69" t="str">
        <f>IFERROR(IF(O31&gt;AG31,"OOT REPEATABILITY",""),"")</f>
        <v/>
      </c>
      <c r="T31" s="69" t="str">
        <f>IFERROR(IF(OR(Q31&lt;-AH31,Q31&gt;AH31),"OOT ERROR",""),"")</f>
        <v/>
      </c>
      <c r="V31" t="str">
        <f>IFERROR(VLOOKUP(B31,UNCERTAINTY[],3,FALSE),"")</f>
        <v/>
      </c>
      <c r="W31" s="48" t="str">
        <f t="shared" si="4"/>
        <v/>
      </c>
      <c r="X31" s="28" t="str">
        <f t="shared" si="5"/>
        <v/>
      </c>
      <c r="Y31" s="48" t="str">
        <f t="shared" si="6"/>
        <v/>
      </c>
      <c r="Z31" s="48"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0" t="str">
        <f>IF(I$14="","",I$14)</f>
        <v/>
      </c>
      <c r="C32" s="61"/>
      <c r="D32" s="110"/>
      <c r="E32" s="110"/>
      <c r="F32" s="66"/>
      <c r="G32" s="66"/>
      <c r="H32" s="80" t="str">
        <f>IF(AND(C32-C31&lt;5,C32&gt;0),"Too Close","")</f>
        <v/>
      </c>
      <c r="I32" s="81" t="str">
        <f>IFERROR(IF(OR(AA32&lt;-AH32,AA32&gt;AH32),"AF ERROR",IF(Y32&gt;AG32,"AF REPEAT","")),"")</f>
        <v/>
      </c>
      <c r="J32" s="67"/>
      <c r="K32" s="67"/>
      <c r="L32" s="67"/>
      <c r="M32" s="67"/>
      <c r="N32" s="67"/>
      <c r="O32" s="11" t="str">
        <f>IFERROR(IF(B32="","",AB32-AC32),"")</f>
        <v/>
      </c>
      <c r="P32" s="14" t="str">
        <f>IFERROR(IF(B32="","",AVERAGE(J32:N32)),"")</f>
        <v/>
      </c>
      <c r="Q32" s="11" t="str">
        <f>IFERROR(IF(B32="","",P32-C32),"")</f>
        <v/>
      </c>
      <c r="R32" s="13" t="str">
        <f t="shared" si="15"/>
        <v/>
      </c>
      <c r="S32" s="69" t="str">
        <f>IFERROR(IF(O32&gt;AG32,"OOT REPEATABILITY",""),"")</f>
        <v/>
      </c>
      <c r="T32" s="69" t="str">
        <f>IFERROR(IF(OR(Q32&lt;-AH32,Q32&gt;AH32),"OOT ERROR",""),"")</f>
        <v/>
      </c>
      <c r="V32" t="str">
        <f>IFERROR(VLOOKUP(B32,UNCERTAINTY[],4,FALSE),"")</f>
        <v/>
      </c>
      <c r="W32" s="48" t="str">
        <f t="shared" si="4"/>
        <v/>
      </c>
      <c r="X32" s="28" t="str">
        <f t="shared" si="5"/>
        <v/>
      </c>
      <c r="Y32" s="48" t="str">
        <f t="shared" si="6"/>
        <v/>
      </c>
      <c r="Z32" s="48"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02"/>
      <c r="C33" s="90"/>
      <c r="D33" s="112"/>
      <c r="E33" s="112"/>
      <c r="F33" s="3"/>
      <c r="G33" s="3"/>
      <c r="H33" s="64"/>
      <c r="I33" s="81"/>
      <c r="J33" s="11"/>
      <c r="K33" s="11"/>
      <c r="L33" s="9"/>
      <c r="M33" s="9"/>
      <c r="N33" s="11"/>
      <c r="O33" s="12"/>
      <c r="P33" s="12"/>
      <c r="Q33" s="12"/>
      <c r="R33" s="12"/>
      <c r="S33" s="3"/>
      <c r="T33" s="3"/>
      <c r="W33" s="48" t="str">
        <f t="shared" si="4"/>
        <v/>
      </c>
      <c r="X33" s="28" t="str">
        <f t="shared" si="5"/>
        <v/>
      </c>
      <c r="Y33" s="48" t="str">
        <f t="shared" si="6"/>
        <v/>
      </c>
      <c r="Z33" s="48" t="str">
        <f t="shared" si="7"/>
        <v/>
      </c>
      <c r="AA33" s="22"/>
      <c r="AB33" s="3"/>
      <c r="AC33" s="22"/>
    </row>
    <row r="34" spans="1:35" ht="16.5" customHeight="1" x14ac:dyDescent="0.3">
      <c r="A34" s="4" t="str">
        <f>IFERROR(VLOOKUP(B34,Thresholds[],2,FALSE),"")</f>
        <v/>
      </c>
      <c r="B34" s="100" t="str">
        <f>IF(J$14="","",J$14)</f>
        <v/>
      </c>
      <c r="C34" s="61"/>
      <c r="D34" s="110"/>
      <c r="E34" s="110"/>
      <c r="F34" s="66"/>
      <c r="G34" s="66"/>
      <c r="H34" s="80"/>
      <c r="I34" s="81" t="str">
        <f>IFERROR(IF(OR(AA34&lt;-AH34,AA34&gt;AH34),"AF ERROR",IF(Y34&gt;AG34,"AF REPEAT","")),"")</f>
        <v/>
      </c>
      <c r="J34" s="67"/>
      <c r="K34" s="67"/>
      <c r="L34" s="67"/>
      <c r="M34" s="67"/>
      <c r="N34" s="67"/>
      <c r="O34" s="11" t="str">
        <f>IFERROR(IF(B34="","",AB34-AC34),"")</f>
        <v/>
      </c>
      <c r="P34" s="14" t="str">
        <f>IFERROR(IF(B34="","",AVERAGE(J34:N34)),"")</f>
        <v/>
      </c>
      <c r="Q34" s="11" t="str">
        <f>IFERROR(IF(B34="","",P34-C34),"")</f>
        <v/>
      </c>
      <c r="R34" s="13" t="str">
        <f t="shared" ref="R34:R36" si="16">IFERROR(AE34&amp;"/"&amp;AF34,"")</f>
        <v/>
      </c>
      <c r="S34" s="69" t="str">
        <f>IFERROR(IF(O34&gt;AG34,"OOT REPEATABILITY",""),"")</f>
        <v/>
      </c>
      <c r="T34" s="69" t="str">
        <f>IFERROR(IF(OR(Q34&lt;-AH34,Q34&gt;AH34),"OOT ERROR",""),"")</f>
        <v/>
      </c>
      <c r="V34" t="str">
        <f>IFERROR(VLOOKUP(B34,UNCERTAINTY[],2,FALSE),"")</f>
        <v/>
      </c>
      <c r="W34" s="48" t="str">
        <f t="shared" si="4"/>
        <v/>
      </c>
      <c r="X34" s="28" t="str">
        <f t="shared" si="5"/>
        <v/>
      </c>
      <c r="Y34" s="48" t="str">
        <f t="shared" si="6"/>
        <v/>
      </c>
      <c r="Z34" s="48"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0" t="str">
        <f>IF(J$14="","",J$14)</f>
        <v/>
      </c>
      <c r="C35" s="61"/>
      <c r="D35" s="110"/>
      <c r="E35" s="110"/>
      <c r="F35" s="66"/>
      <c r="G35" s="66"/>
      <c r="H35" s="80" t="str">
        <f>IF(AND(C35-C34&lt;5,C35&gt;0),"Too Close","")</f>
        <v/>
      </c>
      <c r="I35" s="81" t="str">
        <f>IFERROR(IF(OR(AA35&lt;-AH35,AA35&gt;AH35),"AF ERROR",IF(Y35&gt;AG35,"AF REPEAT","")),"")</f>
        <v/>
      </c>
      <c r="J35" s="67"/>
      <c r="K35" s="67"/>
      <c r="L35" s="67"/>
      <c r="M35" s="67"/>
      <c r="N35" s="67"/>
      <c r="O35" s="11" t="str">
        <f>IFERROR(IF(B35="","",AB35-AC35),"")</f>
        <v/>
      </c>
      <c r="P35" s="14" t="str">
        <f>IFERROR(IF(B35="","",AVERAGE(J35:N35)),"")</f>
        <v/>
      </c>
      <c r="Q35" s="11" t="str">
        <f>IFERROR(IF(B35="","",P35-C35),"")</f>
        <v/>
      </c>
      <c r="R35" s="13" t="str">
        <f t="shared" si="16"/>
        <v/>
      </c>
      <c r="S35" s="69" t="str">
        <f>IFERROR(IF(O35&gt;AG35,"OOT REPEATABILITY",""),"")</f>
        <v/>
      </c>
      <c r="T35" s="69" t="str">
        <f>IFERROR(IF(OR(Q35&lt;-AH35,Q35&gt;AH35),"OOT ERROR",""),"")</f>
        <v/>
      </c>
      <c r="V35" t="str">
        <f>IFERROR(VLOOKUP(B35,UNCERTAINTY[],3,FALSE),"")</f>
        <v/>
      </c>
      <c r="W35" s="48" t="str">
        <f t="shared" si="4"/>
        <v/>
      </c>
      <c r="X35" s="28" t="str">
        <f t="shared" si="5"/>
        <v/>
      </c>
      <c r="Y35" s="48" t="str">
        <f t="shared" si="6"/>
        <v/>
      </c>
      <c r="Z35" s="48"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0" t="str">
        <f>IF(J$14="","",J$14)</f>
        <v/>
      </c>
      <c r="C36" s="61"/>
      <c r="D36" s="110"/>
      <c r="E36" s="110"/>
      <c r="F36" s="66"/>
      <c r="G36" s="66"/>
      <c r="H36" s="80" t="str">
        <f>IF(AND(C36-C35&lt;5,C36&gt;0),"Too Close","")</f>
        <v/>
      </c>
      <c r="I36" s="81" t="str">
        <f>IFERROR(IF(OR(AA36&lt;-AH36,AA36&gt;AH36),"AF ERROR",IF(Y36&gt;AG36,"AF REPEAT","")),"")</f>
        <v/>
      </c>
      <c r="J36" s="67"/>
      <c r="K36" s="67"/>
      <c r="L36" s="67"/>
      <c r="M36" s="67"/>
      <c r="N36" s="67"/>
      <c r="O36" s="11" t="str">
        <f>IFERROR(IF(B36="","",AB36-AC36),"")</f>
        <v/>
      </c>
      <c r="P36" s="14" t="str">
        <f>IFERROR(IF(B36="","",AVERAGE(J36:N36)),"")</f>
        <v/>
      </c>
      <c r="Q36" s="11" t="str">
        <f>IFERROR(IF(B36="","",P36-C36),"")</f>
        <v/>
      </c>
      <c r="R36" s="13" t="str">
        <f t="shared" si="16"/>
        <v/>
      </c>
      <c r="S36" s="69" t="str">
        <f>IFERROR(IF(O36&gt;AG36,"OOT REPEATABILITY",""),"")</f>
        <v/>
      </c>
      <c r="T36" s="69" t="str">
        <f>IFERROR(IF(OR(Q36&lt;-AH36,Q36&gt;AH36),"OOT ERROR",""),"")</f>
        <v/>
      </c>
      <c r="V36" t="str">
        <f>IFERROR(VLOOKUP(B36,UNCERTAINTY[],4,FALSE),"")</f>
        <v/>
      </c>
      <c r="W36" s="48" t="str">
        <f t="shared" si="4"/>
        <v/>
      </c>
      <c r="X36" s="28" t="str">
        <f t="shared" si="5"/>
        <v/>
      </c>
      <c r="Y36" s="48" t="str">
        <f t="shared" si="6"/>
        <v/>
      </c>
      <c r="Z36" s="48"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02"/>
      <c r="C37" s="90"/>
      <c r="D37" s="112"/>
      <c r="E37" s="112"/>
      <c r="F37" s="3"/>
      <c r="G37" s="3"/>
      <c r="H37" s="64"/>
      <c r="I37" s="81"/>
      <c r="J37" s="11"/>
      <c r="K37" s="11"/>
      <c r="L37" s="9"/>
      <c r="M37" s="9"/>
      <c r="N37" s="11"/>
      <c r="O37" s="12"/>
      <c r="P37" s="12"/>
      <c r="Q37" s="12"/>
      <c r="R37" s="12"/>
      <c r="S37" s="3"/>
      <c r="T37" s="3"/>
      <c r="W37" s="48" t="str">
        <f t="shared" si="4"/>
        <v/>
      </c>
      <c r="X37" s="28" t="str">
        <f t="shared" si="5"/>
        <v/>
      </c>
      <c r="Y37" s="48" t="str">
        <f t="shared" si="6"/>
        <v/>
      </c>
      <c r="Z37" s="48" t="str">
        <f t="shared" si="7"/>
        <v/>
      </c>
      <c r="AA37" s="22"/>
      <c r="AB37" s="3"/>
      <c r="AC37" s="22"/>
    </row>
    <row r="38" spans="1:35" ht="16.5" customHeight="1" x14ac:dyDescent="0.3">
      <c r="A38" s="4" t="str">
        <f>IFERROR(VLOOKUP(B38,Thresholds[],2,FALSE),"")</f>
        <v/>
      </c>
      <c r="B38" s="100" t="str">
        <f>IF(K$14="","",K$14)</f>
        <v/>
      </c>
      <c r="C38" s="61"/>
      <c r="D38" s="110"/>
      <c r="E38" s="110"/>
      <c r="F38" s="66"/>
      <c r="G38" s="66"/>
      <c r="H38" s="80"/>
      <c r="I38" s="81" t="str">
        <f>IFERROR(IF(OR(AA38&lt;-AH38,AA38&gt;AH38),"AF ERROR",IF(Y38&gt;AG38,"AF REPEAT","")),"")</f>
        <v/>
      </c>
      <c r="J38" s="67"/>
      <c r="K38" s="67"/>
      <c r="L38" s="67"/>
      <c r="M38" s="67"/>
      <c r="N38" s="67"/>
      <c r="O38" s="11" t="str">
        <f>IFERROR(IF(B38="","",AB38-AC38),"")</f>
        <v/>
      </c>
      <c r="P38" s="14" t="str">
        <f>IFERROR(IF(B38="","",AVERAGE(J38:N38)),"")</f>
        <v/>
      </c>
      <c r="Q38" s="11" t="str">
        <f>IFERROR(IF(B38="","",P38-C38),"")</f>
        <v/>
      </c>
      <c r="R38" s="13" t="str">
        <f t="shared" ref="R38:R40" si="19">IFERROR(AE38&amp;"/"&amp;AF38,"")</f>
        <v/>
      </c>
      <c r="S38" s="69" t="str">
        <f>IFERROR(IF(O38&gt;AG38,"OOT REPEATABILITY",""),"")</f>
        <v/>
      </c>
      <c r="T38" s="69" t="str">
        <f>IFERROR(IF(OR(Q38&lt;-AH38,Q38&gt;AH38),"OOT ERROR",""),"")</f>
        <v/>
      </c>
      <c r="V38" t="str">
        <f>IFERROR(VLOOKUP(B38,UNCERTAINTY[],2,FALSE),"")</f>
        <v/>
      </c>
      <c r="W38" s="48" t="str">
        <f t="shared" si="4"/>
        <v/>
      </c>
      <c r="X38" s="28" t="str">
        <f t="shared" si="5"/>
        <v/>
      </c>
      <c r="Y38" s="48" t="str">
        <f t="shared" si="6"/>
        <v/>
      </c>
      <c r="Z38" s="48"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0" t="str">
        <f>IF(K$14="","",K$14)</f>
        <v/>
      </c>
      <c r="C39" s="61"/>
      <c r="D39" s="110"/>
      <c r="E39" s="110"/>
      <c r="F39" s="66"/>
      <c r="G39" s="66"/>
      <c r="H39" s="80" t="str">
        <f>IF(AND(C39-C38&lt;5,C39&gt;0),"Too Close","")</f>
        <v/>
      </c>
      <c r="I39" s="81" t="str">
        <f>IFERROR(IF(OR(AA39&lt;-AH39,AA39&gt;AH39),"AF ERROR",IF(Y39&gt;AG39,"AF REPEAT","")),"")</f>
        <v/>
      </c>
      <c r="J39" s="67"/>
      <c r="K39" s="67"/>
      <c r="L39" s="67"/>
      <c r="M39" s="67"/>
      <c r="N39" s="67"/>
      <c r="O39" s="11" t="str">
        <f>IFERROR(IF(B39="","",AB39-AC39),"")</f>
        <v/>
      </c>
      <c r="P39" s="14" t="str">
        <f>IFERROR(IF(B39="","",AVERAGE(J39:N39)),"")</f>
        <v/>
      </c>
      <c r="Q39" s="11" t="str">
        <f>IFERROR(IF(B39="","",P39-C39),"")</f>
        <v/>
      </c>
      <c r="R39" s="13" t="str">
        <f t="shared" si="19"/>
        <v/>
      </c>
      <c r="S39" s="69" t="str">
        <f>IFERROR(IF(O39&gt;AG39,"OOT REPEATABILITY",""),"")</f>
        <v/>
      </c>
      <c r="T39" s="69" t="str">
        <f>IFERROR(IF(OR(Q39&lt;-AH39,Q39&gt;AH39),"OOT ERROR",""),"")</f>
        <v/>
      </c>
      <c r="V39" t="str">
        <f>IFERROR(VLOOKUP(B39,UNCERTAINTY[],3,FALSE),"")</f>
        <v/>
      </c>
      <c r="W39" s="48" t="str">
        <f t="shared" si="4"/>
        <v/>
      </c>
      <c r="X39" s="28" t="str">
        <f t="shared" si="5"/>
        <v/>
      </c>
      <c r="Y39" s="48" t="str">
        <f t="shared" si="6"/>
        <v/>
      </c>
      <c r="Z39" s="48"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0" t="str">
        <f>IF(K$14="","",K$14)</f>
        <v/>
      </c>
      <c r="C40" s="61"/>
      <c r="D40" s="110"/>
      <c r="E40" s="110"/>
      <c r="F40" s="66"/>
      <c r="G40" s="66"/>
      <c r="H40" s="80" t="str">
        <f>IF(AND(C40-C39&lt;5,C40&gt;0),"Too Close","")</f>
        <v/>
      </c>
      <c r="I40" s="81" t="str">
        <f>IFERROR(IF(OR(AA40&lt;-AH40,AA40&gt;AH40),"AF ERROR",IF(Y40&gt;AG40,"AF REPEAT","")),"")</f>
        <v/>
      </c>
      <c r="J40" s="67"/>
      <c r="K40" s="67"/>
      <c r="L40" s="67"/>
      <c r="M40" s="67"/>
      <c r="N40" s="67"/>
      <c r="O40" s="11" t="str">
        <f>IFERROR(IF(B40="","",AB40-AC40),"")</f>
        <v/>
      </c>
      <c r="P40" s="14" t="str">
        <f>IFERROR(IF(B40="","",AVERAGE(J40:N40)),"")</f>
        <v/>
      </c>
      <c r="Q40" s="11" t="str">
        <f>IFERROR(IF(B40="","",P40-C40),"")</f>
        <v/>
      </c>
      <c r="R40" s="13" t="str">
        <f t="shared" si="19"/>
        <v/>
      </c>
      <c r="S40" s="69" t="str">
        <f>IFERROR(IF(O40&gt;AG40,"OOT REPEATABILITY",""),"")</f>
        <v/>
      </c>
      <c r="T40" s="69" t="str">
        <f>IFERROR(IF(OR(Q40&lt;-AH40,Q40&gt;AH40),"OOT ERROR",""),"")</f>
        <v/>
      </c>
      <c r="V40" t="str">
        <f>IFERROR(VLOOKUP(B40,UNCERTAINTY[],4,FALSE),"")</f>
        <v/>
      </c>
      <c r="W40" s="48" t="str">
        <f t="shared" si="4"/>
        <v/>
      </c>
      <c r="X40" s="28" t="str">
        <f t="shared" si="5"/>
        <v/>
      </c>
      <c r="Y40" s="48" t="str">
        <f t="shared" si="6"/>
        <v/>
      </c>
      <c r="Z40" s="48"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02"/>
      <c r="C41" s="90"/>
      <c r="D41" s="112"/>
      <c r="E41" s="112"/>
      <c r="F41" s="3"/>
      <c r="G41" s="3"/>
      <c r="H41" s="64"/>
      <c r="I41" s="81"/>
      <c r="J41" s="11"/>
      <c r="K41" s="11"/>
      <c r="L41" s="9"/>
      <c r="M41" s="9"/>
      <c r="N41" s="11"/>
      <c r="O41" s="12"/>
      <c r="P41" s="12"/>
      <c r="Q41" s="12"/>
      <c r="R41" s="12"/>
      <c r="S41" s="3"/>
      <c r="T41" s="3"/>
      <c r="W41" s="48" t="str">
        <f t="shared" si="4"/>
        <v/>
      </c>
      <c r="X41" s="28" t="str">
        <f t="shared" si="5"/>
        <v/>
      </c>
      <c r="Y41" s="48" t="str">
        <f t="shared" si="6"/>
        <v/>
      </c>
      <c r="Z41" s="48" t="str">
        <f t="shared" si="7"/>
        <v/>
      </c>
      <c r="AA41" s="22"/>
      <c r="AB41" s="3"/>
      <c r="AC41" s="22"/>
    </row>
    <row r="42" spans="1:35" ht="16.5" customHeight="1" x14ac:dyDescent="0.3">
      <c r="A42" s="4" t="str">
        <f>IFERROR(VLOOKUP(B42,Thresholds[],2,FALSE),"")</f>
        <v/>
      </c>
      <c r="B42" s="100" t="str">
        <f>IF(L$14="","",L$14)</f>
        <v/>
      </c>
      <c r="C42" s="61"/>
      <c r="D42" s="110"/>
      <c r="E42" s="110"/>
      <c r="F42" s="66"/>
      <c r="G42" s="66"/>
      <c r="H42" s="80"/>
      <c r="I42" s="81" t="str">
        <f>IFERROR(IF(OR(AA42&lt;-AH42,AA42&gt;AH42),"AF ERROR",IF(Y42&gt;AG42,"AF REPEAT","")),"")</f>
        <v/>
      </c>
      <c r="J42" s="67"/>
      <c r="K42" s="67"/>
      <c r="L42" s="67"/>
      <c r="M42" s="67"/>
      <c r="N42" s="67"/>
      <c r="O42" s="11" t="str">
        <f>IFERROR(IF(B42="","",AB42-AC42),"")</f>
        <v/>
      </c>
      <c r="P42" s="14" t="str">
        <f>IFERROR(IF(B42="","",AVERAGE(J42:N42)),"")</f>
        <v/>
      </c>
      <c r="Q42" s="11" t="str">
        <f>IFERROR(IF(B42="","",P42-C42),"")</f>
        <v/>
      </c>
      <c r="R42" s="13" t="str">
        <f t="shared" ref="R42:R44" si="22">IFERROR(AE42&amp;"/"&amp;AF42,"")</f>
        <v/>
      </c>
      <c r="S42" s="69" t="str">
        <f>IFERROR(IF(O42&gt;AG42,"OOT REPEATABILITY",""),"")</f>
        <v/>
      </c>
      <c r="T42" s="69" t="str">
        <f>IFERROR(IF(OR(Q42&lt;-AH42,Q42&gt;AH42),"OOT ERROR",""),"")</f>
        <v/>
      </c>
      <c r="V42" t="str">
        <f>IFERROR(VLOOKUP(B42,UNCERTAINTY[],2,FALSE),"")</f>
        <v/>
      </c>
      <c r="W42" s="48" t="str">
        <f t="shared" si="4"/>
        <v/>
      </c>
      <c r="X42" s="28" t="str">
        <f t="shared" si="5"/>
        <v/>
      </c>
      <c r="Y42" s="48" t="str">
        <f t="shared" si="6"/>
        <v/>
      </c>
      <c r="Z42" s="48"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0" t="str">
        <f>IF(L$14="","",L$14)</f>
        <v/>
      </c>
      <c r="C43" s="61"/>
      <c r="D43" s="110"/>
      <c r="E43" s="110"/>
      <c r="F43" s="66"/>
      <c r="G43" s="66"/>
      <c r="H43" s="80" t="str">
        <f>IF(AND(C43-C42&lt;5,C43&gt;0),"Too Close","")</f>
        <v/>
      </c>
      <c r="I43" s="81" t="str">
        <f>IFERROR(IF(OR(AA43&lt;-AH43,AA43&gt;AH43),"AF ERROR",IF(Y43&gt;AG43,"AF REPEAT","")),"")</f>
        <v/>
      </c>
      <c r="J43" s="67"/>
      <c r="K43" s="67"/>
      <c r="L43" s="67"/>
      <c r="M43" s="67"/>
      <c r="N43" s="67"/>
      <c r="O43" s="11" t="str">
        <f>IFERROR(IF(B43="","",AB43-AC43),"")</f>
        <v/>
      </c>
      <c r="P43" s="14" t="str">
        <f>IFERROR(IF(B43="","",AVERAGE(J43:N43)),"")</f>
        <v/>
      </c>
      <c r="Q43" s="11" t="str">
        <f>IFERROR(IF(B43="","",P43-C43),"")</f>
        <v/>
      </c>
      <c r="R43" s="13" t="str">
        <f t="shared" si="22"/>
        <v/>
      </c>
      <c r="S43" s="69" t="str">
        <f>IFERROR(IF(O43&gt;AG43,"OOT REPEATABILITY",""),"")</f>
        <v/>
      </c>
      <c r="T43" s="69" t="str">
        <f>IFERROR(IF(OR(Q43&lt;-AH43,Q43&gt;AH43),"OOT ERROR",""),"")</f>
        <v/>
      </c>
      <c r="V43" t="str">
        <f>IFERROR(VLOOKUP(B43,UNCERTAINTY[],3,FALSE),"")</f>
        <v/>
      </c>
      <c r="W43" s="48" t="str">
        <f t="shared" si="4"/>
        <v/>
      </c>
      <c r="X43" s="28" t="str">
        <f t="shared" si="5"/>
        <v/>
      </c>
      <c r="Y43" s="48" t="str">
        <f t="shared" si="6"/>
        <v/>
      </c>
      <c r="Z43" s="48"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0" t="str">
        <f>IF(L$14="","",L$14)</f>
        <v/>
      </c>
      <c r="C44" s="61"/>
      <c r="D44" s="110"/>
      <c r="E44" s="110"/>
      <c r="F44" s="66"/>
      <c r="G44" s="66"/>
      <c r="H44" s="80" t="str">
        <f>IF(AND(C44-C43&lt;5,C44&gt;0),"Too Close","")</f>
        <v/>
      </c>
      <c r="I44" s="81" t="str">
        <f>IFERROR(IF(OR(AA44&lt;-AH44,AA44&gt;AH44),"AF ERROR",IF(Y44&gt;AG44,"AF REPEAT","")),"")</f>
        <v/>
      </c>
      <c r="J44" s="67"/>
      <c r="K44" s="67"/>
      <c r="L44" s="67"/>
      <c r="M44" s="67"/>
      <c r="N44" s="67"/>
      <c r="O44" s="11" t="str">
        <f>IFERROR(IF(B44="","",AB44-AC44),"")</f>
        <v/>
      </c>
      <c r="P44" s="14" t="str">
        <f>IFERROR(IF(B44="","",AVERAGE(J44:N44)),"")</f>
        <v/>
      </c>
      <c r="Q44" s="11" t="str">
        <f>IFERROR(IF(B44="","",P44-C44),"")</f>
        <v/>
      </c>
      <c r="R44" s="13" t="str">
        <f t="shared" si="22"/>
        <v/>
      </c>
      <c r="S44" s="69" t="str">
        <f>IFERROR(IF(O44&gt;AG44,"OOT REPEATABILITY",""),"")</f>
        <v/>
      </c>
      <c r="T44" s="69" t="str">
        <f>IFERROR(IF(OR(Q44&lt;-AH44,Q44&gt;AH44),"OOT ERROR",""),"")</f>
        <v/>
      </c>
      <c r="V44" t="str">
        <f>IFERROR(VLOOKUP(B44,UNCERTAINTY[],4,FALSE),"")</f>
        <v/>
      </c>
      <c r="W44" s="48" t="str">
        <f t="shared" si="4"/>
        <v/>
      </c>
      <c r="X44" s="28" t="str">
        <f t="shared" si="5"/>
        <v/>
      </c>
      <c r="Y44" s="48" t="str">
        <f t="shared" si="6"/>
        <v/>
      </c>
      <c r="Z44" s="48"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89"/>
      <c r="C45" s="90"/>
      <c r="D45" s="50"/>
      <c r="E45" s="50"/>
      <c r="F45" s="51"/>
      <c r="G45" s="51"/>
      <c r="J45" s="11"/>
      <c r="K45" s="11"/>
      <c r="L45" s="11"/>
      <c r="M45" s="11"/>
      <c r="N45" s="11"/>
      <c r="O45" s="11"/>
      <c r="P45" s="14"/>
      <c r="Q45" s="11"/>
      <c r="R45" s="13"/>
      <c r="S45" s="23"/>
      <c r="T45" s="3"/>
      <c r="U45" s="28"/>
      <c r="V45" s="27"/>
      <c r="W45" s="48"/>
      <c r="X45" s="49"/>
      <c r="Y45" s="48"/>
      <c r="Z45" s="48"/>
      <c r="AA45" s="22"/>
      <c r="AB45" s="3"/>
      <c r="AC45" s="22"/>
      <c r="AI45" s="89"/>
    </row>
    <row r="46" spans="1:35" ht="16.5" customHeight="1" x14ac:dyDescent="0.25">
      <c r="A46" t="s">
        <v>83</v>
      </c>
      <c r="B46" s="125"/>
      <c r="C46" s="126"/>
      <c r="D46" s="126"/>
      <c r="E46" s="126"/>
      <c r="F46" s="126"/>
      <c r="G46" s="126"/>
      <c r="H46" s="126"/>
      <c r="I46" s="126"/>
      <c r="J46" s="126"/>
      <c r="K46" s="126"/>
      <c r="L46" s="127"/>
      <c r="M46" s="9"/>
      <c r="N46" t="s">
        <v>84</v>
      </c>
      <c r="O46" s="128" t="str">
        <f>IFERROR(VLOOKUP(B46,DropDowns!H13:I15,2,FALSE),"")</f>
        <v/>
      </c>
      <c r="P46" s="128"/>
      <c r="Q46" s="12"/>
      <c r="R46" s="12"/>
      <c r="U46" s="27"/>
      <c r="V46" s="27"/>
      <c r="W46" s="27"/>
      <c r="X46" s="27"/>
      <c r="Y46" s="27"/>
      <c r="Z46" s="27"/>
    </row>
    <row r="47" spans="1:35" x14ac:dyDescent="0.25">
      <c r="A47" s="4" t="s">
        <v>85</v>
      </c>
      <c r="B47" s="118"/>
      <c r="C47" s="119"/>
      <c r="D47" s="119"/>
      <c r="E47" s="119"/>
      <c r="F47" s="119"/>
      <c r="G47" s="119"/>
      <c r="H47" s="119"/>
      <c r="I47" s="119"/>
      <c r="J47" s="119"/>
      <c r="K47" s="119"/>
      <c r="L47" s="120"/>
      <c r="N47" t="s">
        <v>86</v>
      </c>
      <c r="O47" s="128" t="str">
        <f>IFERROR(VLOOKUP(B47,DropDowns!H3:I8,2,FALSE),"")</f>
        <v/>
      </c>
      <c r="P47" s="128"/>
    </row>
    <row r="48" spans="1:35" x14ac:dyDescent="0.25">
      <c r="B48" s="79"/>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D5Bgmq4+VvMBfpfFsg1m/hjECBTLHcGNBs7+bK8SG0eWq8DRm0+5R3XO8Rkn7UOPFwj89IjXyVfmV/CTfM+3qw==" saltValue="RgA1xmv64HGrVMpONteVBw==" spinCount="100000" sheet="1" objects="1" scenarios="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7" priority="1">
      <formula>$A18 = "no test"</formula>
    </cfRule>
  </conditionalFormatting>
  <dataValidations count="15">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 errorStyle="warning" allowBlank="1" showInputMessage="1" showErrorMessage="1" sqref="D7:E7 G7:H7" xr:uid="{856C36FD-4FDA-46ED-850B-3B3354211A65}"/>
    <dataValidation errorStyle="warning" showInputMessage="1" showErrorMessage="1" sqref="D5:E5 D4:E4" xr:uid="{4DAB3B6A-B11F-43C3-AB40-42E3DE0B2051}"/>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3E98397E-57CF-4F6B-A1D1-61FAF938413B}">
          <x14:formula1>
            <xm:f>DropDowns!$J$20:$J$1048576</xm:f>
          </x14:formula1>
          <xm:sqref>G4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04" t="b">
        <v>1</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08" t="s">
        <v>229</v>
      </c>
      <c r="B1" s="108" t="s">
        <v>228</v>
      </c>
    </row>
    <row r="2" spans="1:16" x14ac:dyDescent="0.25">
      <c r="A2" t="str">
        <f>IF($B$2, "/P ", " ")</f>
        <v xml:space="preserve"> </v>
      </c>
      <c r="B2" t="b">
        <f>Worksheet!D$11="YES"</f>
        <v>0</v>
      </c>
    </row>
    <row r="3" spans="1:16" s="107" customFormat="1" x14ac:dyDescent="0.25"/>
    <row r="4" spans="1:16" x14ac:dyDescent="0.25">
      <c r="A4" s="99" t="s">
        <v>134</v>
      </c>
    </row>
    <row r="5" spans="1:16" x14ac:dyDescent="0.25">
      <c r="A5" s="94" t="s">
        <v>104</v>
      </c>
      <c r="B5" s="94" t="s">
        <v>53</v>
      </c>
      <c r="C5" s="15" t="s">
        <v>56</v>
      </c>
      <c r="D5" s="15" t="s">
        <v>57</v>
      </c>
      <c r="E5" s="15"/>
      <c r="F5" s="15"/>
      <c r="G5" s="15"/>
      <c r="H5" s="15" t="s">
        <v>61</v>
      </c>
      <c r="I5" s="15" t="s">
        <v>62</v>
      </c>
      <c r="J5" s="15" t="s">
        <v>63</v>
      </c>
      <c r="K5" s="35" t="s">
        <v>64</v>
      </c>
      <c r="L5" s="15" t="s">
        <v>105</v>
      </c>
      <c r="P5" s="15" t="s">
        <v>135</v>
      </c>
    </row>
    <row r="6" spans="1:16" ht="15.75" x14ac:dyDescent="0.25">
      <c r="A6" s="91" t="str">
        <f>IF(Worksheet!C18="", "", Worksheet!B18 &amp; $A$2 &amp; P6)</f>
        <v/>
      </c>
      <c r="B6" s="73" t="str">
        <f>IF(Worksheet!D18="","",Worksheet!D18)</f>
        <v/>
      </c>
      <c r="C6" s="73" t="str">
        <f>IF(Worksheet!F18="","",Worksheet!F18)</f>
        <v/>
      </c>
      <c r="D6" s="73" t="str">
        <f>IF(Worksheet!G18="","",Worksheet!G18)</f>
        <v/>
      </c>
      <c r="E6" s="95"/>
      <c r="F6" s="95"/>
      <c r="G6" s="95"/>
      <c r="H6" s="73" t="str">
        <f>IF(Worksheet!F18="","",Worksheet!Y18)</f>
        <v/>
      </c>
      <c r="I6" s="43" t="str">
        <f>IF(Worksheet!F18="","",Worksheet!Z18)</f>
        <v/>
      </c>
      <c r="J6" s="43" t="str">
        <f>IF(Worksheet!F18="","",Worksheet!AA18)</f>
        <v/>
      </c>
      <c r="K6" s="73" t="str">
        <f>IF(Worksheet!F18="","",Worksheet!R18)</f>
        <v/>
      </c>
      <c r="L6" s="38" t="str">
        <f>IF(Worksheet!F18="","",Worksheet!V18)</f>
        <v/>
      </c>
      <c r="P6" s="19" t="str">
        <f>TEXT(Worksheet!C18,"0.0")</f>
        <v>0.0</v>
      </c>
    </row>
    <row r="7" spans="1:16" ht="15.75" x14ac:dyDescent="0.25">
      <c r="A7" s="92" t="str">
        <f>IF(Worksheet!C19="", "", Worksheet!B19 &amp; $A$2 &amp; P7)</f>
        <v/>
      </c>
      <c r="B7" s="26" t="str">
        <f>IF(Worksheet!D19="","",Worksheet!D19)</f>
        <v/>
      </c>
      <c r="C7" s="26" t="str">
        <f>IF(Worksheet!F19="","",Worksheet!F19)</f>
        <v/>
      </c>
      <c r="D7" s="26" t="str">
        <f>IF(Worksheet!G19="","",Worksheet!G19)</f>
        <v/>
      </c>
      <c r="E7" s="72"/>
      <c r="F7" s="72"/>
      <c r="G7" s="72"/>
      <c r="H7" s="26" t="str">
        <f>IF(Worksheet!F19="","",Worksheet!Y19)</f>
        <v/>
      </c>
      <c r="I7" s="44" t="str">
        <f>IF(Worksheet!F19="","",Worksheet!Z19)</f>
        <v/>
      </c>
      <c r="J7" s="44" t="str">
        <f>IF(Worksheet!F19="","",Worksheet!AA19)</f>
        <v/>
      </c>
      <c r="K7" s="26" t="str">
        <f>IF(Worksheet!F19="","",Worksheet!R19)</f>
        <v/>
      </c>
      <c r="L7" s="39" t="str">
        <f>IF(Worksheet!F19="","",Worksheet!V19)</f>
        <v/>
      </c>
      <c r="P7" s="19" t="str">
        <f>TEXT(Worksheet!C19,"0.0")</f>
        <v>0.0</v>
      </c>
    </row>
    <row r="8" spans="1:16" ht="15.75" x14ac:dyDescent="0.25">
      <c r="A8" s="93" t="str">
        <f>IF(Worksheet!C20="", "", Worksheet!B20 &amp; $A$2 &amp; P8)</f>
        <v/>
      </c>
      <c r="B8" s="74" t="str">
        <f>IF(Worksheet!D20="","",Worksheet!D20)</f>
        <v/>
      </c>
      <c r="C8" s="74" t="str">
        <f>IF(Worksheet!F20="","",Worksheet!F20)</f>
        <v/>
      </c>
      <c r="D8" s="74" t="str">
        <f>IF(Worksheet!G20="","",Worksheet!G20)</f>
        <v/>
      </c>
      <c r="E8" s="96"/>
      <c r="F8" s="96"/>
      <c r="G8" s="96"/>
      <c r="H8" s="74" t="str">
        <f>IF(Worksheet!F20="","",Worksheet!Y20)</f>
        <v/>
      </c>
      <c r="I8" s="45" t="str">
        <f>IF(Worksheet!F20="","",Worksheet!Z20)</f>
        <v/>
      </c>
      <c r="J8" s="45" t="str">
        <f>IF(Worksheet!F20="","",Worksheet!AA20)</f>
        <v/>
      </c>
      <c r="K8" s="74" t="str">
        <f>IF(Worksheet!F20="","",Worksheet!R20)</f>
        <v/>
      </c>
      <c r="L8" s="40" t="str">
        <f>IF(Worksheet!F20="","",Worksheet!V20)</f>
        <v/>
      </c>
      <c r="P8" s="19" t="str">
        <f>TEXT(Worksheet!C20,"0.0")</f>
        <v>0.0</v>
      </c>
    </row>
    <row r="9" spans="1:16" ht="7.5" customHeight="1" x14ac:dyDescent="0.25">
      <c r="A9" s="19"/>
      <c r="B9" s="19"/>
      <c r="C9" s="19"/>
      <c r="D9" s="19"/>
      <c r="E9" s="97"/>
      <c r="F9" s="97"/>
      <c r="G9" s="97"/>
      <c r="H9" s="19"/>
      <c r="I9" s="19"/>
      <c r="J9" s="19"/>
      <c r="K9" s="19"/>
    </row>
    <row r="10" spans="1:16" ht="15.75" x14ac:dyDescent="0.25">
      <c r="A10" s="91" t="str">
        <f>IF(Worksheet!C22="", "", Worksheet!B22 &amp; $A$2 &amp; P10)</f>
        <v/>
      </c>
      <c r="B10" s="73" t="str">
        <f>IF(Worksheet!D22="","",Worksheet!D22)</f>
        <v/>
      </c>
      <c r="C10" s="73" t="str">
        <f>IF(Worksheet!F22="","",Worksheet!F22)</f>
        <v/>
      </c>
      <c r="D10" s="73" t="str">
        <f>IF(Worksheet!G22="","",Worksheet!G22)</f>
        <v/>
      </c>
      <c r="E10" s="95"/>
      <c r="F10" s="95"/>
      <c r="G10" s="95"/>
      <c r="H10" s="73" t="str">
        <f>IF(Worksheet!F22="","",Worksheet!Y22)</f>
        <v/>
      </c>
      <c r="I10" s="43" t="str">
        <f>IF(Worksheet!F22="","",Worksheet!Z22)</f>
        <v/>
      </c>
      <c r="J10" s="43" t="str">
        <f>IF(Worksheet!F22="","",Worksheet!AA22)</f>
        <v/>
      </c>
      <c r="K10" s="73" t="str">
        <f>IF(Worksheet!F22="","",Worksheet!R22)</f>
        <v/>
      </c>
      <c r="L10" s="38" t="str">
        <f>IF(Worksheet!F22="","",Worksheet!V22)</f>
        <v/>
      </c>
      <c r="P10" s="19" t="str">
        <f>TEXT(Worksheet!C22,"0.0")</f>
        <v>0.0</v>
      </c>
    </row>
    <row r="11" spans="1:16" ht="15.75" x14ac:dyDescent="0.25">
      <c r="A11" s="92" t="str">
        <f>IF(Worksheet!C23="", "", Worksheet!B23 &amp; $A$2 &amp; P11)</f>
        <v/>
      </c>
      <c r="B11" s="26" t="str">
        <f>IF(Worksheet!D23="","",Worksheet!D23)</f>
        <v/>
      </c>
      <c r="C11" s="26" t="str">
        <f>IF(Worksheet!F23="","",Worksheet!F23)</f>
        <v/>
      </c>
      <c r="D11" s="26" t="str">
        <f>IF(Worksheet!G23="","",Worksheet!G23)</f>
        <v/>
      </c>
      <c r="E11" s="72"/>
      <c r="F11" s="72"/>
      <c r="G11" s="72"/>
      <c r="H11" s="26" t="str">
        <f>IF(Worksheet!F23="","",Worksheet!Y23)</f>
        <v/>
      </c>
      <c r="I11" s="44" t="str">
        <f>IF(Worksheet!F23="","",Worksheet!Z23)</f>
        <v/>
      </c>
      <c r="J11" s="44" t="str">
        <f>IF(Worksheet!F23="","",Worksheet!AA23)</f>
        <v/>
      </c>
      <c r="K11" s="26" t="str">
        <f>IF(Worksheet!F23="","",Worksheet!R23)</f>
        <v/>
      </c>
      <c r="L11" s="39" t="str">
        <f>IF(Worksheet!F23="","",Worksheet!V23)</f>
        <v/>
      </c>
      <c r="P11" s="19" t="str">
        <f>TEXT(Worksheet!C23,"0.0")</f>
        <v>0.0</v>
      </c>
    </row>
    <row r="12" spans="1:16" ht="15.75" x14ac:dyDescent="0.25">
      <c r="A12" s="93" t="str">
        <f>IF(Worksheet!C24="", "", Worksheet!B24 &amp; $A$2 &amp; P12)</f>
        <v/>
      </c>
      <c r="B12" s="74" t="str">
        <f>IF(Worksheet!D24="","",Worksheet!D24)</f>
        <v/>
      </c>
      <c r="C12" s="74" t="str">
        <f>IF(Worksheet!F24="","",Worksheet!F24)</f>
        <v/>
      </c>
      <c r="D12" s="74" t="str">
        <f>IF(Worksheet!G24="","",Worksheet!G24)</f>
        <v/>
      </c>
      <c r="E12" s="96"/>
      <c r="F12" s="96"/>
      <c r="G12" s="96"/>
      <c r="H12" s="74" t="str">
        <f>IF(Worksheet!F24="","",Worksheet!Y24)</f>
        <v/>
      </c>
      <c r="I12" s="45" t="str">
        <f>IF(Worksheet!F24="","",Worksheet!Z24)</f>
        <v/>
      </c>
      <c r="J12" s="45" t="str">
        <f>IF(Worksheet!F24="","",Worksheet!AA24)</f>
        <v/>
      </c>
      <c r="K12" s="74" t="str">
        <f>IF(Worksheet!F24="","",Worksheet!R24)</f>
        <v/>
      </c>
      <c r="L12" s="40" t="str">
        <f>IF(Worksheet!F24="","",Worksheet!V24)</f>
        <v/>
      </c>
      <c r="P12" s="19" t="str">
        <f>TEXT(Worksheet!C24,"0.0")</f>
        <v>0.0</v>
      </c>
    </row>
    <row r="13" spans="1:16" ht="7.5" customHeight="1" x14ac:dyDescent="0.25">
      <c r="A13" s="19"/>
      <c r="B13" s="19"/>
      <c r="C13" s="19"/>
      <c r="D13" s="19"/>
      <c r="E13" s="97"/>
      <c r="F13" s="97"/>
      <c r="G13" s="97"/>
      <c r="H13" s="19"/>
      <c r="I13" s="19"/>
      <c r="J13" s="19"/>
      <c r="K13" s="19"/>
    </row>
    <row r="14" spans="1:16" ht="15.75" x14ac:dyDescent="0.25">
      <c r="A14" s="91" t="str">
        <f>IF(Worksheet!C26="", "", Worksheet!B26 &amp; $A$2 &amp; P14)</f>
        <v/>
      </c>
      <c r="B14" s="73" t="str">
        <f>IF(Worksheet!D26="","",Worksheet!D26)</f>
        <v/>
      </c>
      <c r="C14" s="73" t="str">
        <f>IF(Worksheet!F26="","",Worksheet!F26)</f>
        <v/>
      </c>
      <c r="D14" s="73" t="str">
        <f>IF(Worksheet!G26="","",Worksheet!G26)</f>
        <v/>
      </c>
      <c r="E14" s="95"/>
      <c r="F14" s="95"/>
      <c r="G14" s="95"/>
      <c r="H14" s="73" t="str">
        <f>IF(Worksheet!F26="","",Worksheet!Y26)</f>
        <v/>
      </c>
      <c r="I14" s="43" t="str">
        <f>IF(Worksheet!F26="","",Worksheet!Z26)</f>
        <v/>
      </c>
      <c r="J14" s="43" t="str">
        <f>IF(Worksheet!F26="","",Worksheet!AA26)</f>
        <v/>
      </c>
      <c r="K14" s="73" t="str">
        <f>IF(Worksheet!F26="","",Worksheet!R26)</f>
        <v/>
      </c>
      <c r="L14" s="38" t="str">
        <f>IF(Worksheet!F26="","",Worksheet!V26)</f>
        <v/>
      </c>
      <c r="P14" s="19" t="str">
        <f>TEXT(Worksheet!C26,"0.0")</f>
        <v>0.0</v>
      </c>
    </row>
    <row r="15" spans="1:16" ht="15.75" x14ac:dyDescent="0.25">
      <c r="A15" s="92" t="str">
        <f>IF(Worksheet!C27="", "", Worksheet!B27 &amp; $A$2 &amp; P15)</f>
        <v/>
      </c>
      <c r="B15" s="26" t="str">
        <f>IF(Worksheet!D27="","",Worksheet!D27)</f>
        <v/>
      </c>
      <c r="C15" s="26" t="str">
        <f>IF(Worksheet!F27="","",Worksheet!F27)</f>
        <v/>
      </c>
      <c r="D15" s="26" t="str">
        <f>IF(Worksheet!G27="","",Worksheet!G27)</f>
        <v/>
      </c>
      <c r="E15" s="72"/>
      <c r="F15" s="72"/>
      <c r="G15" s="72"/>
      <c r="H15" s="26" t="str">
        <f>IF(Worksheet!F27="","",Worksheet!Y27)</f>
        <v/>
      </c>
      <c r="I15" s="44" t="str">
        <f>IF(Worksheet!F27="","",Worksheet!Z27)</f>
        <v/>
      </c>
      <c r="J15" s="44" t="str">
        <f>IF(Worksheet!F27="","",Worksheet!AA27)</f>
        <v/>
      </c>
      <c r="K15" s="26" t="str">
        <f>IF(Worksheet!F27="","",Worksheet!R27)</f>
        <v/>
      </c>
      <c r="L15" s="39" t="str">
        <f>IF(Worksheet!F27="","",Worksheet!V27)</f>
        <v/>
      </c>
      <c r="P15" s="19" t="str">
        <f>TEXT(Worksheet!C27,"0.0")</f>
        <v>0.0</v>
      </c>
    </row>
    <row r="16" spans="1:16" ht="15.75" x14ac:dyDescent="0.25">
      <c r="A16" s="93" t="str">
        <f>IF(Worksheet!C28="", "", Worksheet!B28 &amp; $A$2 &amp; P16)</f>
        <v/>
      </c>
      <c r="B16" s="74" t="str">
        <f>IF(Worksheet!D28="","",Worksheet!D28)</f>
        <v/>
      </c>
      <c r="C16" s="74" t="str">
        <f>IF(Worksheet!F28="","",Worksheet!F28)</f>
        <v/>
      </c>
      <c r="D16" s="74" t="str">
        <f>IF(Worksheet!G28="","",Worksheet!G28)</f>
        <v/>
      </c>
      <c r="E16" s="96"/>
      <c r="F16" s="96"/>
      <c r="G16" s="96"/>
      <c r="H16" s="74" t="str">
        <f>IF(Worksheet!F28="","",Worksheet!Y28)</f>
        <v/>
      </c>
      <c r="I16" s="45" t="str">
        <f>IF(Worksheet!F28="","",Worksheet!Z28)</f>
        <v/>
      </c>
      <c r="J16" s="45" t="str">
        <f>IF(Worksheet!F28="","",Worksheet!AA28)</f>
        <v/>
      </c>
      <c r="K16" s="74" t="str">
        <f>IF(Worksheet!F28="","",Worksheet!R28)</f>
        <v/>
      </c>
      <c r="L16" s="40" t="str">
        <f>IF(Worksheet!F28="","",Worksheet!V28)</f>
        <v/>
      </c>
      <c r="P16" s="19" t="str">
        <f>TEXT(Worksheet!C28,"0.0")</f>
        <v>0.0</v>
      </c>
    </row>
    <row r="17" spans="1:16" ht="7.5" customHeight="1" x14ac:dyDescent="0.25">
      <c r="A17" s="19"/>
      <c r="B17" s="19"/>
      <c r="C17" s="19"/>
      <c r="D17" s="19"/>
      <c r="E17" s="97"/>
      <c r="F17" s="97"/>
      <c r="G17" s="97"/>
      <c r="H17" s="19"/>
      <c r="I17" s="19"/>
      <c r="J17" s="19"/>
      <c r="K17" s="19"/>
    </row>
    <row r="18" spans="1:16" ht="15.75" x14ac:dyDescent="0.25">
      <c r="A18" s="91" t="str">
        <f>IF(Worksheet!C30="", "", Worksheet!B30 &amp; $A$2 &amp; P18)</f>
        <v/>
      </c>
      <c r="B18" s="73" t="str">
        <f>IF(Worksheet!D30="","",Worksheet!D30)</f>
        <v/>
      </c>
      <c r="C18" s="73" t="str">
        <f>IF(Worksheet!F30="","",Worksheet!F30)</f>
        <v/>
      </c>
      <c r="D18" s="73" t="str">
        <f>IF(Worksheet!G30="","",Worksheet!G30)</f>
        <v/>
      </c>
      <c r="E18" s="95"/>
      <c r="F18" s="95"/>
      <c r="G18" s="95"/>
      <c r="H18" s="73" t="str">
        <f>IF(Worksheet!F30="","",Worksheet!Y30)</f>
        <v/>
      </c>
      <c r="I18" s="43" t="str">
        <f>IF(Worksheet!F30="","",Worksheet!Z30)</f>
        <v/>
      </c>
      <c r="J18" s="43" t="str">
        <f>IF(Worksheet!F30="","",Worksheet!AA30)</f>
        <v/>
      </c>
      <c r="K18" s="73" t="str">
        <f>IF(Worksheet!F30="","",Worksheet!R30)</f>
        <v/>
      </c>
      <c r="L18" s="38" t="str">
        <f>IF(Worksheet!F30="","",Worksheet!V30)</f>
        <v/>
      </c>
      <c r="P18" s="19" t="str">
        <f>TEXT(Worksheet!C30,"0.0")</f>
        <v>0.0</v>
      </c>
    </row>
    <row r="19" spans="1:16" ht="15.75" x14ac:dyDescent="0.25">
      <c r="A19" s="92" t="str">
        <f>IF(Worksheet!C31="", "", Worksheet!B31 &amp; $A$2 &amp; P19)</f>
        <v/>
      </c>
      <c r="B19" s="26" t="str">
        <f>IF(Worksheet!D31="","",Worksheet!D31)</f>
        <v/>
      </c>
      <c r="C19" s="26" t="str">
        <f>IF(Worksheet!F31="","",Worksheet!F31)</f>
        <v/>
      </c>
      <c r="D19" s="26" t="str">
        <f>IF(Worksheet!G31="","",Worksheet!G31)</f>
        <v/>
      </c>
      <c r="E19" s="72"/>
      <c r="F19" s="72"/>
      <c r="G19" s="72"/>
      <c r="H19" s="26" t="str">
        <f>IF(Worksheet!F31="","",Worksheet!Y31)</f>
        <v/>
      </c>
      <c r="I19" s="44" t="str">
        <f>IF(Worksheet!F31="","",Worksheet!Z31)</f>
        <v/>
      </c>
      <c r="J19" s="44" t="str">
        <f>IF(Worksheet!F31="","",Worksheet!AA31)</f>
        <v/>
      </c>
      <c r="K19" s="26" t="str">
        <f>IF(Worksheet!F31="","",Worksheet!R31)</f>
        <v/>
      </c>
      <c r="L19" s="39" t="str">
        <f>IF(Worksheet!F31="","",Worksheet!V31)</f>
        <v/>
      </c>
      <c r="P19" s="19" t="str">
        <f>TEXT(Worksheet!C31,"0.0")</f>
        <v>0.0</v>
      </c>
    </row>
    <row r="20" spans="1:16" ht="15.75" x14ac:dyDescent="0.25">
      <c r="A20" s="93" t="str">
        <f>IF(Worksheet!C32="", "", Worksheet!B32 &amp; $A$2 &amp; P20)</f>
        <v/>
      </c>
      <c r="B20" s="74" t="str">
        <f>IF(Worksheet!D32="","",Worksheet!D32)</f>
        <v/>
      </c>
      <c r="C20" s="74" t="str">
        <f>IF(Worksheet!F32="","",Worksheet!F32)</f>
        <v/>
      </c>
      <c r="D20" s="74" t="str">
        <f>IF(Worksheet!G32="","",Worksheet!G32)</f>
        <v/>
      </c>
      <c r="E20" s="96"/>
      <c r="F20" s="96"/>
      <c r="G20" s="96"/>
      <c r="H20" s="74" t="str">
        <f>IF(Worksheet!F32="","",Worksheet!Y32)</f>
        <v/>
      </c>
      <c r="I20" s="45" t="str">
        <f>IF(Worksheet!F32="","",Worksheet!Z32)</f>
        <v/>
      </c>
      <c r="J20" s="45" t="str">
        <f>IF(Worksheet!F32="","",Worksheet!AA32)</f>
        <v/>
      </c>
      <c r="K20" s="74" t="str">
        <f>IF(Worksheet!F32="","",Worksheet!R32)</f>
        <v/>
      </c>
      <c r="L20" s="40" t="str">
        <f>IF(Worksheet!F32="","",Worksheet!V32)</f>
        <v/>
      </c>
      <c r="P20" s="19" t="str">
        <f>TEXT(Worksheet!C32,"0.0")</f>
        <v>0.0</v>
      </c>
    </row>
    <row r="21" spans="1:16" ht="7.5" customHeight="1" x14ac:dyDescent="0.25">
      <c r="A21" s="19"/>
      <c r="B21" s="19"/>
      <c r="C21" s="19"/>
      <c r="D21" s="19"/>
      <c r="E21" s="97"/>
      <c r="F21" s="97"/>
      <c r="G21" s="97"/>
      <c r="H21" s="19"/>
      <c r="I21" s="19"/>
      <c r="J21" s="19"/>
      <c r="K21" s="19"/>
    </row>
    <row r="22" spans="1:16" ht="15.75" x14ac:dyDescent="0.25">
      <c r="A22" s="91" t="str">
        <f>IF(Worksheet!C34="", "", Worksheet!B34 &amp; $A$2 &amp; P22)</f>
        <v/>
      </c>
      <c r="B22" s="73" t="str">
        <f>IF(Worksheet!D34="","",Worksheet!D34)</f>
        <v/>
      </c>
      <c r="C22" s="73" t="str">
        <f>IF(Worksheet!F34="","",Worksheet!F34)</f>
        <v/>
      </c>
      <c r="D22" s="73" t="str">
        <f>IF(Worksheet!G34="","",Worksheet!G34)</f>
        <v/>
      </c>
      <c r="E22" s="95"/>
      <c r="F22" s="95"/>
      <c r="G22" s="95"/>
      <c r="H22" s="73" t="str">
        <f>IF(Worksheet!F34="","",Worksheet!Y34)</f>
        <v/>
      </c>
      <c r="I22" s="43" t="str">
        <f>IF(Worksheet!F34="","",Worksheet!Z34)</f>
        <v/>
      </c>
      <c r="J22" s="43" t="str">
        <f>IF(Worksheet!F34="","",Worksheet!AA34)</f>
        <v/>
      </c>
      <c r="K22" s="73" t="str">
        <f>IF(Worksheet!F34="","",Worksheet!R34)</f>
        <v/>
      </c>
      <c r="L22" s="38" t="str">
        <f>IF(Worksheet!F34="","",Worksheet!V34)</f>
        <v/>
      </c>
      <c r="P22" s="19" t="str">
        <f>TEXT(Worksheet!C34,"0.0")</f>
        <v>0.0</v>
      </c>
    </row>
    <row r="23" spans="1:16" ht="15.75" x14ac:dyDescent="0.25">
      <c r="A23" s="92" t="str">
        <f>IF(Worksheet!C35="", "", Worksheet!B35 &amp; $A$2 &amp; P23)</f>
        <v/>
      </c>
      <c r="B23" s="26" t="str">
        <f>IF(Worksheet!D35="","",Worksheet!D35)</f>
        <v/>
      </c>
      <c r="C23" s="26" t="str">
        <f>IF(Worksheet!F35="","",Worksheet!F35)</f>
        <v/>
      </c>
      <c r="D23" s="26" t="str">
        <f>IF(Worksheet!G35="","",Worksheet!G35)</f>
        <v/>
      </c>
      <c r="E23" s="72"/>
      <c r="F23" s="72"/>
      <c r="G23" s="72"/>
      <c r="H23" s="26" t="str">
        <f>IF(Worksheet!F35="","",Worksheet!Y35)</f>
        <v/>
      </c>
      <c r="I23" s="44" t="str">
        <f>IF(Worksheet!F35="","",Worksheet!Z35)</f>
        <v/>
      </c>
      <c r="J23" s="44" t="str">
        <f>IF(Worksheet!F35="","",Worksheet!AA35)</f>
        <v/>
      </c>
      <c r="K23" s="26" t="str">
        <f>IF(Worksheet!F35="","",Worksheet!R35)</f>
        <v/>
      </c>
      <c r="L23" s="39" t="str">
        <f>IF(Worksheet!F35="","",Worksheet!V35)</f>
        <v/>
      </c>
      <c r="P23" s="19" t="str">
        <f>TEXT(Worksheet!C35,"0.0")</f>
        <v>0.0</v>
      </c>
    </row>
    <row r="24" spans="1:16" ht="15.75" x14ac:dyDescent="0.25">
      <c r="A24" s="93" t="str">
        <f>IF(Worksheet!C36="", "", Worksheet!B36 &amp; $A$2 &amp; P24)</f>
        <v/>
      </c>
      <c r="B24" s="74" t="str">
        <f>IF(Worksheet!D36="","",Worksheet!D36)</f>
        <v/>
      </c>
      <c r="C24" s="74" t="str">
        <f>IF(Worksheet!F36="","",Worksheet!F36)</f>
        <v/>
      </c>
      <c r="D24" s="74" t="str">
        <f>IF(Worksheet!G36="","",Worksheet!G36)</f>
        <v/>
      </c>
      <c r="E24" s="96"/>
      <c r="F24" s="96"/>
      <c r="G24" s="96"/>
      <c r="H24" s="74" t="str">
        <f>IF(Worksheet!F36="","",Worksheet!Y36)</f>
        <v/>
      </c>
      <c r="I24" s="45" t="str">
        <f>IF(Worksheet!F36="","",Worksheet!Z36)</f>
        <v/>
      </c>
      <c r="J24" s="45" t="str">
        <f>IF(Worksheet!F36="","",Worksheet!AA36)</f>
        <v/>
      </c>
      <c r="K24" s="74" t="str">
        <f>IF(Worksheet!F36="","",Worksheet!R36)</f>
        <v/>
      </c>
      <c r="L24" s="40" t="str">
        <f>IF(Worksheet!F36="","",Worksheet!V36)</f>
        <v/>
      </c>
      <c r="P24" s="19" t="str">
        <f>TEXT(Worksheet!C36,"0.0")</f>
        <v>0.0</v>
      </c>
    </row>
    <row r="25" spans="1:16" ht="7.5" customHeight="1" x14ac:dyDescent="0.25">
      <c r="A25" s="19"/>
      <c r="B25" s="19"/>
      <c r="C25" s="19"/>
      <c r="D25" s="19"/>
      <c r="E25" s="97"/>
      <c r="F25" s="97"/>
      <c r="G25" s="97"/>
      <c r="H25" s="19"/>
      <c r="I25" s="19"/>
      <c r="J25" s="19"/>
      <c r="K25" s="19"/>
    </row>
    <row r="26" spans="1:16" ht="15.75" x14ac:dyDescent="0.25">
      <c r="A26" s="91" t="str">
        <f>IF(Worksheet!C38="", "", Worksheet!B38 &amp; $A$2 &amp; P26)</f>
        <v/>
      </c>
      <c r="B26" s="73" t="str">
        <f>IF(Worksheet!D38="","",Worksheet!D38)</f>
        <v/>
      </c>
      <c r="C26" s="73" t="str">
        <f>IF(Worksheet!F38="","",Worksheet!F38)</f>
        <v/>
      </c>
      <c r="D26" s="73" t="str">
        <f>IF(Worksheet!G38="","",Worksheet!G38)</f>
        <v/>
      </c>
      <c r="E26" s="95"/>
      <c r="F26" s="95"/>
      <c r="G26" s="95"/>
      <c r="H26" s="73" t="str">
        <f>IF(Worksheet!F38="","",Worksheet!Y38)</f>
        <v/>
      </c>
      <c r="I26" s="43" t="str">
        <f>IF(Worksheet!F38="","",Worksheet!Z38)</f>
        <v/>
      </c>
      <c r="J26" s="43" t="str">
        <f>IF(Worksheet!F38="","",Worksheet!AA38)</f>
        <v/>
      </c>
      <c r="K26" s="73" t="str">
        <f>IF(Worksheet!F38="","",Worksheet!R38)</f>
        <v/>
      </c>
      <c r="L26" s="38" t="str">
        <f>IF(Worksheet!F38="","",Worksheet!V38)</f>
        <v/>
      </c>
      <c r="P26" s="19" t="str">
        <f>TEXT(Worksheet!C38,"0.0")</f>
        <v>0.0</v>
      </c>
    </row>
    <row r="27" spans="1:16" ht="15.75" x14ac:dyDescent="0.25">
      <c r="A27" s="92" t="str">
        <f>IF(Worksheet!C39="", "", Worksheet!B39 &amp; $A$2 &amp; P27)</f>
        <v/>
      </c>
      <c r="B27" s="26" t="str">
        <f>IF(Worksheet!D39="","",Worksheet!D39)</f>
        <v/>
      </c>
      <c r="C27" s="26" t="str">
        <f>IF(Worksheet!F39="","",Worksheet!F39)</f>
        <v/>
      </c>
      <c r="D27" s="26" t="str">
        <f>IF(Worksheet!G39="","",Worksheet!G39)</f>
        <v/>
      </c>
      <c r="E27" s="72"/>
      <c r="F27" s="72"/>
      <c r="G27" s="72"/>
      <c r="H27" s="26" t="str">
        <f>IF(Worksheet!F39="","",Worksheet!Y39)</f>
        <v/>
      </c>
      <c r="I27" s="44" t="str">
        <f>IF(Worksheet!F39="","",Worksheet!Z39)</f>
        <v/>
      </c>
      <c r="J27" s="44" t="str">
        <f>IF(Worksheet!F39="","",Worksheet!AA39)</f>
        <v/>
      </c>
      <c r="K27" s="26" t="str">
        <f>IF(Worksheet!F39="","",Worksheet!R39)</f>
        <v/>
      </c>
      <c r="L27" s="39" t="str">
        <f>IF(Worksheet!F39="","",Worksheet!V39)</f>
        <v/>
      </c>
      <c r="P27" s="19" t="str">
        <f>TEXT(Worksheet!C39,"0.0")</f>
        <v>0.0</v>
      </c>
    </row>
    <row r="28" spans="1:16" ht="15.75" x14ac:dyDescent="0.25">
      <c r="A28" s="93" t="str">
        <f>IF(Worksheet!C40="", "", Worksheet!B40 &amp; $A$2 &amp; P28)</f>
        <v/>
      </c>
      <c r="B28" s="74" t="str">
        <f>IF(Worksheet!D40="","",Worksheet!D40)</f>
        <v/>
      </c>
      <c r="C28" s="74" t="str">
        <f>IF(Worksheet!F40="","",Worksheet!F40)</f>
        <v/>
      </c>
      <c r="D28" s="74" t="str">
        <f>IF(Worksheet!G40="","",Worksheet!G40)</f>
        <v/>
      </c>
      <c r="E28" s="96"/>
      <c r="F28" s="96"/>
      <c r="G28" s="96"/>
      <c r="H28" s="74" t="str">
        <f>IF(Worksheet!F40="","",Worksheet!Y40)</f>
        <v/>
      </c>
      <c r="I28" s="45" t="str">
        <f>IF(Worksheet!F40="","",Worksheet!Z40)</f>
        <v/>
      </c>
      <c r="J28" s="45" t="str">
        <f>IF(Worksheet!F40="","",Worksheet!AA40)</f>
        <v/>
      </c>
      <c r="K28" s="74" t="str">
        <f>IF(Worksheet!F40="","",Worksheet!R40)</f>
        <v/>
      </c>
      <c r="L28" s="40" t="str">
        <f>IF(Worksheet!F40="","",Worksheet!V40)</f>
        <v/>
      </c>
      <c r="P28" s="19" t="str">
        <f>TEXT(Worksheet!C40,"0.0")</f>
        <v>0.0</v>
      </c>
    </row>
    <row r="29" spans="1:16" ht="7.5" customHeight="1" x14ac:dyDescent="0.25">
      <c r="A29" s="19"/>
      <c r="B29" s="19"/>
      <c r="C29" s="19"/>
      <c r="D29" s="19"/>
      <c r="E29" s="97"/>
      <c r="F29" s="97"/>
      <c r="G29" s="97"/>
      <c r="H29" s="19"/>
      <c r="I29" s="19"/>
      <c r="J29" s="19"/>
      <c r="K29" s="19"/>
    </row>
    <row r="30" spans="1:16" ht="15.75" x14ac:dyDescent="0.25">
      <c r="A30" s="91" t="str">
        <f>IF(Worksheet!C42="", "", Worksheet!B42 &amp; $A$2 &amp; P30)</f>
        <v/>
      </c>
      <c r="B30" s="73" t="str">
        <f>IF(Worksheet!D42="","",Worksheet!D42)</f>
        <v/>
      </c>
      <c r="C30" s="73" t="str">
        <f>IF(Worksheet!F42="","",Worksheet!F42)</f>
        <v/>
      </c>
      <c r="D30" s="73" t="str">
        <f>IF(Worksheet!G42="","",Worksheet!G42)</f>
        <v/>
      </c>
      <c r="E30" s="95"/>
      <c r="F30" s="95"/>
      <c r="G30" s="95"/>
      <c r="H30" s="73" t="str">
        <f>IF(Worksheet!F42="","",Worksheet!Y42)</f>
        <v/>
      </c>
      <c r="I30" s="43" t="str">
        <f>IF(Worksheet!F42="","",Worksheet!Z42)</f>
        <v/>
      </c>
      <c r="J30" s="43" t="str">
        <f>IF(Worksheet!F42="","",Worksheet!AA42)</f>
        <v/>
      </c>
      <c r="K30" s="73" t="str">
        <f>IF(Worksheet!F42="","",Worksheet!R42)</f>
        <v/>
      </c>
      <c r="L30" s="38" t="str">
        <f>IF(Worksheet!F42="","",Worksheet!V42)</f>
        <v/>
      </c>
      <c r="P30" s="19" t="str">
        <f>TEXT(Worksheet!C42,"0.0")</f>
        <v>0.0</v>
      </c>
    </row>
    <row r="31" spans="1:16" ht="15.75" x14ac:dyDescent="0.25">
      <c r="A31" s="92" t="str">
        <f>IF(Worksheet!C43="", "", Worksheet!B43 &amp; $A$2 &amp; P31)</f>
        <v/>
      </c>
      <c r="B31" s="26" t="str">
        <f>IF(Worksheet!D43="","",Worksheet!D43)</f>
        <v/>
      </c>
      <c r="C31" s="26" t="str">
        <f>IF(Worksheet!F43="","",Worksheet!F43)</f>
        <v/>
      </c>
      <c r="D31" s="26" t="str">
        <f>IF(Worksheet!G43="","",Worksheet!G43)</f>
        <v/>
      </c>
      <c r="E31" s="72"/>
      <c r="F31" s="72"/>
      <c r="G31" s="72"/>
      <c r="H31" s="26" t="str">
        <f>IF(Worksheet!F43="","",Worksheet!Y43)</f>
        <v/>
      </c>
      <c r="I31" s="44" t="str">
        <f>IF(Worksheet!F43="","",Worksheet!Z43)</f>
        <v/>
      </c>
      <c r="J31" s="44" t="str">
        <f>IF(Worksheet!F43="","",Worksheet!AA43)</f>
        <v/>
      </c>
      <c r="K31" s="26" t="str">
        <f>IF(Worksheet!F43="","",Worksheet!R43)</f>
        <v/>
      </c>
      <c r="L31" s="39" t="str">
        <f>IF(Worksheet!F43="","",Worksheet!V43)</f>
        <v/>
      </c>
      <c r="P31" s="19" t="str">
        <f>TEXT(Worksheet!C43,"0.0")</f>
        <v>0.0</v>
      </c>
    </row>
    <row r="32" spans="1:16" ht="15.75" x14ac:dyDescent="0.25">
      <c r="A32" s="93" t="str">
        <f>IF(Worksheet!C44="", "", Worksheet!B44 &amp; $A$2 &amp; P32)</f>
        <v/>
      </c>
      <c r="B32" s="74" t="str">
        <f>IF(Worksheet!D44="","",Worksheet!D44)</f>
        <v/>
      </c>
      <c r="C32" s="74" t="str">
        <f>IF(Worksheet!F44="","",Worksheet!F44)</f>
        <v/>
      </c>
      <c r="D32" s="74" t="str">
        <f>IF(Worksheet!G44="","",Worksheet!G44)</f>
        <v/>
      </c>
      <c r="E32" s="96"/>
      <c r="F32" s="96"/>
      <c r="G32" s="96"/>
      <c r="H32" s="74" t="str">
        <f>IF(Worksheet!F44="","",Worksheet!Y44)</f>
        <v/>
      </c>
      <c r="I32" s="45" t="str">
        <f>IF(Worksheet!F44="","",Worksheet!Z44)</f>
        <v/>
      </c>
      <c r="J32" s="45" t="str">
        <f>IF(Worksheet!F44="","",Worksheet!AA44)</f>
        <v/>
      </c>
      <c r="K32" s="74" t="str">
        <f>IF(Worksheet!F44="","",Worksheet!R44)</f>
        <v/>
      </c>
      <c r="L32" s="40"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99" t="s">
        <v>136</v>
      </c>
      <c r="B34" s="19"/>
      <c r="C34" s="19"/>
      <c r="D34" s="19"/>
      <c r="E34" s="19"/>
      <c r="F34" s="19"/>
      <c r="G34" s="19"/>
      <c r="H34" s="19"/>
      <c r="I34" s="19"/>
      <c r="J34" s="19"/>
      <c r="K34" s="19"/>
    </row>
    <row r="35" spans="1:17" x14ac:dyDescent="0.25">
      <c r="A35" s="94" t="s">
        <v>104</v>
      </c>
      <c r="B35" s="94" t="s">
        <v>53</v>
      </c>
      <c r="C35" s="15" t="s">
        <v>56</v>
      </c>
      <c r="D35" s="15" t="s">
        <v>57</v>
      </c>
      <c r="E35" s="15" t="s">
        <v>58</v>
      </c>
      <c r="F35" s="15" t="s">
        <v>59</v>
      </c>
      <c r="G35" s="15" t="s">
        <v>60</v>
      </c>
      <c r="H35" s="15" t="s">
        <v>61</v>
      </c>
      <c r="I35" s="15" t="s">
        <v>62</v>
      </c>
      <c r="J35" s="15" t="s">
        <v>63</v>
      </c>
      <c r="K35" s="35" t="s">
        <v>64</v>
      </c>
      <c r="L35" s="15" t="s">
        <v>105</v>
      </c>
    </row>
    <row r="36" spans="1:17" ht="15.75" x14ac:dyDescent="0.25">
      <c r="A36" s="73" t="str">
        <f>IF(Worksheet!C18="", "", Worksheet!B18 &amp; $A$2 &amp; P36)</f>
        <v/>
      </c>
      <c r="B36" s="73" t="str">
        <f>IF(Worksheet!D18="","",Worksheet!D18)</f>
        <v/>
      </c>
      <c r="C36" s="43" t="str">
        <f>IF(Worksheet!J18="","",Worksheet!J18)</f>
        <v/>
      </c>
      <c r="D36" s="43" t="str">
        <f>IF(Worksheet!K18="","",Worksheet!K18)</f>
        <v/>
      </c>
      <c r="E36" s="43" t="str">
        <f>IF(Worksheet!L18="","",Worksheet!L18)</f>
        <v/>
      </c>
      <c r="F36" s="43" t="str">
        <f>IF(Worksheet!M18="","",Worksheet!M18)</f>
        <v/>
      </c>
      <c r="G36" s="43" t="str">
        <f>IF(Worksheet!N18="","",Worksheet!N18)</f>
        <v/>
      </c>
      <c r="H36" s="73" t="str">
        <f>IF(Worksheet!O18="","",Worksheet!O18)</f>
        <v/>
      </c>
      <c r="I36" s="43" t="str">
        <f>IF(Worksheet!P18="","",Worksheet!P18)</f>
        <v/>
      </c>
      <c r="J36" s="43" t="str">
        <f>IF(Worksheet!Q18="","",Worksheet!Q18)</f>
        <v/>
      </c>
      <c r="K36" s="73" t="str">
        <f>IF(Worksheet!J18="","",Worksheet!R18)</f>
        <v/>
      </c>
      <c r="L36" s="38" t="str">
        <f>IF(Worksheet!P18="","",Worksheet!V18)</f>
        <v/>
      </c>
      <c r="N36" s="37"/>
      <c r="P36" s="19" t="str">
        <f>TEXT(Worksheet!C18,"0.0")</f>
        <v>0.0</v>
      </c>
      <c r="Q36" s="19"/>
    </row>
    <row r="37" spans="1:17" ht="15.75" x14ac:dyDescent="0.25">
      <c r="A37" s="26" t="str">
        <f>IF(Worksheet!C19="", "", Worksheet!B19 &amp; $A$2 &amp; P37)</f>
        <v/>
      </c>
      <c r="B37" s="26" t="str">
        <f>IF(Worksheet!D19="","",Worksheet!D19)</f>
        <v/>
      </c>
      <c r="C37" s="44" t="str">
        <f>IF(Worksheet!J19="","",Worksheet!J19)</f>
        <v/>
      </c>
      <c r="D37" s="44" t="str">
        <f>IF(Worksheet!K19="","",Worksheet!K19)</f>
        <v/>
      </c>
      <c r="E37" s="44" t="str">
        <f>IF(Worksheet!L19="","",Worksheet!L19)</f>
        <v/>
      </c>
      <c r="F37" s="44" t="str">
        <f>IF(Worksheet!M19="","",Worksheet!M19)</f>
        <v/>
      </c>
      <c r="G37" s="44" t="str">
        <f>IF(Worksheet!N19="","",Worksheet!N19)</f>
        <v/>
      </c>
      <c r="H37" s="26" t="str">
        <f>IF(Worksheet!O19="","",Worksheet!O19)</f>
        <v/>
      </c>
      <c r="I37" s="44" t="str">
        <f>IF(Worksheet!P19="","",Worksheet!P19)</f>
        <v/>
      </c>
      <c r="J37" s="44" t="str">
        <f>IF(Worksheet!Q19="","",Worksheet!Q19)</f>
        <v/>
      </c>
      <c r="K37" s="26" t="str">
        <f>IF(Worksheet!J19="","",Worksheet!R19)</f>
        <v/>
      </c>
      <c r="L37" s="39" t="str">
        <f>IF(Worksheet!P19="","",Worksheet!V19)</f>
        <v/>
      </c>
      <c r="P37" s="19" t="str">
        <f>TEXT(Worksheet!C19,"0.0")</f>
        <v>0.0</v>
      </c>
      <c r="Q37" s="19"/>
    </row>
    <row r="38" spans="1:17" ht="15.75" x14ac:dyDescent="0.25">
      <c r="A38" s="74" t="str">
        <f>IF(Worksheet!C20="", "", Worksheet!B20 &amp; $A$2 &amp; P38)</f>
        <v/>
      </c>
      <c r="B38" s="74" t="str">
        <f>IF(Worksheet!D20="","",Worksheet!D20)</f>
        <v/>
      </c>
      <c r="C38" s="45" t="str">
        <f>IF(Worksheet!J20="","",Worksheet!J20)</f>
        <v/>
      </c>
      <c r="D38" s="45" t="str">
        <f>IF(Worksheet!K20="","",Worksheet!K20)</f>
        <v/>
      </c>
      <c r="E38" s="45" t="str">
        <f>IF(Worksheet!L20="","",Worksheet!L20)</f>
        <v/>
      </c>
      <c r="F38" s="45" t="str">
        <f>IF(Worksheet!M20="","",Worksheet!M20)</f>
        <v/>
      </c>
      <c r="G38" s="45" t="str">
        <f>IF(Worksheet!N20="","",Worksheet!N20)</f>
        <v/>
      </c>
      <c r="H38" s="74" t="str">
        <f>IF(Worksheet!O20="","",Worksheet!O20)</f>
        <v/>
      </c>
      <c r="I38" s="45" t="str">
        <f>IF(Worksheet!P20="","",Worksheet!P20)</f>
        <v/>
      </c>
      <c r="J38" s="45" t="str">
        <f>IF(Worksheet!Q20="","",Worksheet!Q20)</f>
        <v/>
      </c>
      <c r="K38" s="74" t="str">
        <f>IF(Worksheet!J20="","",Worksheet!R20)</f>
        <v/>
      </c>
      <c r="L38" s="40" t="str">
        <f>IF(Worksheet!P20="","",Worksheet!V20)</f>
        <v/>
      </c>
      <c r="P38" s="19" t="str">
        <f>TEXT(Worksheet!C20,"0.0")</f>
        <v>0.0</v>
      </c>
      <c r="Q38" s="19"/>
    </row>
    <row r="39" spans="1:17" ht="7.5" customHeight="1" x14ac:dyDescent="0.25">
      <c r="A39" s="19"/>
      <c r="B39" s="19"/>
      <c r="C39" s="19"/>
      <c r="D39" s="19"/>
      <c r="E39" s="19"/>
      <c r="F39" s="19"/>
      <c r="G39" s="19"/>
      <c r="H39" s="19"/>
      <c r="I39" s="75"/>
      <c r="J39" s="75"/>
      <c r="K39" s="19"/>
    </row>
    <row r="40" spans="1:17" ht="15.75" x14ac:dyDescent="0.25">
      <c r="A40" s="73" t="str">
        <f>IF(Worksheet!C22="", "", Worksheet!B22 &amp; $A$2 &amp; P40)</f>
        <v/>
      </c>
      <c r="B40" s="73" t="str">
        <f>IF(Worksheet!D22="","",Worksheet!D22)</f>
        <v/>
      </c>
      <c r="C40" s="43" t="str">
        <f>IF(Worksheet!J22="","",Worksheet!J22)</f>
        <v/>
      </c>
      <c r="D40" s="43" t="str">
        <f>IF(Worksheet!K22="","",Worksheet!K22)</f>
        <v/>
      </c>
      <c r="E40" s="43" t="str">
        <f>IF(Worksheet!L22="","",Worksheet!L22)</f>
        <v/>
      </c>
      <c r="F40" s="43" t="str">
        <f>IF(Worksheet!M22="","",Worksheet!M22)</f>
        <v/>
      </c>
      <c r="G40" s="43" t="str">
        <f>IF(Worksheet!N22="","",Worksheet!N22)</f>
        <v/>
      </c>
      <c r="H40" s="73" t="str">
        <f>IF(Worksheet!O22="","",Worksheet!O22)</f>
        <v/>
      </c>
      <c r="I40" s="43" t="str">
        <f>IF(Worksheet!P22="","",Worksheet!P22)</f>
        <v/>
      </c>
      <c r="J40" s="43" t="str">
        <f>IF(Worksheet!Q22="","",Worksheet!Q22)</f>
        <v/>
      </c>
      <c r="K40" s="73" t="str">
        <f>IF(Worksheet!J22="","",Worksheet!R22)</f>
        <v/>
      </c>
      <c r="L40" s="38" t="str">
        <f>IF(Worksheet!P22="","",Worksheet!V22)</f>
        <v/>
      </c>
      <c r="P40" s="19" t="str">
        <f>TEXT(Worksheet!C22,"0.0")</f>
        <v>0.0</v>
      </c>
    </row>
    <row r="41" spans="1:17" ht="15.75" x14ac:dyDescent="0.25">
      <c r="A41" s="26" t="str">
        <f>IF(Worksheet!C23="", "", Worksheet!B23 &amp; $A$2 &amp; P41)</f>
        <v/>
      </c>
      <c r="B41" s="26" t="str">
        <f>IF(Worksheet!D23="","",Worksheet!D23)</f>
        <v/>
      </c>
      <c r="C41" s="44" t="str">
        <f>IF(Worksheet!J23="","",Worksheet!J23)</f>
        <v/>
      </c>
      <c r="D41" s="44" t="str">
        <f>IF(Worksheet!K23="","",Worksheet!K23)</f>
        <v/>
      </c>
      <c r="E41" s="44" t="str">
        <f>IF(Worksheet!L23="","",Worksheet!L23)</f>
        <v/>
      </c>
      <c r="F41" s="44" t="str">
        <f>IF(Worksheet!M23="","",Worksheet!M23)</f>
        <v/>
      </c>
      <c r="G41" s="44" t="str">
        <f>IF(Worksheet!N23="","",Worksheet!N23)</f>
        <v/>
      </c>
      <c r="H41" s="26" t="str">
        <f>IF(Worksheet!O23="","",Worksheet!O23)</f>
        <v/>
      </c>
      <c r="I41" s="44" t="str">
        <f>IF(Worksheet!P23="","",Worksheet!P23)</f>
        <v/>
      </c>
      <c r="J41" s="44" t="str">
        <f>IF(Worksheet!Q23="","",Worksheet!Q23)</f>
        <v/>
      </c>
      <c r="K41" s="26" t="str">
        <f>IF(Worksheet!J23="","",Worksheet!R23)</f>
        <v/>
      </c>
      <c r="L41" s="39" t="str">
        <f>IF(Worksheet!P23="","",Worksheet!V23)</f>
        <v/>
      </c>
      <c r="P41" s="19" t="str">
        <f>TEXT(Worksheet!C23,"0.0")</f>
        <v>0.0</v>
      </c>
    </row>
    <row r="42" spans="1:17" ht="15.75" x14ac:dyDescent="0.25">
      <c r="A42" s="74" t="str">
        <f>IF(Worksheet!C24="", "", Worksheet!B24 &amp; $A$2 &amp; P42)</f>
        <v/>
      </c>
      <c r="B42" s="74" t="str">
        <f>IF(Worksheet!D24="","",Worksheet!D24)</f>
        <v/>
      </c>
      <c r="C42" s="45" t="str">
        <f>IF(Worksheet!J24="","",Worksheet!J24)</f>
        <v/>
      </c>
      <c r="D42" s="45" t="str">
        <f>IF(Worksheet!K24="","",Worksheet!K24)</f>
        <v/>
      </c>
      <c r="E42" s="45" t="str">
        <f>IF(Worksheet!L24="","",Worksheet!L24)</f>
        <v/>
      </c>
      <c r="F42" s="45" t="str">
        <f>IF(Worksheet!M24="","",Worksheet!M24)</f>
        <v/>
      </c>
      <c r="G42" s="45" t="str">
        <f>IF(Worksheet!N24="","",Worksheet!N24)</f>
        <v/>
      </c>
      <c r="H42" s="74" t="str">
        <f>IF(Worksheet!O24="","",Worksheet!O24)</f>
        <v/>
      </c>
      <c r="I42" s="45" t="str">
        <f>IF(Worksheet!P24="","",Worksheet!P24)</f>
        <v/>
      </c>
      <c r="J42" s="45" t="str">
        <f>IF(Worksheet!Q24="","",Worksheet!Q24)</f>
        <v/>
      </c>
      <c r="K42" s="74" t="str">
        <f>IF(Worksheet!J24="","",Worksheet!R24)</f>
        <v/>
      </c>
      <c r="L42" s="40" t="str">
        <f>IF(Worksheet!P24="","",Worksheet!V24)</f>
        <v/>
      </c>
      <c r="P42" s="19" t="str">
        <f>TEXT(Worksheet!C24,"0.0")</f>
        <v>0.0</v>
      </c>
    </row>
    <row r="43" spans="1:17" ht="7.5" customHeight="1" x14ac:dyDescent="0.25">
      <c r="A43" s="19"/>
      <c r="B43" s="19"/>
      <c r="C43" s="19"/>
      <c r="D43" s="19"/>
      <c r="E43" s="19"/>
      <c r="F43" s="19"/>
      <c r="G43" s="19"/>
      <c r="H43" s="19"/>
      <c r="I43" s="75"/>
      <c r="J43" s="75"/>
      <c r="K43" s="19"/>
    </row>
    <row r="44" spans="1:17" ht="15.75" x14ac:dyDescent="0.25">
      <c r="A44" s="73" t="str">
        <f>IF(Worksheet!C26="", "", Worksheet!B26 &amp; $A$2 &amp; P44)</f>
        <v/>
      </c>
      <c r="B44" s="73" t="str">
        <f>IF(Worksheet!D26="","",Worksheet!D26)</f>
        <v/>
      </c>
      <c r="C44" s="43" t="str">
        <f>IF(Worksheet!J26="","",Worksheet!J26)</f>
        <v/>
      </c>
      <c r="D44" s="43" t="str">
        <f>IF(Worksheet!K26="","",Worksheet!K26)</f>
        <v/>
      </c>
      <c r="E44" s="43" t="str">
        <f>IF(Worksheet!L26="","",Worksheet!L26)</f>
        <v/>
      </c>
      <c r="F44" s="43" t="str">
        <f>IF(Worksheet!M26="","",Worksheet!M26)</f>
        <v/>
      </c>
      <c r="G44" s="43" t="str">
        <f>IF(Worksheet!N26="","",Worksheet!N26)</f>
        <v/>
      </c>
      <c r="H44" s="73" t="str">
        <f>IF(Worksheet!O26="","",Worksheet!O26)</f>
        <v/>
      </c>
      <c r="I44" s="43" t="str">
        <f>IF(Worksheet!P26="","",Worksheet!P26)</f>
        <v/>
      </c>
      <c r="J44" s="43" t="str">
        <f>IF(Worksheet!Q26="","",Worksheet!Q26)</f>
        <v/>
      </c>
      <c r="K44" s="73" t="str">
        <f>IF(Worksheet!J26="","",Worksheet!R26)</f>
        <v/>
      </c>
      <c r="L44" s="38" t="str">
        <f>IF(Worksheet!P26="","",Worksheet!V26)</f>
        <v/>
      </c>
      <c r="P44" s="19" t="str">
        <f>TEXT(Worksheet!C26,"0.0")</f>
        <v>0.0</v>
      </c>
    </row>
    <row r="45" spans="1:17" ht="15.75" x14ac:dyDescent="0.25">
      <c r="A45" s="26" t="str">
        <f>IF(Worksheet!C27="", "", Worksheet!B27 &amp; $A$2 &amp; P45)</f>
        <v/>
      </c>
      <c r="B45" s="26" t="str">
        <f>IF(Worksheet!D27="","",Worksheet!D27)</f>
        <v/>
      </c>
      <c r="C45" s="44" t="str">
        <f>IF(Worksheet!J27="","",Worksheet!J27)</f>
        <v/>
      </c>
      <c r="D45" s="44" t="str">
        <f>IF(Worksheet!K27="","",Worksheet!K27)</f>
        <v/>
      </c>
      <c r="E45" s="44" t="str">
        <f>IF(Worksheet!L27="","",Worksheet!L27)</f>
        <v/>
      </c>
      <c r="F45" s="44" t="str">
        <f>IF(Worksheet!M27="","",Worksheet!M27)</f>
        <v/>
      </c>
      <c r="G45" s="44" t="str">
        <f>IF(Worksheet!N27="","",Worksheet!N27)</f>
        <v/>
      </c>
      <c r="H45" s="26" t="str">
        <f>IF(Worksheet!O27="","",Worksheet!O27)</f>
        <v/>
      </c>
      <c r="I45" s="44" t="str">
        <f>IF(Worksheet!P27="","",Worksheet!P27)</f>
        <v/>
      </c>
      <c r="J45" s="44" t="str">
        <f>IF(Worksheet!Q27="","",Worksheet!Q27)</f>
        <v/>
      </c>
      <c r="K45" s="26" t="str">
        <f>IF(Worksheet!J27="","",Worksheet!R27)</f>
        <v/>
      </c>
      <c r="L45" s="39" t="str">
        <f>IF(Worksheet!P27="","",Worksheet!V27)</f>
        <v/>
      </c>
      <c r="P45" s="19" t="str">
        <f>TEXT(Worksheet!C27,"0.0")</f>
        <v>0.0</v>
      </c>
    </row>
    <row r="46" spans="1:17" ht="15.75" x14ac:dyDescent="0.25">
      <c r="A46" s="74" t="str">
        <f>IF(Worksheet!C28="", "", Worksheet!B28 &amp; $A$2 &amp; P46)</f>
        <v/>
      </c>
      <c r="B46" s="74" t="str">
        <f>IF(Worksheet!D28="","",Worksheet!D28)</f>
        <v/>
      </c>
      <c r="C46" s="45" t="str">
        <f>IF(Worksheet!J28="","",Worksheet!J28)</f>
        <v/>
      </c>
      <c r="D46" s="45" t="str">
        <f>IF(Worksheet!K28="","",Worksheet!K28)</f>
        <v/>
      </c>
      <c r="E46" s="45" t="str">
        <f>IF(Worksheet!L28="","",Worksheet!L28)</f>
        <v/>
      </c>
      <c r="F46" s="45" t="str">
        <f>IF(Worksheet!M28="","",Worksheet!M28)</f>
        <v/>
      </c>
      <c r="G46" s="45" t="str">
        <f>IF(Worksheet!N28="","",Worksheet!N28)</f>
        <v/>
      </c>
      <c r="H46" s="74" t="str">
        <f>IF(Worksheet!O28="","",Worksheet!O28)</f>
        <v/>
      </c>
      <c r="I46" s="45" t="str">
        <f>IF(Worksheet!P28="","",Worksheet!P28)</f>
        <v/>
      </c>
      <c r="J46" s="45" t="str">
        <f>IF(Worksheet!Q28="","",Worksheet!Q28)</f>
        <v/>
      </c>
      <c r="K46" s="74" t="str">
        <f>IF(Worksheet!J28="","",Worksheet!R28)</f>
        <v/>
      </c>
      <c r="L46" s="40" t="str">
        <f>IF(Worksheet!P28="","",Worksheet!V28)</f>
        <v/>
      </c>
      <c r="P46" s="19" t="str">
        <f>TEXT(Worksheet!C28,"0.0")</f>
        <v>0.0</v>
      </c>
    </row>
    <row r="47" spans="1:17" ht="7.5" customHeight="1" x14ac:dyDescent="0.25">
      <c r="A47" s="19"/>
      <c r="B47" s="19"/>
      <c r="C47" s="19"/>
      <c r="D47" s="19"/>
      <c r="E47" s="19"/>
      <c r="F47" s="19"/>
      <c r="G47" s="19"/>
      <c r="H47" s="19"/>
      <c r="I47" s="75"/>
      <c r="J47" s="75"/>
      <c r="K47" s="19"/>
    </row>
    <row r="48" spans="1:17" ht="15.75" x14ac:dyDescent="0.25">
      <c r="A48" s="73" t="str">
        <f>IF(Worksheet!C30="", "", Worksheet!B30 &amp; $A$2 &amp; P48)</f>
        <v/>
      </c>
      <c r="B48" s="73" t="str">
        <f>IF(Worksheet!D30="","",Worksheet!D30)</f>
        <v/>
      </c>
      <c r="C48" s="43" t="str">
        <f>IF(Worksheet!J30="","",Worksheet!J30)</f>
        <v/>
      </c>
      <c r="D48" s="43" t="str">
        <f>IF(Worksheet!K30="","",Worksheet!K30)</f>
        <v/>
      </c>
      <c r="E48" s="43" t="str">
        <f>IF(Worksheet!L30="","",Worksheet!L30)</f>
        <v/>
      </c>
      <c r="F48" s="43" t="str">
        <f>IF(Worksheet!M30="","",Worksheet!M30)</f>
        <v/>
      </c>
      <c r="G48" s="43" t="str">
        <f>IF(Worksheet!N30="","",Worksheet!N30)</f>
        <v/>
      </c>
      <c r="H48" s="73" t="str">
        <f>IF(Worksheet!O30="","",Worksheet!O30)</f>
        <v/>
      </c>
      <c r="I48" s="43" t="str">
        <f>IF(Worksheet!P30="","",Worksheet!P30)</f>
        <v/>
      </c>
      <c r="J48" s="43" t="str">
        <f>IF(Worksheet!Q30="","",Worksheet!Q30)</f>
        <v/>
      </c>
      <c r="K48" s="73" t="str">
        <f>IF(Worksheet!J30="","",Worksheet!R30)</f>
        <v/>
      </c>
      <c r="L48" s="38" t="str">
        <f>IF(Worksheet!P30="","",Worksheet!V30)</f>
        <v/>
      </c>
      <c r="P48" s="19" t="str">
        <f>TEXT(Worksheet!C30,"0.0")</f>
        <v>0.0</v>
      </c>
    </row>
    <row r="49" spans="1:16" ht="15.75" x14ac:dyDescent="0.25">
      <c r="A49" s="26" t="str">
        <f>IF(Worksheet!C31="", "", Worksheet!B31 &amp; $A$2 &amp; P49)</f>
        <v/>
      </c>
      <c r="B49" s="26" t="str">
        <f>IF(Worksheet!D31="","",Worksheet!D31)</f>
        <v/>
      </c>
      <c r="C49" s="44" t="str">
        <f>IF(Worksheet!J31="","",Worksheet!J31)</f>
        <v/>
      </c>
      <c r="D49" s="44" t="str">
        <f>IF(Worksheet!K31="","",Worksheet!K31)</f>
        <v/>
      </c>
      <c r="E49" s="44" t="str">
        <f>IF(Worksheet!L31="","",Worksheet!L31)</f>
        <v/>
      </c>
      <c r="F49" s="44" t="str">
        <f>IF(Worksheet!M31="","",Worksheet!M31)</f>
        <v/>
      </c>
      <c r="G49" s="44" t="str">
        <f>IF(Worksheet!N31="","",Worksheet!N31)</f>
        <v/>
      </c>
      <c r="H49" s="26" t="str">
        <f>IF(Worksheet!O31="","",Worksheet!O31)</f>
        <v/>
      </c>
      <c r="I49" s="44" t="str">
        <f>IF(Worksheet!P31="","",Worksheet!P31)</f>
        <v/>
      </c>
      <c r="J49" s="44" t="str">
        <f>IF(Worksheet!Q31="","",Worksheet!Q31)</f>
        <v/>
      </c>
      <c r="K49" s="26" t="str">
        <f>IF(Worksheet!J31="","",Worksheet!R31)</f>
        <v/>
      </c>
      <c r="L49" s="39" t="str">
        <f>IF(Worksheet!P31="","",Worksheet!V31)</f>
        <v/>
      </c>
      <c r="P49" s="19" t="str">
        <f>TEXT(Worksheet!C31,"0.0")</f>
        <v>0.0</v>
      </c>
    </row>
    <row r="50" spans="1:16" ht="15.75" x14ac:dyDescent="0.25">
      <c r="A50" s="74" t="str">
        <f>IF(Worksheet!C32="", "", Worksheet!B32 &amp; $A$2 &amp; P50)</f>
        <v/>
      </c>
      <c r="B50" s="74" t="str">
        <f>IF(Worksheet!D32="","",Worksheet!D32)</f>
        <v/>
      </c>
      <c r="C50" s="45" t="str">
        <f>IF(Worksheet!J32="","",Worksheet!J32)</f>
        <v/>
      </c>
      <c r="D50" s="45" t="str">
        <f>IF(Worksheet!K32="","",Worksheet!K32)</f>
        <v/>
      </c>
      <c r="E50" s="45" t="str">
        <f>IF(Worksheet!L32="","",Worksheet!L32)</f>
        <v/>
      </c>
      <c r="F50" s="45" t="str">
        <f>IF(Worksheet!M32="","",Worksheet!M32)</f>
        <v/>
      </c>
      <c r="G50" s="45" t="str">
        <f>IF(Worksheet!N32="","",Worksheet!N32)</f>
        <v/>
      </c>
      <c r="H50" s="74" t="str">
        <f>IF(Worksheet!O32="","",Worksheet!O32)</f>
        <v/>
      </c>
      <c r="I50" s="45" t="str">
        <f>IF(Worksheet!P32="","",Worksheet!P32)</f>
        <v/>
      </c>
      <c r="J50" s="45" t="str">
        <f>IF(Worksheet!Q32="","",Worksheet!Q32)</f>
        <v/>
      </c>
      <c r="K50" s="74" t="str">
        <f>IF(Worksheet!J32="","",Worksheet!R32)</f>
        <v/>
      </c>
      <c r="L50" s="40" t="str">
        <f>IF(Worksheet!P32="","",Worksheet!V32)</f>
        <v/>
      </c>
      <c r="P50" s="19" t="str">
        <f>TEXT(Worksheet!C32,"0.0")</f>
        <v>0.0</v>
      </c>
    </row>
    <row r="51" spans="1:16" ht="7.5" customHeight="1" x14ac:dyDescent="0.25">
      <c r="A51" s="19"/>
      <c r="B51" s="19"/>
      <c r="C51" s="19"/>
      <c r="D51" s="19"/>
      <c r="E51" s="19"/>
      <c r="F51" s="19"/>
      <c r="G51" s="19"/>
      <c r="H51" s="19"/>
      <c r="I51" s="75"/>
      <c r="J51" s="75"/>
      <c r="K51" s="19"/>
    </row>
    <row r="52" spans="1:16" ht="15.75" x14ac:dyDescent="0.25">
      <c r="A52" s="73" t="str">
        <f>IF(Worksheet!C34="", "", Worksheet!B34 &amp; $A$2 &amp; P52)</f>
        <v/>
      </c>
      <c r="B52" s="73" t="str">
        <f>IF(Worksheet!D34="","",Worksheet!D34)</f>
        <v/>
      </c>
      <c r="C52" s="43" t="str">
        <f>IF(Worksheet!J34="","",Worksheet!J34)</f>
        <v/>
      </c>
      <c r="D52" s="43" t="str">
        <f>IF(Worksheet!K34="","",Worksheet!K34)</f>
        <v/>
      </c>
      <c r="E52" s="43" t="str">
        <f>IF(Worksheet!L34="","",Worksheet!L34)</f>
        <v/>
      </c>
      <c r="F52" s="43" t="str">
        <f>IF(Worksheet!M34="","",Worksheet!M34)</f>
        <v/>
      </c>
      <c r="G52" s="43" t="str">
        <f>IF(Worksheet!N34="","",Worksheet!N34)</f>
        <v/>
      </c>
      <c r="H52" s="73" t="str">
        <f>IF(Worksheet!O34="","",Worksheet!O34)</f>
        <v/>
      </c>
      <c r="I52" s="43" t="str">
        <f>IF(Worksheet!P34="","",Worksheet!P34)</f>
        <v/>
      </c>
      <c r="J52" s="43" t="str">
        <f>IF(Worksheet!Q34="","",Worksheet!Q34)</f>
        <v/>
      </c>
      <c r="K52" s="73" t="str">
        <f>IF(Worksheet!J34="","",Worksheet!R34)</f>
        <v/>
      </c>
      <c r="L52" s="38" t="str">
        <f>IF(Worksheet!P34="","",Worksheet!V34)</f>
        <v/>
      </c>
      <c r="P52" s="19" t="str">
        <f>TEXT(Worksheet!C34,"0.0")</f>
        <v>0.0</v>
      </c>
    </row>
    <row r="53" spans="1:16" ht="15.75" x14ac:dyDescent="0.25">
      <c r="A53" s="26" t="str">
        <f>IF(Worksheet!C35="", "", Worksheet!B35 &amp; $A$2 &amp; P53)</f>
        <v/>
      </c>
      <c r="B53" s="26" t="str">
        <f>IF(Worksheet!D35="","",Worksheet!D35)</f>
        <v/>
      </c>
      <c r="C53" s="44" t="str">
        <f>IF(Worksheet!J35="","",Worksheet!J35)</f>
        <v/>
      </c>
      <c r="D53" s="44" t="str">
        <f>IF(Worksheet!K35="","",Worksheet!K35)</f>
        <v/>
      </c>
      <c r="E53" s="44" t="str">
        <f>IF(Worksheet!L35="","",Worksheet!L35)</f>
        <v/>
      </c>
      <c r="F53" s="44" t="str">
        <f>IF(Worksheet!M35="","",Worksheet!M35)</f>
        <v/>
      </c>
      <c r="G53" s="44" t="str">
        <f>IF(Worksheet!N35="","",Worksheet!N35)</f>
        <v/>
      </c>
      <c r="H53" s="26" t="str">
        <f>IF(Worksheet!O35="","",Worksheet!O35)</f>
        <v/>
      </c>
      <c r="I53" s="44" t="str">
        <f>IF(Worksheet!P35="","",Worksheet!P35)</f>
        <v/>
      </c>
      <c r="J53" s="44" t="str">
        <f>IF(Worksheet!Q35="","",Worksheet!Q35)</f>
        <v/>
      </c>
      <c r="K53" s="26" t="str">
        <f>IF(Worksheet!J35="","",Worksheet!R35)</f>
        <v/>
      </c>
      <c r="L53" s="39" t="str">
        <f>IF(Worksheet!P35="","",Worksheet!V35)</f>
        <v/>
      </c>
      <c r="P53" s="19" t="str">
        <f>TEXT(Worksheet!C35,"0.0")</f>
        <v>0.0</v>
      </c>
    </row>
    <row r="54" spans="1:16" ht="15.75" x14ac:dyDescent="0.25">
      <c r="A54" s="74" t="str">
        <f>IF(Worksheet!C36="", "", Worksheet!B36 &amp; $A$2 &amp; P54)</f>
        <v/>
      </c>
      <c r="B54" s="74" t="str">
        <f>IF(Worksheet!D36="","",Worksheet!D36)</f>
        <v/>
      </c>
      <c r="C54" s="45" t="str">
        <f>IF(Worksheet!J36="","",Worksheet!J36)</f>
        <v/>
      </c>
      <c r="D54" s="45" t="str">
        <f>IF(Worksheet!K36="","",Worksheet!K36)</f>
        <v/>
      </c>
      <c r="E54" s="45" t="str">
        <f>IF(Worksheet!L36="","",Worksheet!L36)</f>
        <v/>
      </c>
      <c r="F54" s="45" t="str">
        <f>IF(Worksheet!M36="","",Worksheet!M36)</f>
        <v/>
      </c>
      <c r="G54" s="45" t="str">
        <f>IF(Worksheet!N36="","",Worksheet!N36)</f>
        <v/>
      </c>
      <c r="H54" s="74" t="str">
        <f>IF(Worksheet!O36="","",Worksheet!O36)</f>
        <v/>
      </c>
      <c r="I54" s="45" t="str">
        <f>IF(Worksheet!P36="","",Worksheet!P36)</f>
        <v/>
      </c>
      <c r="J54" s="45" t="str">
        <f>IF(Worksheet!Q36="","",Worksheet!Q36)</f>
        <v/>
      </c>
      <c r="K54" s="74" t="str">
        <f>IF(Worksheet!J36="","",Worksheet!R36)</f>
        <v/>
      </c>
      <c r="L54" s="40" t="str">
        <f>IF(Worksheet!P36="","",Worksheet!V36)</f>
        <v/>
      </c>
      <c r="P54" s="19" t="str">
        <f>TEXT(Worksheet!C36,"0.0")</f>
        <v>0.0</v>
      </c>
    </row>
    <row r="55" spans="1:16" ht="7.5" customHeight="1" x14ac:dyDescent="0.25">
      <c r="A55" s="19"/>
      <c r="B55" s="19"/>
      <c r="C55" s="19"/>
      <c r="D55" s="19"/>
      <c r="E55" s="19"/>
      <c r="F55" s="19"/>
      <c r="G55" s="19"/>
      <c r="H55" s="19"/>
      <c r="I55" s="75"/>
      <c r="J55" s="75"/>
      <c r="K55" s="19"/>
    </row>
    <row r="56" spans="1:16" ht="15.75" x14ac:dyDescent="0.25">
      <c r="A56" s="73" t="str">
        <f>IF(Worksheet!C38="", "", Worksheet!B38 &amp; $A$2 &amp; P56)</f>
        <v/>
      </c>
      <c r="B56" s="73" t="str">
        <f>IF(Worksheet!D38="","",Worksheet!D38)</f>
        <v/>
      </c>
      <c r="C56" s="43" t="str">
        <f>IF(Worksheet!J38="","",Worksheet!J38)</f>
        <v/>
      </c>
      <c r="D56" s="43" t="str">
        <f>IF(Worksheet!K38="","",Worksheet!K38)</f>
        <v/>
      </c>
      <c r="E56" s="43" t="str">
        <f>IF(Worksheet!L38="","",Worksheet!L38)</f>
        <v/>
      </c>
      <c r="F56" s="43" t="str">
        <f>IF(Worksheet!M38="","",Worksheet!M38)</f>
        <v/>
      </c>
      <c r="G56" s="43" t="str">
        <f>IF(Worksheet!N38="","",Worksheet!N38)</f>
        <v/>
      </c>
      <c r="H56" s="73" t="str">
        <f>IF(Worksheet!O38="","",Worksheet!O38)</f>
        <v/>
      </c>
      <c r="I56" s="43" t="str">
        <f>IF(Worksheet!P38="","",Worksheet!P38)</f>
        <v/>
      </c>
      <c r="J56" s="43" t="str">
        <f>IF(Worksheet!Q38="","",Worksheet!Q38)</f>
        <v/>
      </c>
      <c r="K56" s="73" t="str">
        <f>IF(Worksheet!J38="","",Worksheet!R38)</f>
        <v/>
      </c>
      <c r="L56" s="38" t="str">
        <f>IF(Worksheet!P38="","",Worksheet!V38)</f>
        <v/>
      </c>
      <c r="P56" s="19" t="str">
        <f>TEXT(Worksheet!C38,"0.0")</f>
        <v>0.0</v>
      </c>
    </row>
    <row r="57" spans="1:16" ht="15.75" x14ac:dyDescent="0.25">
      <c r="A57" s="26" t="str">
        <f>IF(Worksheet!C39="", "", Worksheet!B39 &amp; $A$2 &amp; P57)</f>
        <v/>
      </c>
      <c r="B57" s="26" t="str">
        <f>IF(Worksheet!D39="","",Worksheet!D39)</f>
        <v/>
      </c>
      <c r="C57" s="44" t="str">
        <f>IF(Worksheet!J39="","",Worksheet!J39)</f>
        <v/>
      </c>
      <c r="D57" s="44" t="str">
        <f>IF(Worksheet!K39="","",Worksheet!K39)</f>
        <v/>
      </c>
      <c r="E57" s="44" t="str">
        <f>IF(Worksheet!L39="","",Worksheet!L39)</f>
        <v/>
      </c>
      <c r="F57" s="44" t="str">
        <f>IF(Worksheet!M39="","",Worksheet!M39)</f>
        <v/>
      </c>
      <c r="G57" s="44" t="str">
        <f>IF(Worksheet!N39="","",Worksheet!N39)</f>
        <v/>
      </c>
      <c r="H57" s="26" t="str">
        <f>IF(Worksheet!O39="","",Worksheet!O39)</f>
        <v/>
      </c>
      <c r="I57" s="44" t="str">
        <f>IF(Worksheet!P39="","",Worksheet!P39)</f>
        <v/>
      </c>
      <c r="J57" s="44" t="str">
        <f>IF(Worksheet!Q39="","",Worksheet!Q39)</f>
        <v/>
      </c>
      <c r="K57" s="26" t="str">
        <f>IF(Worksheet!J39="","",Worksheet!R39)</f>
        <v/>
      </c>
      <c r="L57" s="39" t="str">
        <f>IF(Worksheet!P39="","",Worksheet!V39)</f>
        <v/>
      </c>
      <c r="P57" s="19" t="str">
        <f>TEXT(Worksheet!C39,"0.0")</f>
        <v>0.0</v>
      </c>
    </row>
    <row r="58" spans="1:16" ht="15.75" x14ac:dyDescent="0.25">
      <c r="A58" s="74" t="str">
        <f>IF(Worksheet!C40="", "", Worksheet!B40 &amp; $A$2 &amp; P58)</f>
        <v/>
      </c>
      <c r="B58" s="74" t="str">
        <f>IF(Worksheet!D40="","",Worksheet!D40)</f>
        <v/>
      </c>
      <c r="C58" s="45" t="str">
        <f>IF(Worksheet!J40="","",Worksheet!J40)</f>
        <v/>
      </c>
      <c r="D58" s="45" t="str">
        <f>IF(Worksheet!K40="","",Worksheet!K40)</f>
        <v/>
      </c>
      <c r="E58" s="45" t="str">
        <f>IF(Worksheet!L40="","",Worksheet!L40)</f>
        <v/>
      </c>
      <c r="F58" s="45" t="str">
        <f>IF(Worksheet!M40="","",Worksheet!M40)</f>
        <v/>
      </c>
      <c r="G58" s="45" t="str">
        <f>IF(Worksheet!N40="","",Worksheet!N40)</f>
        <v/>
      </c>
      <c r="H58" s="74" t="str">
        <f>IF(Worksheet!O40="","",Worksheet!O40)</f>
        <v/>
      </c>
      <c r="I58" s="45" t="str">
        <f>IF(Worksheet!P40="","",Worksheet!P40)</f>
        <v/>
      </c>
      <c r="J58" s="45" t="str">
        <f>IF(Worksheet!Q40="","",Worksheet!Q40)</f>
        <v/>
      </c>
      <c r="K58" s="74" t="str">
        <f>IF(Worksheet!J40="","",Worksheet!R40)</f>
        <v/>
      </c>
      <c r="L58" s="40" t="str">
        <f>IF(Worksheet!P40="","",Worksheet!V40)</f>
        <v/>
      </c>
      <c r="P58" s="19" t="str">
        <f>TEXT(Worksheet!C40,"0.0")</f>
        <v>0.0</v>
      </c>
    </row>
    <row r="59" spans="1:16" ht="7.5" customHeight="1" x14ac:dyDescent="0.25">
      <c r="A59" s="19"/>
      <c r="B59" s="19"/>
      <c r="C59" s="19"/>
      <c r="D59" s="19"/>
      <c r="E59" s="19"/>
      <c r="F59" s="19"/>
      <c r="G59" s="19"/>
      <c r="H59" s="19"/>
      <c r="I59" s="75"/>
      <c r="J59" s="75"/>
      <c r="K59" s="19"/>
    </row>
    <row r="60" spans="1:16" ht="15.75" x14ac:dyDescent="0.25">
      <c r="A60" s="73" t="str">
        <f>IF(Worksheet!C42="", "", Worksheet!B42 &amp; $A$2 &amp; P60)</f>
        <v/>
      </c>
      <c r="B60" s="73" t="str">
        <f>IF(Worksheet!D42="","",Worksheet!D42)</f>
        <v/>
      </c>
      <c r="C60" s="43" t="str">
        <f>IF(Worksheet!J42="","",Worksheet!J42)</f>
        <v/>
      </c>
      <c r="D60" s="43" t="str">
        <f>IF(Worksheet!K42="","",Worksheet!K42)</f>
        <v/>
      </c>
      <c r="E60" s="43" t="str">
        <f>IF(Worksheet!L42="","",Worksheet!L42)</f>
        <v/>
      </c>
      <c r="F60" s="43" t="str">
        <f>IF(Worksheet!M42="","",Worksheet!M42)</f>
        <v/>
      </c>
      <c r="G60" s="43" t="str">
        <f>IF(Worksheet!N42="","",Worksheet!N42)</f>
        <v/>
      </c>
      <c r="H60" s="73" t="str">
        <f>IF(Worksheet!O42="","",Worksheet!O42)</f>
        <v/>
      </c>
      <c r="I60" s="43" t="str">
        <f>IF(Worksheet!P42="","",Worksheet!P42)</f>
        <v/>
      </c>
      <c r="J60" s="43" t="str">
        <f>IF(Worksheet!Q42="","",Worksheet!Q42)</f>
        <v/>
      </c>
      <c r="K60" s="73" t="str">
        <f>IF(Worksheet!J42="","",Worksheet!R42)</f>
        <v/>
      </c>
      <c r="L60" s="38" t="str">
        <f>IF(Worksheet!P42="","",Worksheet!V42)</f>
        <v/>
      </c>
      <c r="P60" s="19" t="str">
        <f>TEXT(Worksheet!C42,"0.0")</f>
        <v>0.0</v>
      </c>
    </row>
    <row r="61" spans="1:16" ht="15.75" x14ac:dyDescent="0.25">
      <c r="A61" s="26" t="str">
        <f>IF(Worksheet!C43="", "", Worksheet!B43 &amp; $A$2 &amp; P61)</f>
        <v/>
      </c>
      <c r="B61" s="26" t="str">
        <f>IF(Worksheet!D43="","",Worksheet!D43)</f>
        <v/>
      </c>
      <c r="C61" s="44" t="str">
        <f>IF(Worksheet!J43="","",Worksheet!J43)</f>
        <v/>
      </c>
      <c r="D61" s="44" t="str">
        <f>IF(Worksheet!K43="","",Worksheet!K43)</f>
        <v/>
      </c>
      <c r="E61" s="44" t="str">
        <f>IF(Worksheet!L43="","",Worksheet!L43)</f>
        <v/>
      </c>
      <c r="F61" s="44" t="str">
        <f>IF(Worksheet!M43="","",Worksheet!M43)</f>
        <v/>
      </c>
      <c r="G61" s="44" t="str">
        <f>IF(Worksheet!N43="","",Worksheet!N43)</f>
        <v/>
      </c>
      <c r="H61" s="26" t="str">
        <f>IF(Worksheet!O43="","",Worksheet!O43)</f>
        <v/>
      </c>
      <c r="I61" s="44" t="str">
        <f>IF(Worksheet!P43="","",Worksheet!P43)</f>
        <v/>
      </c>
      <c r="J61" s="44" t="str">
        <f>IF(Worksheet!Q43="","",Worksheet!Q43)</f>
        <v/>
      </c>
      <c r="K61" s="26" t="str">
        <f>IF(Worksheet!J43="","",Worksheet!R43)</f>
        <v/>
      </c>
      <c r="L61" s="39" t="str">
        <f>IF(Worksheet!P43="","",Worksheet!V43)</f>
        <v/>
      </c>
      <c r="P61" s="19" t="str">
        <f>TEXT(Worksheet!C43,"0.0")</f>
        <v>0.0</v>
      </c>
    </row>
    <row r="62" spans="1:16" ht="15.75" x14ac:dyDescent="0.25">
      <c r="A62" s="74" t="str">
        <f>IF(Worksheet!C44="", "", Worksheet!B44 &amp; $A$2 &amp; P62)</f>
        <v/>
      </c>
      <c r="B62" s="74" t="str">
        <f>IF(Worksheet!D44="","",Worksheet!D44)</f>
        <v/>
      </c>
      <c r="C62" s="45" t="str">
        <f>IF(Worksheet!J44="","",Worksheet!J44)</f>
        <v/>
      </c>
      <c r="D62" s="45" t="str">
        <f>IF(Worksheet!K44="","",Worksheet!K44)</f>
        <v/>
      </c>
      <c r="E62" s="45" t="str">
        <f>IF(Worksheet!L44="","",Worksheet!L44)</f>
        <v/>
      </c>
      <c r="F62" s="45" t="str">
        <f>IF(Worksheet!M44="","",Worksheet!M44)</f>
        <v/>
      </c>
      <c r="G62" s="45" t="str">
        <f>IF(Worksheet!N44="","",Worksheet!N44)</f>
        <v/>
      </c>
      <c r="H62" s="74" t="str">
        <f>IF(Worksheet!O44="","",Worksheet!O44)</f>
        <v/>
      </c>
      <c r="I62" s="45" t="str">
        <f>IF(Worksheet!P44="","",Worksheet!P44)</f>
        <v/>
      </c>
      <c r="J62" s="45" t="str">
        <f>IF(Worksheet!Q44="","",Worksheet!Q44)</f>
        <v/>
      </c>
      <c r="K62" s="74" t="str">
        <f>IF(Worksheet!J44="","",Worksheet!R44)</f>
        <v/>
      </c>
      <c r="L62" s="40"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zoomScaleNormal="100" zoomScaleSheetLayoutView="100" workbookViewId="0">
      <selection activeCell="A16" sqref="A16:M16"/>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2" t="s">
        <v>87</v>
      </c>
      <c r="C1" s="122"/>
      <c r="D1" s="122"/>
      <c r="E1" s="122"/>
      <c r="F1" s="122"/>
      <c r="G1" s="122"/>
      <c r="H1" s="122"/>
      <c r="I1" s="122"/>
      <c r="J1" s="122"/>
      <c r="K1" s="122"/>
    </row>
    <row r="2" spans="1:54" ht="18.75" x14ac:dyDescent="0.3">
      <c r="B2" s="132" t="s">
        <v>88</v>
      </c>
      <c r="C2" s="132"/>
      <c r="D2" s="132"/>
      <c r="E2" s="132"/>
      <c r="F2" s="132"/>
      <c r="G2" s="132"/>
      <c r="H2" s="132"/>
      <c r="I2" s="132"/>
      <c r="J2" s="132"/>
      <c r="K2" s="132"/>
      <c r="AG2" s="113"/>
      <c r="AH2" s="113"/>
      <c r="AJ2" s="113"/>
      <c r="AK2" s="113"/>
      <c r="AM2" s="113"/>
      <c r="AN2" s="113"/>
      <c r="AP2" s="113"/>
      <c r="AQ2" s="113"/>
      <c r="AR2" s="18"/>
      <c r="AS2" s="113"/>
      <c r="AT2" s="113"/>
    </row>
    <row r="3" spans="1:54" ht="18.75" x14ac:dyDescent="0.3">
      <c r="B3" s="132" t="s">
        <v>89</v>
      </c>
      <c r="C3" s="132"/>
      <c r="D3" s="132"/>
      <c r="E3" s="132"/>
      <c r="F3" s="132"/>
      <c r="G3" s="132"/>
      <c r="H3" s="132"/>
      <c r="I3" s="132"/>
      <c r="J3" s="132"/>
      <c r="K3" s="132"/>
    </row>
    <row r="4" spans="1:54" ht="23.25" x14ac:dyDescent="0.35">
      <c r="B4" s="70"/>
      <c r="C4" s="71"/>
      <c r="D4" s="134" t="s">
        <v>126</v>
      </c>
      <c r="E4" s="134"/>
      <c r="F4" s="134"/>
      <c r="G4" s="134"/>
      <c r="H4" s="134"/>
      <c r="I4" s="134"/>
      <c r="J4" s="70"/>
      <c r="K4" s="70"/>
    </row>
    <row r="5" spans="1:54" ht="18.75" x14ac:dyDescent="0.3">
      <c r="E5" s="135"/>
      <c r="F5" s="135"/>
      <c r="G5" s="135"/>
      <c r="H5" s="135"/>
      <c r="Y5" s="52"/>
      <c r="AA5" s="3"/>
      <c r="AB5" s="3"/>
      <c r="AC5" s="3"/>
      <c r="AD5" s="3"/>
      <c r="AE5" s="3"/>
      <c r="AF5" s="3"/>
      <c r="BB5" s="4"/>
    </row>
    <row r="6" spans="1:54" ht="15.75" x14ac:dyDescent="0.25">
      <c r="A6" s="1" t="s">
        <v>90</v>
      </c>
      <c r="B6" s="20" t="str">
        <f>IF(Worksheet!D3="","",Worksheet!D3)</f>
        <v/>
      </c>
      <c r="C6" s="4"/>
      <c r="D6" s="1"/>
      <c r="F6" s="133" t="s">
        <v>127</v>
      </c>
      <c r="G6" s="133"/>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31" t="str">
        <f>IF(Worksheet!N5="","",Worksheet!N5)</f>
        <v/>
      </c>
      <c r="K11" s="131"/>
    </row>
    <row r="12" spans="1:54" ht="15.75" x14ac:dyDescent="0.25">
      <c r="A12" s="1" t="s">
        <v>96</v>
      </c>
      <c r="B12" s="20" t="str">
        <f>IF(Worksheet!D6="","",Worksheet!D6)</f>
        <v/>
      </c>
      <c r="H12" s="1" t="s">
        <v>25</v>
      </c>
      <c r="J12" s="136" t="str">
        <f>IF(Worksheet!N6="","",Worksheet!N6)</f>
        <v/>
      </c>
      <c r="K12" s="136"/>
    </row>
    <row r="13" spans="1:54" ht="15.75" x14ac:dyDescent="0.25">
      <c r="A13" s="1" t="s">
        <v>97</v>
      </c>
      <c r="B13" s="20" t="str">
        <f>IF(Worksheet!D7="","",Worksheet!I7)</f>
        <v/>
      </c>
      <c r="H13" s="1" t="s">
        <v>30</v>
      </c>
      <c r="J13" s="136" t="str">
        <f>IF(Worksheet!N7="","",Worksheet!N7)</f>
        <v/>
      </c>
      <c r="K13" s="136"/>
    </row>
    <row r="14" spans="1:54" ht="15.75" x14ac:dyDescent="0.25">
      <c r="A14" s="1" t="s">
        <v>98</v>
      </c>
      <c r="B14" s="20" t="str">
        <f>IF(Worksheet!D8="","",Worksheet!D8)</f>
        <v/>
      </c>
      <c r="D14" s="4" t="str">
        <f>IF(Worksheet!G3="","","Customer PO: ")</f>
        <v/>
      </c>
      <c r="E14" s="1" t="str">
        <f>IF(Worksheet!G3="","",Worksheet!G3)</f>
        <v/>
      </c>
      <c r="H14" s="1" t="s">
        <v>34</v>
      </c>
      <c r="J14" s="137" t="str">
        <f>IF(Worksheet!N8="","",Worksheet!N8)</f>
        <v/>
      </c>
      <c r="K14" s="137"/>
    </row>
    <row r="15" spans="1:54" ht="15.75" x14ac:dyDescent="0.25">
      <c r="A15" s="1" t="s">
        <v>99</v>
      </c>
      <c r="B15" s="20" t="str">
        <f>IF(Worksheet!D9="","",Worksheet!D9)</f>
        <v/>
      </c>
      <c r="D15" t="str">
        <f>IF(Worksheet!J9="YES","Tested on Site","")</f>
        <v>Tested on Site</v>
      </c>
      <c r="H15" s="1" t="s">
        <v>39</v>
      </c>
      <c r="J15" s="138" t="str">
        <f>IF(Worksheet!N9="","",Worksheet!N9)</f>
        <v/>
      </c>
      <c r="K15" s="138"/>
    </row>
    <row r="16" spans="1:54" ht="15" customHeight="1" x14ac:dyDescent="0.25">
      <c r="A16" s="156" t="s">
        <v>233</v>
      </c>
      <c r="B16" s="156"/>
      <c r="C16" s="156"/>
      <c r="D16" s="156"/>
      <c r="E16" s="156"/>
      <c r="F16" s="156"/>
      <c r="G16" s="156"/>
      <c r="H16" s="156"/>
      <c r="I16" s="156"/>
      <c r="J16" s="156"/>
      <c r="K16" s="156"/>
      <c r="L16" s="156"/>
      <c r="M16" s="156"/>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56" t="s">
        <v>233</v>
      </c>
      <c r="B19" s="156"/>
      <c r="C19" s="156"/>
      <c r="D19" s="156"/>
      <c r="E19" s="156"/>
      <c r="F19" s="156"/>
      <c r="G19" s="156"/>
      <c r="H19" s="156"/>
      <c r="I19" s="156"/>
      <c r="J19" s="156"/>
      <c r="K19" s="156"/>
      <c r="L19" s="156"/>
      <c r="M19" s="156"/>
    </row>
    <row r="20" spans="1:17" x14ac:dyDescent="0.25">
      <c r="A20" s="94" t="s">
        <v>104</v>
      </c>
      <c r="B20" s="94" t="s">
        <v>53</v>
      </c>
      <c r="C20" s="15" t="s">
        <v>56</v>
      </c>
      <c r="D20" s="15" t="s">
        <v>57</v>
      </c>
      <c r="E20" s="15"/>
      <c r="F20" s="15"/>
      <c r="G20" s="15"/>
      <c r="H20" s="15" t="s">
        <v>61</v>
      </c>
      <c r="I20" s="15" t="s">
        <v>62</v>
      </c>
      <c r="J20" s="15" t="s">
        <v>63</v>
      </c>
      <c r="K20" s="35" t="s">
        <v>64</v>
      </c>
      <c r="L20" s="15" t="s">
        <v>105</v>
      </c>
    </row>
    <row r="21" spans="1:17" ht="15.75" x14ac:dyDescent="0.25">
      <c r="A21" s="91" t="str" cm="1">
        <f t="array" ref="A21">IF(_xlfn._xlws.FILTER('Filter Cert Data'!A6:L8,'Filter Cert Data'!A6:A8&lt;&gt;"","")="", "", _xlfn._xlws.FILTER('Filter Cert Data'!A6:L8,'Filter Cert Data'!A6:A8&lt;&gt;""))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IF(_xlfn._xlws.FILTER('Filter Cert Data'!A10:L12,'Filter Cert Data'!A10:A12&lt;&gt;"","")="", "", _xlfn._xlws.FILTER('Filter Cert Data'!A10:L12,'Filter Cert Data'!A10:A12&lt;&gt;""))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IF(_xlfn._xlws.FILTER('Filter Cert Data'!A14:L16,'Filter Cert Data'!A14:A16&lt;&gt;"","")="", "", _xlfn._xlws.FILTER('Filter Cert Data'!A14:L16,'Filter Cert Data'!A14:A16&lt;&gt;""))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IF(_xlfn._xlws.FILTER('Filter Cert Data'!A18:L20,'Filter Cert Data'!A18:A20&lt;&gt;"","")="", "", _xlfn._xlws.FILTER('Filter Cert Data'!A18:L20,'Filter Cert Data'!A18:A20&lt;&gt;""))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IF(_xlfn._xlws.FILTER('Filter Cert Data'!A22:L24,'Filter Cert Data'!A22:A24&lt;&gt;"","")="", "", _xlfn._xlws.FILTER('Filter Cert Data'!A22:L24,'Filter Cert Data'!A22:A24&lt;&gt;""))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IF(_xlfn._xlws.FILTER('Filter Cert Data'!A26:L28,'Filter Cert Data'!A26:A28&lt;&gt;"","")="", "", _xlfn._xlws.FILTER('Filter Cert Data'!A26:L28,'Filter Cert Data'!A26:A28&lt;&gt;""))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IF(_xlfn._xlws.FILTER('Filter Cert Data'!A30:L32,'Filter Cert Data'!A30:A32&lt;&gt;"","")="", "", _xlfn._xlws.FILTER('Filter Cert Data'!A30:L32,'Filter Cert Data'!A30:A32&lt;&gt;""))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56" t="s">
        <v>233</v>
      </c>
      <c r="B49" s="156"/>
      <c r="C49" s="156"/>
      <c r="D49" s="156"/>
      <c r="E49" s="156"/>
      <c r="F49" s="156"/>
      <c r="G49" s="156"/>
      <c r="H49" s="156"/>
      <c r="I49" s="156"/>
      <c r="J49" s="156"/>
      <c r="K49" s="156"/>
      <c r="L49" s="156"/>
      <c r="M49" s="156"/>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2"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2"/>
      <c r="C52" s="142"/>
      <c r="D52" s="142"/>
      <c r="E52" s="142"/>
      <c r="F52" s="142"/>
      <c r="G52" s="142"/>
      <c r="H52" s="142"/>
      <c r="I52" s="142"/>
      <c r="J52" s="142"/>
      <c r="K52" s="142"/>
      <c r="L52" s="142"/>
      <c r="M52" s="142"/>
    </row>
    <row r="53" spans="1:27" x14ac:dyDescent="0.25">
      <c r="A53" s="113" t="s">
        <v>100</v>
      </c>
      <c r="B53" s="113"/>
      <c r="C53" s="113"/>
      <c r="D53" s="113"/>
      <c r="E53" s="113"/>
      <c r="F53" s="113"/>
      <c r="G53" s="113"/>
      <c r="H53" s="113"/>
      <c r="I53" s="113"/>
      <c r="J53" s="113"/>
      <c r="K53" s="113"/>
      <c r="L53" s="113"/>
      <c r="M53" s="113"/>
    </row>
    <row r="54" spans="1:27" ht="15" customHeight="1" x14ac:dyDescent="0.25">
      <c r="A54" s="76" t="s">
        <v>109</v>
      </c>
      <c r="B54" s="143" t="s">
        <v>128</v>
      </c>
      <c r="C54" s="143"/>
      <c r="D54" s="143"/>
      <c r="E54" s="143"/>
      <c r="F54" s="143"/>
      <c r="G54" s="143"/>
      <c r="H54" s="143"/>
      <c r="I54" s="143"/>
      <c r="J54" s="143"/>
      <c r="K54" s="143"/>
      <c r="L54" s="143"/>
      <c r="M54" s="143"/>
      <c r="O54" s="139" t="str">
        <f>IFERROR(VLOOKUP(Worksheet!$B46,DropDowns!H13:J15,3,FALSE),"")</f>
        <v/>
      </c>
      <c r="P54" s="139"/>
      <c r="Q54" s="139"/>
      <c r="R54" s="139"/>
      <c r="S54" s="139"/>
      <c r="T54" s="139"/>
      <c r="U54" s="139"/>
      <c r="V54" s="139"/>
      <c r="W54" s="139"/>
      <c r="X54" s="139"/>
      <c r="Y54" s="139"/>
      <c r="Z54" s="139"/>
      <c r="AA54" s="139"/>
    </row>
    <row r="55" spans="1:27" ht="15" customHeight="1" x14ac:dyDescent="0.25">
      <c r="A55" s="1"/>
      <c r="B55" s="143"/>
      <c r="C55" s="143"/>
      <c r="D55" s="143"/>
      <c r="E55" s="143"/>
      <c r="F55" s="143"/>
      <c r="G55" s="143"/>
      <c r="H55" s="143"/>
      <c r="I55" s="143"/>
      <c r="J55" s="143"/>
      <c r="K55" s="143"/>
      <c r="L55" s="143"/>
      <c r="M55" s="143"/>
      <c r="O55" s="139"/>
      <c r="P55" s="139"/>
      <c r="Q55" s="139"/>
      <c r="R55" s="139"/>
      <c r="S55" s="139"/>
      <c r="T55" s="139"/>
      <c r="U55" s="139"/>
      <c r="V55" s="139"/>
      <c r="W55" s="139"/>
      <c r="X55" s="139"/>
      <c r="Y55" s="139"/>
      <c r="Z55" s="139"/>
      <c r="AA55" s="139"/>
    </row>
    <row r="56" spans="1:27" ht="20.100000000000001" customHeight="1" x14ac:dyDescent="0.25">
      <c r="A56" s="1"/>
      <c r="B56" s="143"/>
      <c r="C56" s="143"/>
      <c r="D56" s="143"/>
      <c r="E56" s="143"/>
      <c r="F56" s="143"/>
      <c r="G56" s="143"/>
      <c r="H56" s="143"/>
      <c r="I56" s="143"/>
      <c r="J56" s="143"/>
      <c r="K56" s="143"/>
      <c r="L56" s="143"/>
      <c r="M56" s="143"/>
      <c r="O56" s="139"/>
      <c r="P56" s="139"/>
      <c r="Q56" s="139"/>
      <c r="R56" s="139"/>
      <c r="S56" s="139"/>
      <c r="T56" s="139"/>
      <c r="U56" s="139"/>
      <c r="V56" s="139"/>
      <c r="W56" s="139"/>
      <c r="X56" s="139"/>
      <c r="Y56" s="139"/>
      <c r="Z56" s="139"/>
      <c r="AA56" s="139"/>
    </row>
    <row r="57" spans="1:27" ht="15.75" x14ac:dyDescent="0.25">
      <c r="A57" s="1" t="s">
        <v>9</v>
      </c>
      <c r="B57" s="131" t="str">
        <f>IF(Worksheet!L3="","",Worksheet!L3)</f>
        <v>Used</v>
      </c>
      <c r="C57" s="131"/>
    </row>
    <row r="58" spans="1:27" ht="15.75" x14ac:dyDescent="0.25">
      <c r="A58" s="1" t="s">
        <v>111</v>
      </c>
      <c r="B58" s="131" t="str">
        <f>Worksheet!O46</f>
        <v/>
      </c>
      <c r="C58" s="131"/>
    </row>
    <row r="59" spans="1:27" ht="12" customHeight="1" x14ac:dyDescent="0.25">
      <c r="A59" s="141" t="str">
        <f>'CERT AL'!A59</f>
        <v/>
      </c>
      <c r="B59" s="141"/>
      <c r="C59" s="141"/>
      <c r="D59" s="141"/>
      <c r="E59" s="141"/>
      <c r="F59" s="141"/>
      <c r="G59" s="141"/>
      <c r="H59" s="141"/>
      <c r="I59" s="141"/>
      <c r="J59" s="141"/>
      <c r="K59" s="141"/>
      <c r="L59" s="141"/>
      <c r="M59" s="141"/>
    </row>
    <row r="60" spans="1:27" ht="12" customHeight="1" x14ac:dyDescent="0.25">
      <c r="A60" s="141"/>
      <c r="B60" s="141"/>
      <c r="C60" s="141"/>
      <c r="D60" s="141"/>
      <c r="E60" s="141"/>
      <c r="F60" s="141"/>
      <c r="G60" s="141"/>
      <c r="H60" s="141"/>
      <c r="I60" s="141"/>
      <c r="J60" s="141"/>
      <c r="K60" s="141"/>
      <c r="L60" s="141"/>
      <c r="M60" s="141"/>
    </row>
    <row r="61" spans="1:27" x14ac:dyDescent="0.25">
      <c r="A61" s="156" t="s">
        <v>233</v>
      </c>
      <c r="B61" s="156"/>
      <c r="C61" s="156"/>
      <c r="D61" s="156"/>
      <c r="E61" s="156"/>
      <c r="F61" s="156"/>
      <c r="G61" s="156"/>
      <c r="H61" s="156"/>
      <c r="I61" s="156"/>
      <c r="J61" s="156"/>
      <c r="K61" s="156"/>
      <c r="L61" s="156"/>
      <c r="M61" s="156"/>
    </row>
    <row r="66" spans="1:15" x14ac:dyDescent="0.25">
      <c r="A66" s="140"/>
      <c r="B66" s="140"/>
      <c r="C66" s="140"/>
      <c r="D66" s="140"/>
      <c r="E66" s="140"/>
      <c r="F66" s="140"/>
      <c r="G66" s="140"/>
      <c r="H66" s="140"/>
      <c r="I66" s="140"/>
      <c r="J66" s="140"/>
      <c r="K66" s="140"/>
      <c r="L66" s="140"/>
      <c r="M66" s="140"/>
      <c r="N66" s="140"/>
      <c r="O66" s="140"/>
    </row>
    <row r="67" spans="1:15" x14ac:dyDescent="0.25">
      <c r="A67" s="140"/>
      <c r="B67" s="140"/>
      <c r="C67" s="140"/>
      <c r="D67" s="140"/>
      <c r="E67" s="140"/>
      <c r="F67" s="140"/>
      <c r="G67" s="140"/>
      <c r="H67" s="140"/>
      <c r="I67" s="140"/>
      <c r="J67" s="140"/>
      <c r="K67" s="140"/>
      <c r="L67" s="140"/>
      <c r="M67" s="140"/>
      <c r="N67" s="140"/>
      <c r="O67" s="140"/>
    </row>
    <row r="68" spans="1:15" x14ac:dyDescent="0.25">
      <c r="A68" s="140"/>
      <c r="B68" s="140"/>
      <c r="C68" s="140"/>
      <c r="D68" s="140"/>
      <c r="E68" s="140"/>
      <c r="F68" s="140"/>
      <c r="G68" s="140"/>
      <c r="H68" s="140"/>
      <c r="I68" s="140"/>
      <c r="J68" s="140"/>
      <c r="K68" s="140"/>
      <c r="L68" s="140"/>
      <c r="M68" s="140"/>
      <c r="N68" s="140"/>
      <c r="O68" s="140"/>
    </row>
    <row r="69" spans="1:15" x14ac:dyDescent="0.25">
      <c r="A69" s="140"/>
      <c r="B69" s="140"/>
      <c r="C69" s="140"/>
      <c r="D69" s="140"/>
      <c r="E69" s="140"/>
      <c r="F69" s="140"/>
      <c r="G69" s="140"/>
      <c r="H69" s="140"/>
      <c r="I69" s="140"/>
      <c r="J69" s="140"/>
      <c r="K69" s="140"/>
      <c r="L69" s="140"/>
      <c r="M69" s="140"/>
      <c r="N69" s="140"/>
      <c r="O69" s="140"/>
    </row>
    <row r="70" spans="1:15" x14ac:dyDescent="0.25">
      <c r="A70" s="140"/>
      <c r="B70" s="140"/>
      <c r="C70" s="140"/>
      <c r="D70" s="140"/>
      <c r="E70" s="140"/>
      <c r="F70" s="140"/>
      <c r="G70" s="140"/>
      <c r="H70" s="140"/>
      <c r="I70" s="140"/>
      <c r="J70" s="140"/>
      <c r="K70" s="140"/>
      <c r="L70" s="140"/>
      <c r="M70" s="140"/>
      <c r="N70" s="140"/>
      <c r="O70" s="140"/>
    </row>
    <row r="71" spans="1:15" x14ac:dyDescent="0.25">
      <c r="A71" s="140"/>
      <c r="B71" s="140"/>
      <c r="C71" s="140"/>
      <c r="D71" s="140"/>
      <c r="E71" s="140"/>
      <c r="F71" s="140"/>
      <c r="G71" s="140"/>
      <c r="H71" s="140"/>
      <c r="I71" s="140"/>
      <c r="J71" s="140"/>
      <c r="K71" s="140"/>
      <c r="L71" s="140"/>
      <c r="M71" s="140"/>
      <c r="N71" s="140"/>
      <c r="O71" s="140"/>
    </row>
    <row r="72" spans="1:15" x14ac:dyDescent="0.25">
      <c r="A72" s="140"/>
      <c r="B72" s="140"/>
      <c r="C72" s="140"/>
      <c r="D72" s="140"/>
      <c r="E72" s="140"/>
      <c r="F72" s="140"/>
      <c r="G72" s="140"/>
      <c r="H72" s="140"/>
      <c r="I72" s="140"/>
      <c r="J72" s="140"/>
      <c r="K72" s="140"/>
      <c r="L72" s="140"/>
      <c r="M72" s="140"/>
      <c r="N72" s="140"/>
      <c r="O72" s="140"/>
    </row>
    <row r="73" spans="1:15" x14ac:dyDescent="0.25">
      <c r="A73" s="140"/>
      <c r="B73" s="140"/>
      <c r="C73" s="140"/>
      <c r="D73" s="140"/>
      <c r="E73" s="140"/>
      <c r="F73" s="140"/>
      <c r="G73" s="140"/>
      <c r="H73" s="140"/>
      <c r="I73" s="140"/>
      <c r="J73" s="140"/>
      <c r="K73" s="140"/>
      <c r="L73" s="140"/>
      <c r="M73" s="140"/>
      <c r="N73" s="140"/>
      <c r="O73" s="140"/>
    </row>
    <row r="76" spans="1:15" x14ac:dyDescent="0.25">
      <c r="B76" s="53"/>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7yUO3nOV2rC26uxmychNSkCZQf9I1AMwf0CbgemEqSce5fuOa6Zy31+CteuyNK/BFDhfGH5iQi16c5fyvs5q7Q==" saltValue="0Mi05ga+kXsITQtaflD82Q=="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zoomScaleNormal="100" zoomScaleSheetLayoutView="100" workbookViewId="0">
      <selection activeCell="S13" sqref="S13"/>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2" t="s">
        <v>87</v>
      </c>
      <c r="C1" s="122"/>
      <c r="D1" s="122"/>
      <c r="E1" s="122"/>
      <c r="F1" s="122"/>
      <c r="G1" s="122"/>
      <c r="H1" s="122"/>
      <c r="I1" s="122"/>
      <c r="J1" s="122"/>
      <c r="K1" s="122"/>
    </row>
    <row r="2" spans="1:54" ht="18.75" x14ac:dyDescent="0.3">
      <c r="B2" s="132" t="s">
        <v>88</v>
      </c>
      <c r="C2" s="132"/>
      <c r="D2" s="132"/>
      <c r="E2" s="132"/>
      <c r="F2" s="132"/>
      <c r="G2" s="132"/>
      <c r="H2" s="132"/>
      <c r="I2" s="132"/>
      <c r="J2" s="132"/>
      <c r="K2" s="132"/>
      <c r="AG2" s="113"/>
      <c r="AH2" s="113"/>
      <c r="AJ2" s="113"/>
      <c r="AK2" s="113"/>
      <c r="AM2" s="113"/>
      <c r="AN2" s="113"/>
      <c r="AP2" s="113"/>
      <c r="AQ2" s="113"/>
      <c r="AR2" s="18"/>
      <c r="AS2" s="113"/>
      <c r="AT2" s="113"/>
    </row>
    <row r="3" spans="1:54" ht="18.75" x14ac:dyDescent="0.3">
      <c r="B3" s="132" t="s">
        <v>89</v>
      </c>
      <c r="C3" s="132"/>
      <c r="D3" s="132"/>
      <c r="E3" s="132"/>
      <c r="F3" s="132"/>
      <c r="G3" s="132"/>
      <c r="H3" s="132"/>
      <c r="I3" s="132"/>
      <c r="J3" s="132"/>
      <c r="K3" s="132"/>
    </row>
    <row r="4" spans="1:54" ht="23.25" x14ac:dyDescent="0.35">
      <c r="B4" s="70"/>
      <c r="C4" s="71"/>
      <c r="D4" s="134"/>
      <c r="E4" s="134"/>
      <c r="F4" s="134"/>
      <c r="G4" s="134"/>
      <c r="H4" s="134"/>
      <c r="I4" s="134"/>
      <c r="J4" s="70"/>
      <c r="K4" s="70"/>
    </row>
    <row r="5" spans="1:54" ht="18.75" x14ac:dyDescent="0.3">
      <c r="E5" s="135"/>
      <c r="F5" s="135"/>
      <c r="G5" s="135"/>
      <c r="H5" s="135"/>
      <c r="Y5" s="52"/>
      <c r="AA5" s="3"/>
      <c r="AB5" s="3"/>
      <c r="AC5" s="3"/>
      <c r="AD5" s="3"/>
      <c r="AE5" s="3"/>
      <c r="AF5" s="3"/>
      <c r="BB5" s="4"/>
    </row>
    <row r="6" spans="1:54" ht="15.75" x14ac:dyDescent="0.25">
      <c r="A6" s="1" t="s">
        <v>90</v>
      </c>
      <c r="B6" s="20" t="str">
        <f>IF(Worksheet!D3="","",Worksheet!D3)</f>
        <v/>
      </c>
      <c r="C6" s="4"/>
      <c r="D6" s="1"/>
      <c r="F6" s="133" t="s">
        <v>91</v>
      </c>
      <c r="G6" s="133"/>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31" t="str">
        <f>IF(Worksheet!N5="","",Worksheet!N5)</f>
        <v/>
      </c>
      <c r="K11" s="131"/>
    </row>
    <row r="12" spans="1:54" ht="15.75" x14ac:dyDescent="0.25">
      <c r="A12" s="1" t="s">
        <v>96</v>
      </c>
      <c r="B12" s="20" t="str">
        <f>IF(Worksheet!D6="","",Worksheet!D6)</f>
        <v/>
      </c>
      <c r="H12" s="1" t="s">
        <v>25</v>
      </c>
      <c r="J12" s="136" t="str">
        <f>IF(Worksheet!N6="","",Worksheet!N6)</f>
        <v/>
      </c>
      <c r="K12" s="136"/>
    </row>
    <row r="13" spans="1:54" ht="15.75" x14ac:dyDescent="0.25">
      <c r="A13" s="1" t="s">
        <v>97</v>
      </c>
      <c r="B13" s="20" t="str">
        <f>IF(Worksheet!D7="","",Worksheet!I7)</f>
        <v/>
      </c>
      <c r="H13" s="1" t="s">
        <v>30</v>
      </c>
      <c r="J13" s="136" t="str">
        <f>IF(Worksheet!N7="","",Worksheet!N7)</f>
        <v/>
      </c>
      <c r="K13" s="136"/>
    </row>
    <row r="14" spans="1:54" ht="15.75" x14ac:dyDescent="0.25">
      <c r="A14" s="1" t="s">
        <v>98</v>
      </c>
      <c r="B14" s="20" t="str">
        <f>IF(Worksheet!D8="","",Worksheet!D8)</f>
        <v/>
      </c>
      <c r="D14" s="4" t="str">
        <f>IF(Worksheet!G3="","","Customer PO: ")</f>
        <v/>
      </c>
      <c r="E14" s="1" t="str">
        <f>IF(Worksheet!G3="","",Worksheet!G3)</f>
        <v/>
      </c>
      <c r="H14" s="1" t="s">
        <v>34</v>
      </c>
      <c r="J14" s="137" t="str">
        <f>IF(Worksheet!N8="","",Worksheet!N8)</f>
        <v/>
      </c>
      <c r="K14" s="137"/>
    </row>
    <row r="15" spans="1:54" ht="15.75" x14ac:dyDescent="0.25">
      <c r="A15" s="1" t="s">
        <v>99</v>
      </c>
      <c r="B15" s="20" t="str">
        <f>IF(Worksheet!D9="","",Worksheet!D9)</f>
        <v/>
      </c>
      <c r="D15" t="str">
        <f>IF(Worksheet!J9="YES","Tested on Site","")</f>
        <v>Tested on Site</v>
      </c>
      <c r="H15" s="1" t="s">
        <v>39</v>
      </c>
      <c r="J15" s="138" t="str">
        <f>IF(Worksheet!N9="","",Worksheet!N9)</f>
        <v/>
      </c>
      <c r="K15" s="138"/>
    </row>
    <row r="16" spans="1:54" x14ac:dyDescent="0.25">
      <c r="A16" s="156" t="s">
        <v>233</v>
      </c>
      <c r="B16" s="156"/>
      <c r="C16" s="156"/>
      <c r="D16" s="156"/>
      <c r="E16" s="156"/>
      <c r="F16" s="156"/>
      <c r="G16" s="156"/>
      <c r="H16" s="156"/>
      <c r="I16" s="156"/>
      <c r="J16" s="156"/>
      <c r="K16" s="156"/>
      <c r="L16" s="156"/>
      <c r="M16" s="156"/>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56" t="s">
        <v>233</v>
      </c>
      <c r="B19" s="156"/>
      <c r="C19" s="156"/>
      <c r="D19" s="156"/>
      <c r="E19" s="156"/>
      <c r="F19" s="156"/>
      <c r="G19" s="156"/>
      <c r="H19" s="156"/>
      <c r="I19" s="156"/>
      <c r="J19" s="156"/>
      <c r="K19" s="156"/>
      <c r="L19" s="156"/>
      <c r="M19" s="156"/>
    </row>
    <row r="20" spans="1:17" x14ac:dyDescent="0.25">
      <c r="A20" s="94" t="s">
        <v>104</v>
      </c>
      <c r="B20" s="94" t="s">
        <v>53</v>
      </c>
      <c r="C20" s="15" t="s">
        <v>56</v>
      </c>
      <c r="D20" s="15" t="s">
        <v>57</v>
      </c>
      <c r="E20" s="15" t="s">
        <v>58</v>
      </c>
      <c r="F20" s="15" t="s">
        <v>59</v>
      </c>
      <c r="G20" s="15" t="s">
        <v>60</v>
      </c>
      <c r="H20" s="15" t="s">
        <v>61</v>
      </c>
      <c r="I20" s="15" t="s">
        <v>62</v>
      </c>
      <c r="J20" s="15" t="s">
        <v>63</v>
      </c>
      <c r="K20" s="35" t="s">
        <v>64</v>
      </c>
      <c r="L20" s="15" t="s">
        <v>105</v>
      </c>
    </row>
    <row r="21" spans="1:17" ht="15.75" x14ac:dyDescent="0.25">
      <c r="A21" s="91" t="str" cm="1">
        <f t="array" ref="A21">_xlfn._xlws.FILTER('Filter Cert Data'!A36:L38,'Filter Cert Data'!A36:A38&lt;&gt;"","")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_xlfn._xlws.FILTER('Filter Cert Data'!A40:L42,'Filter Cert Data'!A40:A42&lt;&gt;"","")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_xlfn._xlws.FILTER('Filter Cert Data'!A44:L46,'Filter Cert Data'!A44:A46&lt;&gt;"","")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_xlfn._xlws.FILTER('Filter Cert Data'!A48:L50,'Filter Cert Data'!A48:A50&lt;&gt;"","")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_xlfn._xlws.FILTER('Filter Cert Data'!A52:L54,'Filter Cert Data'!A52:A54&lt;&gt;"","")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_xlfn._xlws.FILTER('Filter Cert Data'!A56:L58,'Filter Cert Data'!A56:A58&lt;&gt;"","")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_xlfn._xlws.FILTER('Filter Cert Data'!A60:L62,'Filter Cert Data'!A60:A62&lt;&gt;"","")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56" t="s">
        <v>233</v>
      </c>
      <c r="B49" s="156"/>
      <c r="C49" s="156"/>
      <c r="D49" s="156"/>
      <c r="E49" s="156"/>
      <c r="F49" s="156"/>
      <c r="G49" s="156"/>
      <c r="H49" s="156"/>
      <c r="I49" s="156"/>
      <c r="J49" s="156"/>
      <c r="K49" s="156"/>
      <c r="L49" s="156"/>
      <c r="M49" s="156"/>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2"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2"/>
      <c r="C52" s="142"/>
      <c r="D52" s="142"/>
      <c r="E52" s="142"/>
      <c r="F52" s="142"/>
      <c r="G52" s="142"/>
      <c r="H52" s="142"/>
      <c r="I52" s="142"/>
      <c r="J52" s="142"/>
      <c r="K52" s="142"/>
      <c r="L52" s="142"/>
      <c r="M52" s="142"/>
    </row>
    <row r="53" spans="1:27" x14ac:dyDescent="0.25">
      <c r="A53" s="156" t="s">
        <v>233</v>
      </c>
      <c r="B53" s="156"/>
      <c r="C53" s="156"/>
      <c r="D53" s="156"/>
      <c r="E53" s="156"/>
      <c r="F53" s="156"/>
      <c r="G53" s="156"/>
      <c r="H53" s="156"/>
      <c r="I53" s="156"/>
      <c r="J53" s="156"/>
      <c r="K53" s="156"/>
      <c r="L53" s="156"/>
      <c r="M53" s="156"/>
    </row>
    <row r="54" spans="1:27" ht="15" customHeight="1" x14ac:dyDescent="0.25">
      <c r="A54" s="76" t="s">
        <v>109</v>
      </c>
      <c r="B54" s="143" t="s">
        <v>110</v>
      </c>
      <c r="C54" s="143"/>
      <c r="D54" s="143"/>
      <c r="E54" s="143"/>
      <c r="F54" s="143"/>
      <c r="G54" s="143"/>
      <c r="H54" s="143"/>
      <c r="I54" s="143"/>
      <c r="J54" s="143"/>
      <c r="K54" s="143"/>
      <c r="L54" s="143"/>
      <c r="M54" s="143"/>
      <c r="O54" s="139" t="str">
        <f>IFERROR(VLOOKUP(Worksheet!$B47,DropDowns!H3:J8,3,FALSE),"")</f>
        <v/>
      </c>
      <c r="P54" s="139"/>
      <c r="Q54" s="139"/>
      <c r="R54" s="139"/>
      <c r="S54" s="139"/>
      <c r="T54" s="139"/>
      <c r="U54" s="139"/>
      <c r="V54" s="139"/>
      <c r="W54" s="139"/>
      <c r="X54" s="139"/>
      <c r="Y54" s="139"/>
      <c r="Z54" s="139"/>
      <c r="AA54" s="139"/>
    </row>
    <row r="55" spans="1:27" ht="15" customHeight="1" x14ac:dyDescent="0.25">
      <c r="A55" s="1"/>
      <c r="B55" s="143"/>
      <c r="C55" s="143"/>
      <c r="D55" s="143"/>
      <c r="E55" s="143"/>
      <c r="F55" s="143"/>
      <c r="G55" s="143"/>
      <c r="H55" s="143"/>
      <c r="I55" s="143"/>
      <c r="J55" s="143"/>
      <c r="K55" s="143"/>
      <c r="L55" s="143"/>
      <c r="M55" s="143"/>
      <c r="O55" s="139"/>
      <c r="P55" s="139"/>
      <c r="Q55" s="139"/>
      <c r="R55" s="139"/>
      <c r="S55" s="139"/>
      <c r="T55" s="139"/>
      <c r="U55" s="139"/>
      <c r="V55" s="139"/>
      <c r="W55" s="139"/>
      <c r="X55" s="139"/>
      <c r="Y55" s="139"/>
      <c r="Z55" s="139"/>
      <c r="AA55" s="139"/>
    </row>
    <row r="56" spans="1:27" ht="20.100000000000001" customHeight="1" x14ac:dyDescent="0.25">
      <c r="A56" s="1"/>
      <c r="B56" s="143"/>
      <c r="C56" s="143"/>
      <c r="D56" s="143"/>
      <c r="E56" s="143"/>
      <c r="F56" s="143"/>
      <c r="G56" s="143"/>
      <c r="H56" s="143"/>
      <c r="I56" s="143"/>
      <c r="J56" s="143"/>
      <c r="K56" s="143"/>
      <c r="L56" s="143"/>
      <c r="M56" s="143"/>
      <c r="O56" s="139"/>
      <c r="P56" s="139"/>
      <c r="Q56" s="139"/>
      <c r="R56" s="139"/>
      <c r="S56" s="139"/>
      <c r="T56" s="139"/>
      <c r="U56" s="139"/>
      <c r="V56" s="139"/>
      <c r="W56" s="139"/>
      <c r="X56" s="139"/>
      <c r="Y56" s="139"/>
      <c r="Z56" s="139"/>
      <c r="AA56" s="139"/>
    </row>
    <row r="57" spans="1:27" ht="15.75" x14ac:dyDescent="0.25">
      <c r="A57" s="1" t="s">
        <v>9</v>
      </c>
      <c r="B57" s="131" t="str">
        <f>IF(Worksheet!L3="","",Worksheet!L3)</f>
        <v>Used</v>
      </c>
      <c r="C57" s="131"/>
    </row>
    <row r="58" spans="1:27" ht="15.75" x14ac:dyDescent="0.25">
      <c r="A58" s="1" t="s">
        <v>111</v>
      </c>
      <c r="B58" s="131" t="str">
        <f>Worksheet!O47</f>
        <v/>
      </c>
      <c r="C58" s="131"/>
    </row>
    <row r="59" spans="1:27" ht="12" customHeight="1" x14ac:dyDescent="0.25">
      <c r="A59" s="141" t="str">
        <f>IF(Worksheet!D11="YES",'CERT AL'!A87,"")</f>
        <v/>
      </c>
      <c r="B59" s="141"/>
      <c r="C59" s="141"/>
      <c r="D59" s="141"/>
      <c r="E59" s="141"/>
      <c r="F59" s="141"/>
      <c r="G59" s="141"/>
      <c r="H59" s="141"/>
      <c r="I59" s="141"/>
      <c r="J59" s="141"/>
      <c r="K59" s="141"/>
      <c r="L59" s="141"/>
      <c r="M59" s="141"/>
    </row>
    <row r="60" spans="1:27" ht="12" customHeight="1" x14ac:dyDescent="0.25">
      <c r="A60" s="141"/>
      <c r="B60" s="141"/>
      <c r="C60" s="141"/>
      <c r="D60" s="141"/>
      <c r="E60" s="141"/>
      <c r="F60" s="141"/>
      <c r="G60" s="141"/>
      <c r="H60" s="141"/>
      <c r="I60" s="141"/>
      <c r="J60" s="141"/>
      <c r="K60" s="141"/>
      <c r="L60" s="141"/>
      <c r="M60" s="141"/>
    </row>
    <row r="61" spans="1:27" x14ac:dyDescent="0.25">
      <c r="A61" s="156" t="s">
        <v>233</v>
      </c>
      <c r="B61" s="156"/>
      <c r="C61" s="156"/>
      <c r="D61" s="156"/>
      <c r="E61" s="156"/>
      <c r="F61" s="156"/>
      <c r="G61" s="156"/>
      <c r="H61" s="156"/>
      <c r="I61" s="156"/>
      <c r="J61" s="156"/>
      <c r="K61" s="156"/>
      <c r="L61" s="156"/>
      <c r="M61" s="156"/>
    </row>
    <row r="65" spans="1:16" x14ac:dyDescent="0.25">
      <c r="A65" s="64" t="s">
        <v>112</v>
      </c>
    </row>
    <row r="66" spans="1:16" x14ac:dyDescent="0.25">
      <c r="A66" s="140" t="s">
        <v>230</v>
      </c>
      <c r="B66" s="140"/>
      <c r="C66" s="140"/>
      <c r="D66" s="140"/>
      <c r="E66" s="140"/>
      <c r="F66" s="140"/>
      <c r="G66" s="140"/>
      <c r="H66" s="140"/>
      <c r="I66" s="140"/>
      <c r="J66" s="140"/>
      <c r="K66" s="140"/>
      <c r="L66" s="140"/>
      <c r="M66" s="140"/>
      <c r="N66" s="140"/>
      <c r="O66" s="140"/>
    </row>
    <row r="67" spans="1:16" x14ac:dyDescent="0.25">
      <c r="A67" s="140"/>
      <c r="B67" s="140"/>
      <c r="C67" s="140"/>
      <c r="D67" s="140"/>
      <c r="E67" s="140"/>
      <c r="F67" s="140"/>
      <c r="G67" s="140"/>
      <c r="H67" s="140"/>
      <c r="I67" s="140"/>
      <c r="J67" s="140"/>
      <c r="K67" s="140"/>
      <c r="L67" s="140"/>
      <c r="M67" s="140"/>
      <c r="N67" s="140"/>
      <c r="O67" s="140"/>
    </row>
    <row r="68" spans="1:16" x14ac:dyDescent="0.25">
      <c r="A68" s="140"/>
      <c r="B68" s="140"/>
      <c r="C68" s="140"/>
      <c r="D68" s="140"/>
      <c r="E68" s="140"/>
      <c r="F68" s="140"/>
      <c r="G68" s="140"/>
      <c r="H68" s="140"/>
      <c r="I68" s="140"/>
      <c r="J68" s="140"/>
      <c r="K68" s="140"/>
      <c r="L68" s="140"/>
      <c r="M68" s="140"/>
      <c r="N68" s="140"/>
      <c r="O68" s="140"/>
    </row>
    <row r="69" spans="1:16" x14ac:dyDescent="0.25">
      <c r="A69" s="140"/>
      <c r="B69" s="140"/>
      <c r="C69" s="140"/>
      <c r="D69" s="140"/>
      <c r="E69" s="140"/>
      <c r="F69" s="140"/>
      <c r="G69" s="140"/>
      <c r="H69" s="140"/>
      <c r="I69" s="140"/>
      <c r="J69" s="140"/>
      <c r="K69" s="140"/>
      <c r="L69" s="140"/>
      <c r="M69" s="140"/>
      <c r="N69" s="140"/>
      <c r="O69" s="140"/>
    </row>
    <row r="70" spans="1:16" x14ac:dyDescent="0.25">
      <c r="A70" s="140"/>
      <c r="B70" s="140"/>
      <c r="C70" s="140"/>
      <c r="D70" s="140"/>
      <c r="E70" s="140"/>
      <c r="F70" s="140"/>
      <c r="G70" s="140"/>
      <c r="H70" s="140"/>
      <c r="I70" s="140"/>
      <c r="J70" s="140"/>
      <c r="K70" s="140"/>
      <c r="L70" s="140"/>
      <c r="M70" s="140"/>
      <c r="N70" s="140"/>
      <c r="O70" s="140"/>
    </row>
    <row r="71" spans="1:16" x14ac:dyDescent="0.25">
      <c r="A71" s="140"/>
      <c r="B71" s="140"/>
      <c r="C71" s="140"/>
      <c r="D71" s="140"/>
      <c r="E71" s="140"/>
      <c r="F71" s="140"/>
      <c r="G71" s="140"/>
      <c r="H71" s="140"/>
      <c r="I71" s="140"/>
      <c r="J71" s="140"/>
      <c r="K71" s="140"/>
      <c r="L71" s="140"/>
      <c r="M71" s="140"/>
      <c r="N71" s="140"/>
      <c r="O71" s="140"/>
    </row>
    <row r="72" spans="1:16" x14ac:dyDescent="0.25">
      <c r="A72" s="140"/>
      <c r="B72" s="140"/>
      <c r="C72" s="140"/>
      <c r="D72" s="140"/>
      <c r="E72" s="140"/>
      <c r="F72" s="140"/>
      <c r="G72" s="140"/>
      <c r="H72" s="140"/>
      <c r="I72" s="140"/>
      <c r="J72" s="140"/>
      <c r="K72" s="140"/>
      <c r="L72" s="140"/>
      <c r="M72" s="140"/>
      <c r="N72" s="140"/>
      <c r="O72" s="140"/>
    </row>
    <row r="73" spans="1:16" x14ac:dyDescent="0.25">
      <c r="A73" s="140"/>
      <c r="B73" s="140"/>
      <c r="C73" s="140"/>
      <c r="D73" s="140"/>
      <c r="E73" s="140"/>
      <c r="F73" s="140"/>
      <c r="G73" s="140"/>
      <c r="H73" s="140"/>
      <c r="I73" s="140"/>
      <c r="J73" s="140"/>
      <c r="K73" s="140"/>
      <c r="L73" s="140"/>
      <c r="M73" s="140"/>
      <c r="N73" s="140"/>
      <c r="O73" s="140"/>
    </row>
    <row r="76" spans="1:16" x14ac:dyDescent="0.25">
      <c r="A76" s="64" t="s">
        <v>113</v>
      </c>
    </row>
    <row r="77" spans="1:16" ht="15" customHeight="1" x14ac:dyDescent="0.25">
      <c r="A77" s="140" t="s">
        <v>231</v>
      </c>
      <c r="B77" s="140"/>
      <c r="C77" s="140"/>
      <c r="D77" s="140"/>
      <c r="E77" s="140"/>
      <c r="F77" s="140"/>
      <c r="G77" s="140"/>
      <c r="H77" s="140"/>
      <c r="I77" s="140"/>
      <c r="J77" s="140"/>
      <c r="K77" s="140"/>
      <c r="L77" s="140"/>
      <c r="M77" s="140"/>
      <c r="N77" s="140"/>
      <c r="O77" s="140"/>
      <c r="P77" s="24"/>
    </row>
    <row r="78" spans="1:16" x14ac:dyDescent="0.25">
      <c r="A78" s="140"/>
      <c r="B78" s="140"/>
      <c r="C78" s="140"/>
      <c r="D78" s="140"/>
      <c r="E78" s="140"/>
      <c r="F78" s="140"/>
      <c r="G78" s="140"/>
      <c r="H78" s="140"/>
      <c r="I78" s="140"/>
      <c r="J78" s="140"/>
      <c r="K78" s="140"/>
      <c r="L78" s="140"/>
      <c r="M78" s="140"/>
      <c r="N78" s="140"/>
      <c r="O78" s="140"/>
      <c r="P78" s="24"/>
    </row>
    <row r="79" spans="1:16" x14ac:dyDescent="0.25">
      <c r="A79" s="140"/>
      <c r="B79" s="140"/>
      <c r="C79" s="140"/>
      <c r="D79" s="140"/>
      <c r="E79" s="140"/>
      <c r="F79" s="140"/>
      <c r="G79" s="140"/>
      <c r="H79" s="140"/>
      <c r="I79" s="140"/>
      <c r="J79" s="140"/>
      <c r="K79" s="140"/>
      <c r="L79" s="140"/>
      <c r="M79" s="140"/>
      <c r="N79" s="140"/>
      <c r="O79" s="140"/>
      <c r="P79" s="24"/>
    </row>
    <row r="80" spans="1:16" x14ac:dyDescent="0.25">
      <c r="A80" s="140"/>
      <c r="B80" s="140"/>
      <c r="C80" s="140"/>
      <c r="D80" s="140"/>
      <c r="E80" s="140"/>
      <c r="F80" s="140"/>
      <c r="G80" s="140"/>
      <c r="H80" s="140"/>
      <c r="I80" s="140"/>
      <c r="J80" s="140"/>
      <c r="K80" s="140"/>
      <c r="L80" s="140"/>
      <c r="M80" s="140"/>
      <c r="N80" s="140"/>
      <c r="O80" s="140"/>
      <c r="P80" s="24"/>
    </row>
    <row r="81" spans="1:16" x14ac:dyDescent="0.25">
      <c r="A81" s="140"/>
      <c r="B81" s="140"/>
      <c r="C81" s="140"/>
      <c r="D81" s="140"/>
      <c r="E81" s="140"/>
      <c r="F81" s="140"/>
      <c r="G81" s="140"/>
      <c r="H81" s="140"/>
      <c r="I81" s="140"/>
      <c r="J81" s="140"/>
      <c r="K81" s="140"/>
      <c r="L81" s="140"/>
      <c r="M81" s="140"/>
      <c r="N81" s="140"/>
      <c r="O81" s="140"/>
      <c r="P81" s="24"/>
    </row>
    <row r="82" spans="1:16" x14ac:dyDescent="0.25">
      <c r="A82" s="140"/>
      <c r="B82" s="140"/>
      <c r="C82" s="140"/>
      <c r="D82" s="140"/>
      <c r="E82" s="140"/>
      <c r="F82" s="140"/>
      <c r="G82" s="140"/>
      <c r="H82" s="140"/>
      <c r="I82" s="140"/>
      <c r="J82" s="140"/>
      <c r="K82" s="140"/>
      <c r="L82" s="140"/>
      <c r="M82" s="140"/>
      <c r="N82" s="140"/>
      <c r="O82" s="140"/>
      <c r="P82" s="24"/>
    </row>
    <row r="83" spans="1:16" x14ac:dyDescent="0.25">
      <c r="A83" s="140"/>
      <c r="B83" s="140"/>
      <c r="C83" s="140"/>
      <c r="D83" s="140"/>
      <c r="E83" s="140"/>
      <c r="F83" s="140"/>
      <c r="G83" s="140"/>
      <c r="H83" s="140"/>
      <c r="I83" s="140"/>
      <c r="J83" s="140"/>
      <c r="K83" s="140"/>
      <c r="L83" s="140"/>
      <c r="M83" s="140"/>
      <c r="N83" s="140"/>
      <c r="O83" s="140"/>
      <c r="P83" s="24"/>
    </row>
    <row r="84" spans="1:16" x14ac:dyDescent="0.25">
      <c r="A84" s="140"/>
      <c r="B84" s="140"/>
      <c r="C84" s="140"/>
      <c r="D84" s="140"/>
      <c r="E84" s="140"/>
      <c r="F84" s="140"/>
      <c r="G84" s="140"/>
      <c r="H84" s="140"/>
      <c r="I84" s="140"/>
      <c r="J84" s="140"/>
      <c r="K84" s="140"/>
      <c r="L84" s="140"/>
      <c r="M84" s="140"/>
      <c r="N84" s="140"/>
      <c r="O84" s="140"/>
      <c r="P84" s="24"/>
    </row>
    <row r="86" spans="1:16" x14ac:dyDescent="0.25">
      <c r="A86" s="64" t="s">
        <v>123</v>
      </c>
    </row>
    <row r="87" spans="1:16" x14ac:dyDescent="0.25">
      <c r="A87" s="140" t="s">
        <v>124</v>
      </c>
      <c r="B87" s="140"/>
      <c r="C87" s="140"/>
      <c r="D87" s="140"/>
      <c r="E87" s="140"/>
      <c r="F87" s="140"/>
      <c r="G87" s="140"/>
      <c r="H87" s="140"/>
      <c r="I87" s="140"/>
      <c r="J87" s="140"/>
      <c r="K87" s="140"/>
      <c r="L87" s="140"/>
      <c r="M87" s="140"/>
      <c r="N87" s="140"/>
      <c r="O87" s="140"/>
    </row>
    <row r="88" spans="1:16" x14ac:dyDescent="0.25">
      <c r="A88" s="140"/>
      <c r="B88" s="140"/>
      <c r="C88" s="140"/>
      <c r="D88" s="140"/>
      <c r="E88" s="140"/>
      <c r="F88" s="140"/>
      <c r="G88" s="140"/>
      <c r="H88" s="140"/>
      <c r="I88" s="140"/>
      <c r="J88" s="140"/>
      <c r="K88" s="140"/>
      <c r="L88" s="140"/>
      <c r="M88" s="140"/>
      <c r="N88" s="140"/>
      <c r="O88" s="140"/>
    </row>
  </sheetData>
  <sheetProtection algorithmName="SHA-512" hashValue="V6B4GtarDZY1QbcKecsn9mSlPv0PAaXK73zA6Xp7qbbXU/bm9I1Ctdg+IMF00OHLxN3Usx7TvJnoQPXTXJngqg==" saltValue="BHKPxfPhTlekrv5C1pQEGw=="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24"/>
  <sheetViews>
    <sheetView workbookViewId="0">
      <selection activeCell="H25" sqref="H25"/>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99" t="s">
        <v>137</v>
      </c>
      <c r="D2" s="99" t="s">
        <v>138</v>
      </c>
      <c r="H2" s="99" t="s">
        <v>139</v>
      </c>
      <c r="I2" s="99" t="s">
        <v>140</v>
      </c>
      <c r="J2" s="144" t="s">
        <v>226</v>
      </c>
      <c r="K2" s="144"/>
      <c r="L2" s="144"/>
      <c r="M2" s="144"/>
      <c r="N2" s="144"/>
      <c r="O2" s="144"/>
      <c r="P2" s="144"/>
      <c r="Q2" s="144"/>
      <c r="R2" s="144"/>
      <c r="S2" s="144"/>
      <c r="T2" s="144"/>
      <c r="U2" s="144"/>
      <c r="V2" s="144"/>
      <c r="W2" s="144"/>
      <c r="X2" s="144"/>
      <c r="Y2" s="144"/>
      <c r="Z2" s="144"/>
      <c r="AA2" s="144"/>
      <c r="AB2" s="144"/>
      <c r="AC2" s="144"/>
      <c r="AD2" s="144"/>
      <c r="AE2" s="144"/>
      <c r="AF2" s="144"/>
      <c r="AG2" s="144"/>
      <c r="AH2" s="144"/>
      <c r="AI2" s="144"/>
    </row>
    <row r="3" spans="2:35" x14ac:dyDescent="0.25">
      <c r="B3" t="s">
        <v>141</v>
      </c>
      <c r="D3" t="s">
        <v>142</v>
      </c>
      <c r="H3" s="25" t="s">
        <v>114</v>
      </c>
      <c r="I3" t="s">
        <v>143</v>
      </c>
      <c r="J3" t="s">
        <v>110</v>
      </c>
    </row>
    <row r="4" spans="2:35" ht="15" customHeight="1" x14ac:dyDescent="0.25">
      <c r="B4" t="s">
        <v>144</v>
      </c>
      <c r="D4" t="s">
        <v>10</v>
      </c>
      <c r="H4" t="s">
        <v>115</v>
      </c>
      <c r="I4" t="s">
        <v>143</v>
      </c>
      <c r="J4" t="s">
        <v>116</v>
      </c>
    </row>
    <row r="5" spans="2:35" x14ac:dyDescent="0.25">
      <c r="B5" t="s">
        <v>145</v>
      </c>
      <c r="H5" t="s">
        <v>117</v>
      </c>
      <c r="I5" t="s">
        <v>143</v>
      </c>
      <c r="J5" t="s">
        <v>118</v>
      </c>
    </row>
    <row r="6" spans="2:35" x14ac:dyDescent="0.25">
      <c r="H6" t="s">
        <v>119</v>
      </c>
      <c r="I6" t="s">
        <v>143</v>
      </c>
      <c r="J6" t="s">
        <v>120</v>
      </c>
    </row>
    <row r="7" spans="2:35" x14ac:dyDescent="0.25">
      <c r="H7" t="s">
        <v>121</v>
      </c>
      <c r="I7" t="s">
        <v>146</v>
      </c>
      <c r="J7" t="s">
        <v>122</v>
      </c>
    </row>
    <row r="8" spans="2:35" x14ac:dyDescent="0.25">
      <c r="H8" t="s">
        <v>147</v>
      </c>
      <c r="I8" t="s">
        <v>143</v>
      </c>
      <c r="J8" t="s">
        <v>125</v>
      </c>
    </row>
    <row r="10" spans="2:35" x14ac:dyDescent="0.25">
      <c r="B10" s="99" t="s">
        <v>148</v>
      </c>
    </row>
    <row r="12" spans="2:35" x14ac:dyDescent="0.25">
      <c r="B12" t="str" cm="1">
        <f t="array" ref="B12:B24">Thresholds[Scale]</f>
        <v>HRA</v>
      </c>
      <c r="H12" s="99" t="s">
        <v>149</v>
      </c>
      <c r="I12" s="99" t="s">
        <v>150</v>
      </c>
      <c r="J12" s="144" t="s">
        <v>225</v>
      </c>
      <c r="K12" s="144"/>
      <c r="L12" s="144"/>
      <c r="M12" s="144"/>
      <c r="N12" s="144"/>
      <c r="O12" s="144"/>
      <c r="P12" s="144"/>
      <c r="Q12" s="144"/>
      <c r="R12" s="144"/>
      <c r="S12" s="144"/>
      <c r="T12" s="144"/>
      <c r="U12" s="144"/>
      <c r="V12" s="144"/>
      <c r="W12" s="144"/>
      <c r="X12" s="144"/>
      <c r="Y12" s="144"/>
      <c r="Z12" s="144"/>
      <c r="AA12" s="144"/>
      <c r="AB12" s="144"/>
      <c r="AC12" s="144"/>
    </row>
    <row r="13" spans="2:35" x14ac:dyDescent="0.25">
      <c r="B13" t="str">
        <v>HRBW</v>
      </c>
      <c r="H13" t="s">
        <v>129</v>
      </c>
      <c r="I13" t="s">
        <v>151</v>
      </c>
      <c r="J13" t="s">
        <v>128</v>
      </c>
    </row>
    <row r="14" spans="2:35" x14ac:dyDescent="0.25">
      <c r="B14" t="str">
        <v>HRC</v>
      </c>
      <c r="H14" t="s">
        <v>130</v>
      </c>
      <c r="I14" t="s">
        <v>146</v>
      </c>
      <c r="J14" t="s">
        <v>131</v>
      </c>
    </row>
    <row r="15" spans="2:35" x14ac:dyDescent="0.25">
      <c r="B15" t="str">
        <v>HREW</v>
      </c>
      <c r="H15" t="s">
        <v>132</v>
      </c>
      <c r="I15" t="s">
        <v>151</v>
      </c>
      <c r="J15" t="s">
        <v>133</v>
      </c>
    </row>
    <row r="16" spans="2:35" x14ac:dyDescent="0.25">
      <c r="B16" t="str">
        <v>HRFW</v>
      </c>
      <c r="I16" t="s">
        <v>152</v>
      </c>
    </row>
    <row r="17" spans="2:10" x14ac:dyDescent="0.25">
      <c r="B17" t="str">
        <v>HRHW</v>
      </c>
    </row>
    <row r="18" spans="2:10" x14ac:dyDescent="0.25">
      <c r="B18" t="str">
        <v>HR15N</v>
      </c>
      <c r="I18" t="s">
        <v>227</v>
      </c>
    </row>
    <row r="19" spans="2:10" ht="15.75" thickBot="1" x14ac:dyDescent="0.3">
      <c r="B19" t="str">
        <v>HR30N</v>
      </c>
      <c r="J19" s="83" t="s">
        <v>153</v>
      </c>
    </row>
    <row r="20" spans="2:10" ht="15.75" thickTop="1" x14ac:dyDescent="0.25">
      <c r="B20" t="str">
        <v>HR45N</v>
      </c>
    </row>
    <row r="21" spans="2:10" x14ac:dyDescent="0.25">
      <c r="B21" t="str">
        <v>HR15TW</v>
      </c>
      <c r="J21" t="str" cm="1">
        <f t="array" ref="J21">IF(Clients[Address1]=0,"",Clients[Address1])</f>
        <v/>
      </c>
    </row>
    <row r="22" spans="2:10" x14ac:dyDescent="0.25">
      <c r="B22" t="str">
        <v>HR30TW</v>
      </c>
    </row>
    <row r="23" spans="2:10" x14ac:dyDescent="0.25">
      <c r="B23" t="str">
        <v>HR45TW</v>
      </c>
    </row>
    <row r="24" spans="2:10" x14ac:dyDescent="0.25">
      <c r="B24" t="str">
        <v>HRMW</v>
      </c>
    </row>
  </sheetData>
  <sheetProtection algorithmName="SHA-512" hashValue="TiSPd7K7AtJnB59f0Ic5kkuJca8XcR8TmRHRRLAEs/VKKT7N3OI5w3gqPTkt21POEQ/bfehHE85u8hTEBos3yg==" saltValue="CRscv97gcfva+fJr6jYmpg=="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154</v>
      </c>
      <c r="B1" t="s">
        <v>155</v>
      </c>
      <c r="C1" t="s">
        <v>156</v>
      </c>
      <c r="D1" t="s">
        <v>157</v>
      </c>
      <c r="E1" t="s">
        <v>158</v>
      </c>
      <c r="F1" t="s">
        <v>159</v>
      </c>
      <c r="G1" t="s">
        <v>160</v>
      </c>
      <c r="H1" t="s">
        <v>161</v>
      </c>
      <c r="I1" t="s">
        <v>162</v>
      </c>
      <c r="J1" t="s">
        <v>163</v>
      </c>
    </row>
    <row r="2" spans="1:10" x14ac:dyDescent="0.25">
      <c r="A2" t="s">
        <v>164</v>
      </c>
      <c r="B2" s="30" t="s">
        <v>165</v>
      </c>
      <c r="C2" s="31">
        <v>0.1</v>
      </c>
      <c r="D2" s="31">
        <v>0.31</v>
      </c>
      <c r="E2" s="31">
        <v>0</v>
      </c>
      <c r="F2" s="31">
        <v>0.28600278396116963</v>
      </c>
      <c r="G2" s="31">
        <v>0</v>
      </c>
      <c r="H2" s="31">
        <v>1</v>
      </c>
      <c r="I2" s="31" t="s">
        <v>166</v>
      </c>
      <c r="J2" s="31" t="str">
        <f>IF(Table3[[#This Row],[Item_C]]="Rockwell Indirect",
    IF(ISNUMBER(SEARCH("≥", Table3[[#This Row],[Main Name]])), "HIGH",
        IF(ISNUMBER(SEARCH("≤", Table3[[#This Row],[Main Name]])), "MID", "LOW")),
    "")</f>
        <v>LOW</v>
      </c>
    </row>
    <row r="3" spans="1:10" x14ac:dyDescent="0.25">
      <c r="A3" t="s">
        <v>167</v>
      </c>
      <c r="B3" s="32" t="s">
        <v>165</v>
      </c>
      <c r="C3">
        <v>0.1</v>
      </c>
      <c r="D3">
        <v>0.32</v>
      </c>
      <c r="E3">
        <v>0</v>
      </c>
      <c r="F3">
        <v>0.29579991959691171</v>
      </c>
      <c r="G3">
        <v>0</v>
      </c>
      <c r="H3">
        <v>1</v>
      </c>
      <c r="I3" t="s">
        <v>166</v>
      </c>
      <c r="J3" t="str">
        <f>IF(Table3[[#This Row],[Item_C]]="Rockwell Indirect",
    IF(ISNUMBER(SEARCH("≥", Table3[[#This Row],[Main Name]])), "HIGH",
        IF(ISNUMBER(SEARCH("≤", Table3[[#This Row],[Main Name]])), "MID", "LOW")),
    "")</f>
        <v>MID</v>
      </c>
    </row>
    <row r="4" spans="1:10" ht="15.75" thickBot="1" x14ac:dyDescent="0.3">
      <c r="A4" t="s">
        <v>168</v>
      </c>
      <c r="B4" s="32" t="s">
        <v>165</v>
      </c>
      <c r="C4">
        <v>0.1</v>
      </c>
      <c r="D4">
        <v>0.2</v>
      </c>
      <c r="E4">
        <v>0</v>
      </c>
      <c r="F4">
        <v>0.17971530940223054</v>
      </c>
      <c r="G4">
        <v>0</v>
      </c>
      <c r="H4">
        <v>1</v>
      </c>
      <c r="I4" t="s">
        <v>166</v>
      </c>
      <c r="J4" t="str">
        <f>IF(Table3[[#This Row],[Item_C]]="Rockwell Indirect",
    IF(ISNUMBER(SEARCH("≥", Table3[[#This Row],[Main Name]])), "HIGH",
        IF(ISNUMBER(SEARCH("≤", Table3[[#This Row],[Main Name]])), "MID", "LOW")),
    "")</f>
        <v>HIGH</v>
      </c>
    </row>
    <row r="5" spans="1:10" x14ac:dyDescent="0.25">
      <c r="A5" t="s">
        <v>169</v>
      </c>
      <c r="B5" s="32" t="s">
        <v>165</v>
      </c>
      <c r="C5">
        <v>0.1</v>
      </c>
      <c r="D5">
        <v>0.36</v>
      </c>
      <c r="E5">
        <v>0</v>
      </c>
      <c r="F5">
        <v>0.33510832940041863</v>
      </c>
      <c r="G5">
        <v>0</v>
      </c>
      <c r="H5">
        <v>1</v>
      </c>
      <c r="I5" t="s">
        <v>170</v>
      </c>
      <c r="J5" s="31" t="str">
        <f>IF(Table3[[#This Row],[Item_C]]="Rockwell Indirect",
    IF(ISNUMBER(SEARCH("≥", Table3[[#This Row],[Main Name]])), "HIGH",
        IF(ISNUMBER(SEARCH("≤", Table3[[#This Row],[Main Name]])), "MID", "LOW")),
    "")</f>
        <v>LOW</v>
      </c>
    </row>
    <row r="6" spans="1:10" x14ac:dyDescent="0.25">
      <c r="A6" t="s">
        <v>171</v>
      </c>
      <c r="B6" s="32" t="s">
        <v>165</v>
      </c>
      <c r="C6">
        <v>0.1</v>
      </c>
      <c r="D6">
        <v>0.26</v>
      </c>
      <c r="E6">
        <v>0</v>
      </c>
      <c r="F6">
        <v>0.24697690668064382</v>
      </c>
      <c r="G6">
        <v>0</v>
      </c>
      <c r="H6">
        <v>1</v>
      </c>
      <c r="I6" t="s">
        <v>170</v>
      </c>
      <c r="J6" t="str">
        <f>IF(Table3[[#This Row],[Item_C]]="Rockwell Indirect",
    IF(ISNUMBER(SEARCH("≥", Table3[[#This Row],[Main Name]])), "HIGH",
        IF(ISNUMBER(SEARCH("≤", Table3[[#This Row],[Main Name]])), "MID", "LOW")),
    "")</f>
        <v>MID</v>
      </c>
    </row>
    <row r="7" spans="1:10" ht="15.75" thickBot="1" x14ac:dyDescent="0.3">
      <c r="A7" t="s">
        <v>172</v>
      </c>
      <c r="B7" s="32" t="s">
        <v>165</v>
      </c>
      <c r="C7">
        <v>0.1</v>
      </c>
      <c r="D7">
        <v>0.39</v>
      </c>
      <c r="E7">
        <v>0</v>
      </c>
      <c r="F7">
        <v>0.37456320218828149</v>
      </c>
      <c r="G7">
        <v>0</v>
      </c>
      <c r="H7">
        <v>1</v>
      </c>
      <c r="I7" t="s">
        <v>170</v>
      </c>
      <c r="J7" t="str">
        <f>IF(Table3[[#This Row],[Item_C]]="Rockwell Indirect",
    IF(ISNUMBER(SEARCH("≥", Table3[[#This Row],[Main Name]])), "HIGH",
        IF(ISNUMBER(SEARCH("≤", Table3[[#This Row],[Main Name]])), "MID", "LOW")),
    "")</f>
        <v>HIGH</v>
      </c>
    </row>
    <row r="8" spans="1:10" x14ac:dyDescent="0.25">
      <c r="A8" t="s">
        <v>173</v>
      </c>
      <c r="B8" s="32" t="s">
        <v>165</v>
      </c>
      <c r="C8">
        <v>0.1</v>
      </c>
      <c r="D8">
        <v>0.39</v>
      </c>
      <c r="E8">
        <v>0</v>
      </c>
      <c r="F8">
        <v>0.37456320218828149</v>
      </c>
      <c r="G8">
        <v>0</v>
      </c>
      <c r="H8">
        <v>1</v>
      </c>
      <c r="I8" t="s">
        <v>174</v>
      </c>
      <c r="J8" s="31" t="str">
        <f>IF(Table3[[#This Row],[Item_C]]="Rockwell Indirect",
    IF(ISNUMBER(SEARCH("≥", Table3[[#This Row],[Main Name]])), "HIGH",
        IF(ISNUMBER(SEARCH("≤", Table3[[#This Row],[Main Name]])), "MID", "LOW")),
    "")</f>
        <v>LOW</v>
      </c>
    </row>
    <row r="9" spans="1:10" x14ac:dyDescent="0.25">
      <c r="A9" t="s">
        <v>175</v>
      </c>
      <c r="B9" s="32" t="s">
        <v>165</v>
      </c>
      <c r="C9">
        <v>0.1</v>
      </c>
      <c r="D9">
        <v>0.34</v>
      </c>
      <c r="E9">
        <v>0</v>
      </c>
      <c r="F9">
        <v>0.32526541844090873</v>
      </c>
      <c r="G9">
        <v>0</v>
      </c>
      <c r="H9">
        <v>1</v>
      </c>
      <c r="I9" t="s">
        <v>174</v>
      </c>
      <c r="J9" t="str">
        <f>IF(Table3[[#This Row],[Item_C]]="Rockwell Indirect",
    IF(ISNUMBER(SEARCH("≥", Table3[[#This Row],[Main Name]])), "HIGH",
        IF(ISNUMBER(SEARCH("≤", Table3[[#This Row],[Main Name]])), "MID", "LOW")),
    "")</f>
        <v>MID</v>
      </c>
    </row>
    <row r="10" spans="1:10" ht="15.75" thickBot="1" x14ac:dyDescent="0.3">
      <c r="A10" t="s">
        <v>176</v>
      </c>
      <c r="B10" s="32" t="s">
        <v>165</v>
      </c>
      <c r="C10">
        <v>0.1</v>
      </c>
      <c r="D10">
        <v>0.32</v>
      </c>
      <c r="E10">
        <v>0</v>
      </c>
      <c r="F10">
        <v>0.31543238963926873</v>
      </c>
      <c r="G10">
        <v>0</v>
      </c>
      <c r="H10">
        <v>1</v>
      </c>
      <c r="I10" t="s">
        <v>174</v>
      </c>
      <c r="J10" t="str">
        <f>IF(Table3[[#This Row],[Item_C]]="Rockwell Indirect",
    IF(ISNUMBER(SEARCH("≥", Table3[[#This Row],[Main Name]])), "HIGH",
        IF(ISNUMBER(SEARCH("≤", Table3[[#This Row],[Main Name]])), "MID", "LOW")),
    "")</f>
        <v>HIGH</v>
      </c>
    </row>
    <row r="11" spans="1:10" x14ac:dyDescent="0.25">
      <c r="A11" t="s">
        <v>177</v>
      </c>
      <c r="B11" s="32" t="s">
        <v>165</v>
      </c>
      <c r="C11">
        <v>0.1</v>
      </c>
      <c r="D11">
        <v>0.39</v>
      </c>
      <c r="E11">
        <v>0</v>
      </c>
      <c r="F11">
        <v>0.3646883497365106</v>
      </c>
      <c r="G11">
        <v>0</v>
      </c>
      <c r="H11">
        <v>1</v>
      </c>
      <c r="I11" t="s">
        <v>178</v>
      </c>
      <c r="J11" s="31" t="str">
        <f>IF(Table3[[#This Row],[Item_C]]="Rockwell Indirect",
    IF(ISNUMBER(SEARCH("≥", Table3[[#This Row],[Main Name]])), "HIGH",
        IF(ISNUMBER(SEARCH("≤", Table3[[#This Row],[Main Name]])), "MID", "LOW")),
    "")</f>
        <v>LOW</v>
      </c>
    </row>
    <row r="12" spans="1:10" x14ac:dyDescent="0.25">
      <c r="A12" t="s">
        <v>179</v>
      </c>
      <c r="B12" s="32" t="s">
        <v>165</v>
      </c>
      <c r="C12">
        <v>0.1</v>
      </c>
      <c r="D12">
        <v>0.49</v>
      </c>
      <c r="E12">
        <v>0</v>
      </c>
      <c r="F12">
        <v>0.48352620656334588</v>
      </c>
      <c r="G12">
        <v>0</v>
      </c>
      <c r="H12">
        <v>1</v>
      </c>
      <c r="I12" t="s">
        <v>178</v>
      </c>
      <c r="J12" t="str">
        <f>IF(Table3[[#This Row],[Item_C]]="Rockwell Indirect",
    IF(ISNUMBER(SEARCH("≥", Table3[[#This Row],[Main Name]])), "HIGH",
        IF(ISNUMBER(SEARCH("≤", Table3[[#This Row],[Main Name]])), "MID", "LOW")),
    "")</f>
        <v>MID</v>
      </c>
    </row>
    <row r="13" spans="1:10" ht="15.75" thickBot="1" x14ac:dyDescent="0.3">
      <c r="A13" t="s">
        <v>180</v>
      </c>
      <c r="B13" s="32" t="s">
        <v>165</v>
      </c>
      <c r="C13">
        <v>0.1</v>
      </c>
      <c r="D13">
        <v>0.49</v>
      </c>
      <c r="E13">
        <v>0</v>
      </c>
      <c r="F13">
        <v>0.48352620656334588</v>
      </c>
      <c r="G13">
        <v>0</v>
      </c>
      <c r="H13">
        <v>1</v>
      </c>
      <c r="I13" t="s">
        <v>178</v>
      </c>
      <c r="J13" t="str">
        <f>IF(Table3[[#This Row],[Item_C]]="Rockwell Indirect",
    IF(ISNUMBER(SEARCH("≥", Table3[[#This Row],[Main Name]])), "HIGH",
        IF(ISNUMBER(SEARCH("≤", Table3[[#This Row],[Main Name]])), "MID", "LOW")),
    "")</f>
        <v>HIGH</v>
      </c>
    </row>
    <row r="14" spans="1:10" x14ac:dyDescent="0.25">
      <c r="A14" t="s">
        <v>181</v>
      </c>
      <c r="B14" s="32" t="s">
        <v>165</v>
      </c>
      <c r="C14">
        <v>0.1</v>
      </c>
      <c r="D14">
        <v>0.28000000000000003</v>
      </c>
      <c r="E14">
        <v>0</v>
      </c>
      <c r="F14">
        <v>0.25670526374334329</v>
      </c>
      <c r="G14">
        <v>0</v>
      </c>
      <c r="H14">
        <v>1</v>
      </c>
      <c r="I14" t="s">
        <v>182</v>
      </c>
      <c r="J14" s="31" t="str">
        <f>IF(Table3[[#This Row],[Item_C]]="Rockwell Indirect",
    IF(ISNUMBER(SEARCH("≥", Table3[[#This Row],[Main Name]])), "HIGH",
        IF(ISNUMBER(SEARCH("≤", Table3[[#This Row],[Main Name]])), "MID", "LOW")),
    "")</f>
        <v>LOW</v>
      </c>
    </row>
    <row r="15" spans="1:10" x14ac:dyDescent="0.25">
      <c r="A15" t="s">
        <v>183</v>
      </c>
      <c r="B15" s="32" t="s">
        <v>165</v>
      </c>
      <c r="C15">
        <v>0.1</v>
      </c>
      <c r="D15">
        <v>0.47</v>
      </c>
      <c r="E15">
        <v>0</v>
      </c>
      <c r="F15">
        <v>0.4537593992784496</v>
      </c>
      <c r="G15">
        <v>0</v>
      </c>
      <c r="H15">
        <v>1</v>
      </c>
      <c r="I15" t="s">
        <v>182</v>
      </c>
      <c r="J15" t="str">
        <f>IF(Table3[[#This Row],[Item_C]]="Rockwell Indirect",
    IF(ISNUMBER(SEARCH("≥", Table3[[#This Row],[Main Name]])), "HIGH",
        IF(ISNUMBER(SEARCH("≤", Table3[[#This Row],[Main Name]])), "MID", "LOW")),
    "")</f>
        <v>MID</v>
      </c>
    </row>
    <row r="16" spans="1:10" ht="15.75" thickBot="1" x14ac:dyDescent="0.3">
      <c r="A16" t="s">
        <v>184</v>
      </c>
      <c r="B16" s="32" t="s">
        <v>165</v>
      </c>
      <c r="C16">
        <v>0.1</v>
      </c>
      <c r="D16">
        <v>0.45</v>
      </c>
      <c r="E16">
        <v>0</v>
      </c>
      <c r="F16">
        <v>0.44384410825597254</v>
      </c>
      <c r="G16">
        <v>0</v>
      </c>
      <c r="H16">
        <v>1</v>
      </c>
      <c r="I16" t="s">
        <v>182</v>
      </c>
      <c r="J16" t="str">
        <f>IF(Table3[[#This Row],[Item_C]]="Rockwell Indirect",
    IF(ISNUMBER(SEARCH("≥", Table3[[#This Row],[Main Name]])), "HIGH",
        IF(ISNUMBER(SEARCH("≤", Table3[[#This Row],[Main Name]])), "MID", "LOW")),
    "")</f>
        <v>HIGH</v>
      </c>
    </row>
    <row r="17" spans="1:10" x14ac:dyDescent="0.25">
      <c r="A17" t="s">
        <v>185</v>
      </c>
      <c r="B17" s="32" t="s">
        <v>165</v>
      </c>
      <c r="C17">
        <v>0.1</v>
      </c>
      <c r="D17">
        <v>0.45</v>
      </c>
      <c r="E17">
        <v>0</v>
      </c>
      <c r="F17">
        <v>0.44384410825597254</v>
      </c>
      <c r="G17">
        <v>0</v>
      </c>
      <c r="H17">
        <v>1</v>
      </c>
      <c r="I17" t="s">
        <v>186</v>
      </c>
      <c r="J17" s="31" t="str">
        <f>IF(Table3[[#This Row],[Item_C]]="Rockwell Indirect",
    IF(ISNUMBER(SEARCH("≥", Table3[[#This Row],[Main Name]])), "HIGH",
        IF(ISNUMBER(SEARCH("≤", Table3[[#This Row],[Main Name]])), "MID", "LOW")),
    "")</f>
        <v>LOW</v>
      </c>
    </row>
    <row r="18" spans="1:10" ht="15.75" thickBot="1" x14ac:dyDescent="0.3">
      <c r="A18" t="s">
        <v>187</v>
      </c>
      <c r="B18" s="32" t="s">
        <v>165</v>
      </c>
      <c r="C18">
        <v>0.1</v>
      </c>
      <c r="D18">
        <v>0.36</v>
      </c>
      <c r="E18">
        <v>0</v>
      </c>
      <c r="F18">
        <v>0.35482050734637566</v>
      </c>
      <c r="G18">
        <v>0</v>
      </c>
      <c r="H18">
        <v>1</v>
      </c>
      <c r="I18" t="s">
        <v>186</v>
      </c>
      <c r="J18" t="str">
        <f>IF(Table3[[#This Row],[Item_C]]="Rockwell Indirect",
    IF(ISNUMBER(SEARCH("≥", Table3[[#This Row],[Main Name]])), "HIGH",
        IF(ISNUMBER(SEARCH("≤", Table3[[#This Row],[Main Name]])), "MID", "LOW")),
    "")</f>
        <v>HIGH</v>
      </c>
    </row>
    <row r="19" spans="1:10" x14ac:dyDescent="0.25">
      <c r="A19" t="s">
        <v>188</v>
      </c>
      <c r="B19" s="32" t="s">
        <v>165</v>
      </c>
      <c r="C19">
        <v>0.1</v>
      </c>
      <c r="D19">
        <v>0.42</v>
      </c>
      <c r="E19">
        <v>0</v>
      </c>
      <c r="F19">
        <v>0.39433183035806213</v>
      </c>
      <c r="G19">
        <v>0</v>
      </c>
      <c r="H19">
        <v>1</v>
      </c>
      <c r="I19" t="s">
        <v>189</v>
      </c>
      <c r="J19" s="31" t="str">
        <f>IF(Table3[[#This Row],[Item_C]]="Rockwell Indirect",
    IF(ISNUMBER(SEARCH("≥", Table3[[#This Row],[Main Name]])), "HIGH",
        IF(ISNUMBER(SEARCH("≤", Table3[[#This Row],[Main Name]])), "MID", "LOW")),
    "")</f>
        <v>LOW</v>
      </c>
    </row>
    <row r="20" spans="1:10" x14ac:dyDescent="0.25">
      <c r="A20" t="s">
        <v>190</v>
      </c>
      <c r="B20" s="32" t="s">
        <v>165</v>
      </c>
      <c r="C20">
        <v>0.1</v>
      </c>
      <c r="D20">
        <v>0.42</v>
      </c>
      <c r="E20">
        <v>0</v>
      </c>
      <c r="F20">
        <v>0.40422468063385181</v>
      </c>
      <c r="G20">
        <v>0</v>
      </c>
      <c r="H20">
        <v>1</v>
      </c>
      <c r="I20" t="s">
        <v>189</v>
      </c>
      <c r="J20" t="str">
        <f>IF(Table3[[#This Row],[Item_C]]="Rockwell Indirect",
    IF(ISNUMBER(SEARCH("≥", Table3[[#This Row],[Main Name]])), "HIGH",
        IF(ISNUMBER(SEARCH("≤", Table3[[#This Row],[Main Name]])), "MID", "LOW")),
    "")</f>
        <v>MID</v>
      </c>
    </row>
    <row r="21" spans="1:10" ht="15.75" thickBot="1" x14ac:dyDescent="0.3">
      <c r="A21" t="s">
        <v>191</v>
      </c>
      <c r="B21" s="32" t="s">
        <v>165</v>
      </c>
      <c r="C21">
        <v>0.1</v>
      </c>
      <c r="D21">
        <v>0.51</v>
      </c>
      <c r="E21">
        <v>0</v>
      </c>
      <c r="F21">
        <v>0.50338612658032145</v>
      </c>
      <c r="G21">
        <v>0</v>
      </c>
      <c r="H21">
        <v>1</v>
      </c>
      <c r="I21" t="s">
        <v>189</v>
      </c>
      <c r="J21" t="str">
        <f>IF(Table3[[#This Row],[Item_C]]="Rockwell Indirect",
    IF(ISNUMBER(SEARCH("≥", Table3[[#This Row],[Main Name]])), "HIGH",
        IF(ISNUMBER(SEARCH("≤", Table3[[#This Row],[Main Name]])), "MID", "LOW")),
    "")</f>
        <v>HIGH</v>
      </c>
    </row>
    <row r="22" spans="1:10" x14ac:dyDescent="0.25">
      <c r="A22" t="s">
        <v>192</v>
      </c>
      <c r="B22" s="32" t="s">
        <v>165</v>
      </c>
      <c r="C22">
        <v>0.1</v>
      </c>
      <c r="D22">
        <v>0.3</v>
      </c>
      <c r="E22">
        <v>0</v>
      </c>
      <c r="F22">
        <v>0.26645373413322521</v>
      </c>
      <c r="G22">
        <v>0</v>
      </c>
      <c r="H22">
        <v>1</v>
      </c>
      <c r="I22" t="s">
        <v>193</v>
      </c>
      <c r="J22" s="31" t="str">
        <f>IF(Table3[[#This Row],[Item_C]]="Rockwell Indirect",
    IF(ISNUMBER(SEARCH("≥", Table3[[#This Row],[Main Name]])), "HIGH",
        IF(ISNUMBER(SEARCH("≤", Table3[[#This Row],[Main Name]])), "MID", "LOW")),
    "")</f>
        <v>LOW</v>
      </c>
    </row>
    <row r="23" spans="1:10" x14ac:dyDescent="0.25">
      <c r="A23" t="s">
        <v>194</v>
      </c>
      <c r="B23" s="32" t="s">
        <v>165</v>
      </c>
      <c r="C23">
        <v>0.1</v>
      </c>
      <c r="D23">
        <v>0.47</v>
      </c>
      <c r="E23">
        <v>0</v>
      </c>
      <c r="F23">
        <v>0.4537593992784496</v>
      </c>
      <c r="G23">
        <v>0</v>
      </c>
      <c r="H23">
        <v>1</v>
      </c>
      <c r="I23" t="s">
        <v>193</v>
      </c>
      <c r="J23" t="str">
        <f>IF(Table3[[#This Row],[Item_C]]="Rockwell Indirect",
    IF(ISNUMBER(SEARCH("≥", Table3[[#This Row],[Main Name]])), "HIGH",
        IF(ISNUMBER(SEARCH("≤", Table3[[#This Row],[Main Name]])), "MID", "LOW")),
    "")</f>
        <v>MID</v>
      </c>
    </row>
    <row r="24" spans="1:10" ht="15.75" thickBot="1" x14ac:dyDescent="0.3">
      <c r="A24" t="s">
        <v>195</v>
      </c>
      <c r="B24" s="32" t="s">
        <v>165</v>
      </c>
      <c r="C24">
        <v>0.1</v>
      </c>
      <c r="D24">
        <v>0.54</v>
      </c>
      <c r="E24">
        <v>0</v>
      </c>
      <c r="F24">
        <v>0.52325671752356839</v>
      </c>
      <c r="G24">
        <v>0</v>
      </c>
      <c r="H24">
        <v>1</v>
      </c>
      <c r="I24" t="s">
        <v>193</v>
      </c>
      <c r="J24" t="str">
        <f>IF(Table3[[#This Row],[Item_C]]="Rockwell Indirect",
    IF(ISNUMBER(SEARCH("≥", Table3[[#This Row],[Main Name]])), "HIGH",
        IF(ISNUMBER(SEARCH("≤", Table3[[#This Row],[Main Name]])), "MID", "LOW")),
    "")</f>
        <v>HIGH</v>
      </c>
    </row>
    <row r="25" spans="1:10" x14ac:dyDescent="0.25">
      <c r="A25" t="s">
        <v>196</v>
      </c>
      <c r="B25" s="32" t="s">
        <v>165</v>
      </c>
      <c r="C25">
        <v>0.1</v>
      </c>
      <c r="D25">
        <v>0.5</v>
      </c>
      <c r="E25">
        <v>0</v>
      </c>
      <c r="F25">
        <v>0.4736006676869654</v>
      </c>
      <c r="G25">
        <v>0</v>
      </c>
      <c r="H25">
        <v>1</v>
      </c>
      <c r="I25" t="s">
        <v>197</v>
      </c>
      <c r="J25" s="31" t="str">
        <f>IF(Table3[[#This Row],[Item_C]]="Rockwell Indirect",
    IF(ISNUMBER(SEARCH("≥", Table3[[#This Row],[Main Name]])), "HIGH",
        IF(ISNUMBER(SEARCH("≤", Table3[[#This Row],[Main Name]])), "MID", "LOW")),
    "")</f>
        <v>LOW</v>
      </c>
    </row>
    <row r="26" spans="1:10" x14ac:dyDescent="0.25">
      <c r="A26" t="s">
        <v>198</v>
      </c>
      <c r="B26" s="32" t="s">
        <v>165</v>
      </c>
      <c r="C26">
        <v>0.1</v>
      </c>
      <c r="D26">
        <v>0.25</v>
      </c>
      <c r="E26">
        <v>0</v>
      </c>
      <c r="F26">
        <v>0.21793942377077957</v>
      </c>
      <c r="G26">
        <v>0</v>
      </c>
      <c r="H26">
        <v>1</v>
      </c>
      <c r="I26" t="s">
        <v>197</v>
      </c>
      <c r="J26" t="str">
        <f>IF(Table3[[#This Row],[Item_C]]="Rockwell Indirect",
    IF(ISNUMBER(SEARCH("≥", Table3[[#This Row],[Main Name]])), "HIGH",
        IF(ISNUMBER(SEARCH("≤", Table3[[#This Row],[Main Name]])), "MID", "LOW")),
    "")</f>
        <v>MID</v>
      </c>
    </row>
    <row r="27" spans="1:10" ht="15.75" thickBot="1" x14ac:dyDescent="0.3">
      <c r="A27" t="s">
        <v>199</v>
      </c>
      <c r="B27" s="32" t="s">
        <v>165</v>
      </c>
      <c r="C27">
        <v>0.1</v>
      </c>
      <c r="D27">
        <v>0.2</v>
      </c>
      <c r="E27">
        <v>0</v>
      </c>
      <c r="F27">
        <v>0.17971530940223054</v>
      </c>
      <c r="G27">
        <v>0</v>
      </c>
      <c r="H27">
        <v>1</v>
      </c>
      <c r="I27" t="s">
        <v>197</v>
      </c>
      <c r="J27" t="str">
        <f>IF(Table3[[#This Row],[Item_C]]="Rockwell Indirect",
    IF(ISNUMBER(SEARCH("≥", Table3[[#This Row],[Main Name]])), "HIGH",
        IF(ISNUMBER(SEARCH("≤", Table3[[#This Row],[Main Name]])), "MID", "LOW")),
    "")</f>
        <v>HIGH</v>
      </c>
    </row>
    <row r="28" spans="1:10" x14ac:dyDescent="0.25">
      <c r="A28" t="s">
        <v>200</v>
      </c>
      <c r="B28" s="32" t="s">
        <v>165</v>
      </c>
      <c r="C28">
        <v>0.1</v>
      </c>
      <c r="D28">
        <v>0.45</v>
      </c>
      <c r="E28">
        <v>0</v>
      </c>
      <c r="F28">
        <v>0.4141226779995747</v>
      </c>
      <c r="G28">
        <v>0</v>
      </c>
      <c r="H28">
        <v>1</v>
      </c>
      <c r="I28" t="s">
        <v>201</v>
      </c>
      <c r="J28" s="31" t="str">
        <f>IF(Table3[[#This Row],[Item_C]]="Rockwell Indirect",
    IF(ISNUMBER(SEARCH("≥", Table3[[#This Row],[Main Name]])), "HIGH",
        IF(ISNUMBER(SEARCH("≤", Table3[[#This Row],[Main Name]])), "MID", "LOW")),
    "")</f>
        <v>LOW</v>
      </c>
    </row>
    <row r="29" spans="1:10" x14ac:dyDescent="0.25">
      <c r="A29" t="s">
        <v>202</v>
      </c>
      <c r="B29" s="32" t="s">
        <v>165</v>
      </c>
      <c r="C29">
        <v>0.1</v>
      </c>
      <c r="D29">
        <v>0.39</v>
      </c>
      <c r="E29">
        <v>0</v>
      </c>
      <c r="F29">
        <v>0.3646883497365106</v>
      </c>
      <c r="G29">
        <v>0</v>
      </c>
      <c r="H29">
        <v>1</v>
      </c>
      <c r="I29" t="s">
        <v>201</v>
      </c>
      <c r="J29" t="str">
        <f>IF(Table3[[#This Row],[Item_C]]="Rockwell Indirect",
    IF(ISNUMBER(SEARCH("≥", Table3[[#This Row],[Main Name]])), "HIGH",
        IF(ISNUMBER(SEARCH("≤", Table3[[#This Row],[Main Name]])), "MID", "LOW")),
    "")</f>
        <v>MID</v>
      </c>
    </row>
    <row r="30" spans="1:10" ht="15.75" thickBot="1" x14ac:dyDescent="0.3">
      <c r="A30" t="s">
        <v>203</v>
      </c>
      <c r="B30" s="32" t="s">
        <v>165</v>
      </c>
      <c r="C30">
        <v>0.1</v>
      </c>
      <c r="D30">
        <v>0.32</v>
      </c>
      <c r="E30">
        <v>0</v>
      </c>
      <c r="F30">
        <v>0.29579991959691171</v>
      </c>
      <c r="G30">
        <v>0</v>
      </c>
      <c r="H30">
        <v>1</v>
      </c>
      <c r="I30" t="s">
        <v>201</v>
      </c>
      <c r="J30" t="str">
        <f>IF(Table3[[#This Row],[Item_C]]="Rockwell Indirect",
    IF(ISNUMBER(SEARCH("≥", Table3[[#This Row],[Main Name]])), "HIGH",
        IF(ISNUMBER(SEARCH("≤", Table3[[#This Row],[Main Name]])), "MID", "LOW")),
    "")</f>
        <v>HIGH</v>
      </c>
    </row>
    <row r="31" spans="1:10" x14ac:dyDescent="0.25">
      <c r="A31" t="s">
        <v>204</v>
      </c>
      <c r="B31" s="32" t="s">
        <v>165</v>
      </c>
      <c r="C31">
        <v>0.1</v>
      </c>
      <c r="D31">
        <v>0.57999999999999996</v>
      </c>
      <c r="E31">
        <v>0</v>
      </c>
      <c r="F31">
        <v>0.55308009585731743</v>
      </c>
      <c r="G31">
        <v>0</v>
      </c>
      <c r="H31">
        <v>1</v>
      </c>
      <c r="I31" t="s">
        <v>205</v>
      </c>
      <c r="J31" s="31" t="str">
        <f>IF(Table3[[#This Row],[Item_C]]="Rockwell Indirect",
    IF(ISNUMBER(SEARCH("≥", Table3[[#This Row],[Main Name]])), "HIGH",
        IF(ISNUMBER(SEARCH("≤", Table3[[#This Row],[Main Name]])), "MID", "LOW")),
    "")</f>
        <v>LOW</v>
      </c>
    </row>
    <row r="32" spans="1:10" x14ac:dyDescent="0.25">
      <c r="A32" t="s">
        <v>206</v>
      </c>
      <c r="B32" s="32" t="s">
        <v>165</v>
      </c>
      <c r="C32">
        <v>0.1</v>
      </c>
      <c r="D32">
        <v>0.64</v>
      </c>
      <c r="E32">
        <v>0</v>
      </c>
      <c r="F32">
        <v>0.62273396601882847</v>
      </c>
      <c r="G32">
        <v>0</v>
      </c>
      <c r="H32">
        <v>1</v>
      </c>
      <c r="I32" t="s">
        <v>205</v>
      </c>
      <c r="J32" t="str">
        <f>IF(Table3[[#This Row],[Item_C]]="Rockwell Indirect",
    IF(ISNUMBER(SEARCH("≥", Table3[[#This Row],[Main Name]])), "HIGH",
        IF(ISNUMBER(SEARCH("≤", Table3[[#This Row],[Main Name]])), "MID", "LOW")),
    "")</f>
        <v>MID</v>
      </c>
    </row>
    <row r="33" spans="1:10" ht="15.75" thickBot="1" x14ac:dyDescent="0.3">
      <c r="A33" t="s">
        <v>207</v>
      </c>
      <c r="B33" s="32" t="s">
        <v>165</v>
      </c>
      <c r="C33">
        <v>0.1</v>
      </c>
      <c r="D33">
        <v>0.22</v>
      </c>
      <c r="E33">
        <v>0</v>
      </c>
      <c r="F33">
        <v>0.19874001216045914</v>
      </c>
      <c r="G33">
        <v>0</v>
      </c>
      <c r="H33">
        <v>1</v>
      </c>
      <c r="I33" t="s">
        <v>205</v>
      </c>
      <c r="J33" t="str">
        <f>IF(Table3[[#This Row],[Item_C]]="Rockwell Indirect",
    IF(ISNUMBER(SEARCH("≥", Table3[[#This Row],[Main Name]])), "HIGH",
        IF(ISNUMBER(SEARCH("≤", Table3[[#This Row],[Main Name]])), "MID", "LOW")),
    "")</f>
        <v>HIGH</v>
      </c>
    </row>
    <row r="34" spans="1:10" x14ac:dyDescent="0.25">
      <c r="A34" t="s">
        <v>208</v>
      </c>
      <c r="B34" s="32" t="s">
        <v>165</v>
      </c>
      <c r="C34">
        <v>0.1</v>
      </c>
      <c r="D34">
        <v>0.7</v>
      </c>
      <c r="E34">
        <v>0</v>
      </c>
      <c r="F34">
        <v>0.68249365743099732</v>
      </c>
      <c r="G34">
        <v>0</v>
      </c>
      <c r="H34">
        <v>1</v>
      </c>
      <c r="I34" t="s">
        <v>209</v>
      </c>
      <c r="J34" s="31" t="str">
        <f>IF(Table3[[#This Row],[Item_C]]="Rockwell Indirect",
    IF(ISNUMBER(SEARCH("≥", Table3[[#This Row],[Main Name]])), "HIGH",
        IF(ISNUMBER(SEARCH("≤", Table3[[#This Row],[Main Name]])), "MID", "LOW")),
    "")</f>
        <v>LOW</v>
      </c>
    </row>
    <row r="35" spans="1:10" x14ac:dyDescent="0.25">
      <c r="A35" t="s">
        <v>210</v>
      </c>
      <c r="B35" s="32" t="s">
        <v>165</v>
      </c>
      <c r="C35">
        <v>0.1</v>
      </c>
      <c r="D35">
        <v>0.41</v>
      </c>
      <c r="E35">
        <v>0</v>
      </c>
      <c r="F35">
        <v>0.38444452452016981</v>
      </c>
      <c r="G35">
        <v>0</v>
      </c>
      <c r="H35">
        <v>1</v>
      </c>
      <c r="I35" t="s">
        <v>209</v>
      </c>
      <c r="J35" t="str">
        <f>IF(Table3[[#This Row],[Item_C]]="Rockwell Indirect",
    IF(ISNUMBER(SEARCH("≥", Table3[[#This Row],[Main Name]])), "HIGH",
        IF(ISNUMBER(SEARCH("≤", Table3[[#This Row],[Main Name]])), "MID", "LOW")),
    "")</f>
        <v>MID</v>
      </c>
    </row>
    <row r="36" spans="1:10" ht="15.75" thickBot="1" x14ac:dyDescent="0.3">
      <c r="A36" t="s">
        <v>211</v>
      </c>
      <c r="B36" s="32" t="s">
        <v>165</v>
      </c>
      <c r="C36">
        <v>0.1</v>
      </c>
      <c r="D36">
        <v>0.39</v>
      </c>
      <c r="E36">
        <v>0</v>
      </c>
      <c r="F36">
        <v>0.37456320218828149</v>
      </c>
      <c r="G36">
        <v>0</v>
      </c>
      <c r="H36">
        <v>1</v>
      </c>
      <c r="I36" t="s">
        <v>209</v>
      </c>
      <c r="J36" t="str">
        <f>IF(Table3[[#This Row],[Item_C]]="Rockwell Indirect",
    IF(ISNUMBER(SEARCH("≥", Table3[[#This Row],[Main Name]])), "HIGH",
        IF(ISNUMBER(SEARCH("≤", Table3[[#This Row],[Main Name]])), "MID", "LOW")),
    "")</f>
        <v>HIGH</v>
      </c>
    </row>
    <row r="37" spans="1:10" x14ac:dyDescent="0.25">
      <c r="A37" t="s">
        <v>212</v>
      </c>
      <c r="B37" s="32" t="s">
        <v>165</v>
      </c>
      <c r="C37">
        <v>0.1</v>
      </c>
      <c r="D37">
        <v>0.44</v>
      </c>
      <c r="E37">
        <v>0</v>
      </c>
      <c r="G37">
        <v>0</v>
      </c>
      <c r="H37">
        <v>1</v>
      </c>
      <c r="I37" t="s">
        <v>213</v>
      </c>
      <c r="J37" s="31" t="str">
        <f>IF(Table3[[#This Row],[Item_C]]="Rockwell Indirect",
    IF(ISNUMBER(SEARCH("≥", Table3[[#This Row],[Main Name]])), "HIGH",
        IF(ISNUMBER(SEARCH("≤", Table3[[#This Row],[Main Name]])), "MID", "LOW")),
    "")</f>
        <v>MID</v>
      </c>
    </row>
    <row r="38" spans="1:10" ht="15.75" thickBot="1" x14ac:dyDescent="0.3">
      <c r="A38" t="s">
        <v>214</v>
      </c>
      <c r="B38" s="33" t="s">
        <v>165</v>
      </c>
      <c r="C38" s="34">
        <v>0.1</v>
      </c>
      <c r="D38" s="34">
        <v>0.55000000000000004</v>
      </c>
      <c r="E38" s="34">
        <v>0</v>
      </c>
      <c r="F38" s="34"/>
      <c r="G38" s="34">
        <v>0</v>
      </c>
      <c r="H38" s="34">
        <v>1</v>
      </c>
      <c r="I38" s="34" t="s">
        <v>213</v>
      </c>
      <c r="J38" s="34"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6"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N20" sqref="N20"/>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215</v>
      </c>
      <c r="B2" s="84" t="s">
        <v>216</v>
      </c>
      <c r="C2" s="84" t="s">
        <v>217</v>
      </c>
      <c r="D2" s="85" t="s">
        <v>218</v>
      </c>
      <c r="H2" s="17" t="s">
        <v>63</v>
      </c>
      <c r="M2" s="17" t="s">
        <v>81</v>
      </c>
      <c r="R2" s="17" t="s">
        <v>105</v>
      </c>
      <c r="S2" s="17"/>
      <c r="T2" s="17"/>
      <c r="U2" s="17"/>
    </row>
    <row r="3" spans="1:21" ht="15.75" thickTop="1" x14ac:dyDescent="0.25">
      <c r="A3" t="s">
        <v>65</v>
      </c>
      <c r="B3" t="s">
        <v>219</v>
      </c>
      <c r="C3" t="s">
        <v>220</v>
      </c>
      <c r="D3" t="s">
        <v>221</v>
      </c>
      <c r="E3" t="s">
        <v>222</v>
      </c>
      <c r="F3" t="s">
        <v>223</v>
      </c>
      <c r="H3" t="s">
        <v>65</v>
      </c>
      <c r="I3" t="s">
        <v>216</v>
      </c>
      <c r="J3" t="s">
        <v>217</v>
      </c>
      <c r="K3" t="s">
        <v>218</v>
      </c>
      <c r="M3" t="s">
        <v>24</v>
      </c>
      <c r="N3" t="s">
        <v>216</v>
      </c>
      <c r="O3" t="s">
        <v>217</v>
      </c>
      <c r="P3" t="s">
        <v>218</v>
      </c>
      <c r="R3"/>
      <c r="S3"/>
      <c r="T3"/>
      <c r="U3"/>
    </row>
    <row r="4" spans="1:21" x14ac:dyDescent="0.25">
      <c r="A4" t="s">
        <v>166</v>
      </c>
      <c r="B4" t="str">
        <f>"&lt; "&amp;Thresholds[[#This Row],[Threshold1]]</f>
        <v>&lt; 70</v>
      </c>
      <c r="C4" t="str">
        <f>"≥ "&amp;Thresholds[[#This Row],[Threshold1]]&amp;" and &lt; "&amp;Thresholds[[#This Row],[Threshold2]]</f>
        <v>≥ 70 and &lt; 80</v>
      </c>
      <c r="D4" t="str">
        <f>"≥ "&amp;Thresholds[[#This Row],[Threshold2]]</f>
        <v>≥ 80</v>
      </c>
      <c r="E4">
        <v>70</v>
      </c>
      <c r="F4">
        <v>80</v>
      </c>
      <c r="H4" t="s">
        <v>166</v>
      </c>
      <c r="I4">
        <v>1</v>
      </c>
      <c r="J4">
        <v>1</v>
      </c>
      <c r="K4">
        <v>0.5</v>
      </c>
      <c r="M4" t="s">
        <v>166</v>
      </c>
      <c r="N4">
        <v>2</v>
      </c>
      <c r="O4">
        <v>1.5</v>
      </c>
      <c r="P4">
        <v>1</v>
      </c>
      <c r="R4"/>
      <c r="S4"/>
      <c r="T4"/>
      <c r="U4"/>
    </row>
    <row r="5" spans="1:21" x14ac:dyDescent="0.25">
      <c r="A5" t="s">
        <v>170</v>
      </c>
      <c r="B5" t="str">
        <f>"&lt; "&amp;Thresholds[[#This Row],[Threshold1]]</f>
        <v>&lt; 60</v>
      </c>
      <c r="C5" t="str">
        <f>"≥ "&amp;Thresholds[[#This Row],[Threshold1]]&amp;" and &lt; "&amp;Thresholds[[#This Row],[Threshold2]]</f>
        <v>≥ 60 and &lt; 88</v>
      </c>
      <c r="D5" t="str">
        <f>"≥ "&amp;Thresholds[[#This Row],[Threshold2]]</f>
        <v>≥ 88</v>
      </c>
      <c r="E5">
        <v>60</v>
      </c>
      <c r="F5">
        <v>88</v>
      </c>
      <c r="H5" t="s">
        <v>170</v>
      </c>
      <c r="I5">
        <v>2.5</v>
      </c>
      <c r="J5">
        <v>2.5</v>
      </c>
      <c r="K5">
        <v>1</v>
      </c>
      <c r="M5" t="s">
        <v>170</v>
      </c>
      <c r="N5">
        <v>2</v>
      </c>
      <c r="O5">
        <v>1.5</v>
      </c>
      <c r="P5">
        <v>1.5</v>
      </c>
      <c r="R5"/>
      <c r="S5"/>
      <c r="T5"/>
      <c r="U5"/>
    </row>
    <row r="6" spans="1:21" x14ac:dyDescent="0.25">
      <c r="A6" t="s">
        <v>174</v>
      </c>
      <c r="B6" t="str">
        <f>"&lt; "&amp;Thresholds[[#This Row],[Threshold1]]</f>
        <v>&lt; 35</v>
      </c>
      <c r="C6" t="str">
        <f>"≥ "&amp;Thresholds[[#This Row],[Threshold1]]&amp;" and &lt; "&amp;Thresholds[[#This Row],[Threshold2]]</f>
        <v>≥ 35 and &lt; 60</v>
      </c>
      <c r="D6" t="str">
        <f>"≥ "&amp;Thresholds[[#This Row],[Threshold2]]</f>
        <v>≥ 60</v>
      </c>
      <c r="E6">
        <v>35</v>
      </c>
      <c r="F6">
        <v>60</v>
      </c>
      <c r="H6" t="s">
        <v>174</v>
      </c>
      <c r="I6">
        <v>1</v>
      </c>
      <c r="J6">
        <v>1</v>
      </c>
      <c r="K6">
        <v>0.5</v>
      </c>
      <c r="M6" t="s">
        <v>174</v>
      </c>
      <c r="N6">
        <v>2</v>
      </c>
      <c r="O6">
        <v>1.5</v>
      </c>
      <c r="P6">
        <v>1</v>
      </c>
      <c r="R6"/>
      <c r="S6"/>
      <c r="T6"/>
      <c r="U6"/>
    </row>
    <row r="7" spans="1:21" x14ac:dyDescent="0.25">
      <c r="A7" t="s">
        <v>178</v>
      </c>
      <c r="B7" t="str">
        <f>"&lt; "&amp;Thresholds[[#This Row],[Threshold1]]</f>
        <v>&lt; 84</v>
      </c>
      <c r="C7" t="str">
        <f>"≥ "&amp;Thresholds[[#This Row],[Threshold1]]&amp;" and &lt; "&amp;Thresholds[[#This Row],[Threshold2]]</f>
        <v>≥ 84 and &lt; 93</v>
      </c>
      <c r="D7" t="str">
        <f>"≥ "&amp;Thresholds[[#This Row],[Threshold2]]</f>
        <v>≥ 93</v>
      </c>
      <c r="E7">
        <v>84</v>
      </c>
      <c r="F7">
        <v>93</v>
      </c>
      <c r="H7" t="s">
        <v>178</v>
      </c>
      <c r="I7">
        <v>1</v>
      </c>
      <c r="J7">
        <v>1</v>
      </c>
      <c r="K7">
        <v>1</v>
      </c>
      <c r="M7" t="s">
        <v>178</v>
      </c>
      <c r="N7">
        <v>1.5</v>
      </c>
      <c r="O7">
        <v>1.5</v>
      </c>
      <c r="P7">
        <v>1</v>
      </c>
      <c r="R7"/>
      <c r="S7"/>
      <c r="T7"/>
      <c r="U7"/>
    </row>
    <row r="8" spans="1:21" x14ac:dyDescent="0.25">
      <c r="A8" t="s">
        <v>182</v>
      </c>
      <c r="B8" t="str">
        <f>"&lt; "&amp;Thresholds[[#This Row],[Threshold1]]</f>
        <v>&lt; 80</v>
      </c>
      <c r="C8" t="str">
        <f>"≥ "&amp;Thresholds[[#This Row],[Threshold1]]&amp;" and &lt; "&amp;Thresholds[[#This Row],[Threshold2]]</f>
        <v>≥ 80 and &lt; 94</v>
      </c>
      <c r="D8" t="str">
        <f>"≥ "&amp;Thresholds[[#This Row],[Threshold2]]</f>
        <v>≥ 94</v>
      </c>
      <c r="E8">
        <v>80</v>
      </c>
      <c r="F8">
        <v>94</v>
      </c>
      <c r="H8" t="s">
        <v>182</v>
      </c>
      <c r="I8">
        <v>1</v>
      </c>
      <c r="J8">
        <v>1</v>
      </c>
      <c r="K8">
        <v>1</v>
      </c>
      <c r="M8" t="s">
        <v>182</v>
      </c>
      <c r="N8">
        <v>1.5</v>
      </c>
      <c r="O8">
        <v>1.5</v>
      </c>
      <c r="P8">
        <v>1</v>
      </c>
      <c r="R8"/>
      <c r="S8"/>
      <c r="T8"/>
      <c r="U8"/>
    </row>
    <row r="9" spans="1:21" x14ac:dyDescent="0.25">
      <c r="A9" t="s">
        <v>186</v>
      </c>
      <c r="B9" t="str">
        <f>"&lt; "&amp;Thresholds[[#This Row],[Threshold1]]</f>
        <v>&lt; 96</v>
      </c>
      <c r="C9" t="s">
        <v>224</v>
      </c>
      <c r="D9" t="str">
        <f>"≥ "&amp;Thresholds[[#This Row],[Threshold2]]</f>
        <v>≥ 96</v>
      </c>
      <c r="E9">
        <v>96</v>
      </c>
      <c r="F9">
        <v>96</v>
      </c>
      <c r="H9" t="s">
        <v>186</v>
      </c>
      <c r="I9">
        <v>1</v>
      </c>
      <c r="J9" t="e">
        <v>#N/A</v>
      </c>
      <c r="K9">
        <v>1</v>
      </c>
      <c r="M9" t="s">
        <v>186</v>
      </c>
      <c r="N9">
        <v>2</v>
      </c>
      <c r="O9" t="e">
        <v>#N/A</v>
      </c>
      <c r="P9">
        <v>1.5</v>
      </c>
      <c r="R9"/>
      <c r="S9"/>
      <c r="T9"/>
      <c r="U9"/>
    </row>
    <row r="10" spans="1:21" x14ac:dyDescent="0.25">
      <c r="A10" t="s">
        <v>189</v>
      </c>
      <c r="B10" t="str">
        <f>"&lt; "&amp;Thresholds[[#This Row],[Threshold1]]</f>
        <v>&lt; 78</v>
      </c>
      <c r="C10" t="str">
        <f>"≥ "&amp;Thresholds[[#This Row],[Threshold1]]&amp;" and &lt; "&amp;Thresholds[[#This Row],[Threshold2]]</f>
        <v>≥ 78 and &lt; 90</v>
      </c>
      <c r="D10" t="str">
        <f>"≥ "&amp;Thresholds[[#This Row],[Threshold2]]</f>
        <v>≥ 90</v>
      </c>
      <c r="E10">
        <v>78</v>
      </c>
      <c r="F10">
        <v>90</v>
      </c>
      <c r="H10" t="s">
        <v>189</v>
      </c>
      <c r="I10">
        <v>1</v>
      </c>
      <c r="J10">
        <v>1</v>
      </c>
      <c r="K10">
        <v>0.7</v>
      </c>
      <c r="M10" t="s">
        <v>189</v>
      </c>
      <c r="N10">
        <v>2</v>
      </c>
      <c r="O10">
        <v>1.5</v>
      </c>
      <c r="P10">
        <v>1</v>
      </c>
      <c r="R10"/>
      <c r="S10"/>
      <c r="T10"/>
      <c r="U10"/>
    </row>
    <row r="11" spans="1:21" x14ac:dyDescent="0.25">
      <c r="A11" t="s">
        <v>193</v>
      </c>
      <c r="B11" t="str">
        <f>"&lt; "&amp;Thresholds[[#This Row],[Threshold1]]</f>
        <v>&lt; 55</v>
      </c>
      <c r="C11" t="str">
        <f>"≥ "&amp;Thresholds[[#This Row],[Threshold1]]&amp;" and &lt; "&amp;Thresholds[[#This Row],[Threshold2]]</f>
        <v>≥ 55 and &lt; 77</v>
      </c>
      <c r="D11" t="str">
        <f>"≥ "&amp;Thresholds[[#This Row],[Threshold2]]</f>
        <v>≥ 77</v>
      </c>
      <c r="E11">
        <v>55</v>
      </c>
      <c r="F11">
        <v>77</v>
      </c>
      <c r="H11" t="s">
        <v>193</v>
      </c>
      <c r="I11">
        <v>1</v>
      </c>
      <c r="J11">
        <v>1</v>
      </c>
      <c r="K11">
        <v>0.7</v>
      </c>
      <c r="M11" t="s">
        <v>193</v>
      </c>
      <c r="N11">
        <v>2</v>
      </c>
      <c r="O11">
        <v>1.5</v>
      </c>
      <c r="P11">
        <v>1</v>
      </c>
      <c r="R11"/>
      <c r="S11"/>
      <c r="T11"/>
      <c r="U11"/>
    </row>
    <row r="12" spans="1:21" x14ac:dyDescent="0.25">
      <c r="A12" t="s">
        <v>197</v>
      </c>
      <c r="B12" t="str">
        <f>"&lt; "&amp;Thresholds[[#This Row],[Threshold1]]</f>
        <v>&lt; 37</v>
      </c>
      <c r="C12" t="str">
        <f>"≥ "&amp;Thresholds[[#This Row],[Threshold1]]&amp;" and &lt; "&amp;Thresholds[[#This Row],[Threshold2]]</f>
        <v>≥ 37 and &lt; 66</v>
      </c>
      <c r="D12" t="str">
        <f>"≥ "&amp;Thresholds[[#This Row],[Threshold2]]</f>
        <v>≥ 66</v>
      </c>
      <c r="E12">
        <v>37</v>
      </c>
      <c r="F12">
        <v>66</v>
      </c>
      <c r="H12" t="s">
        <v>197</v>
      </c>
      <c r="I12">
        <v>1</v>
      </c>
      <c r="J12">
        <v>1</v>
      </c>
      <c r="K12">
        <v>0.7</v>
      </c>
      <c r="M12" t="s">
        <v>197</v>
      </c>
      <c r="N12">
        <v>2</v>
      </c>
      <c r="O12">
        <v>1.5</v>
      </c>
      <c r="P12">
        <v>1</v>
      </c>
      <c r="R12"/>
      <c r="S12"/>
      <c r="T12"/>
      <c r="U12"/>
    </row>
    <row r="13" spans="1:21" x14ac:dyDescent="0.25">
      <c r="A13" t="s">
        <v>201</v>
      </c>
      <c r="B13" t="str">
        <f>"&lt; "&amp;Thresholds[[#This Row],[Threshold1]]</f>
        <v>&lt; 81</v>
      </c>
      <c r="C13" t="str">
        <f>"≥ "&amp;Thresholds[[#This Row],[Threshold1]]&amp;" and &lt; "&amp;Thresholds[[#This Row],[Threshold2]]</f>
        <v>≥ 81 and &lt; 87</v>
      </c>
      <c r="D13" t="str">
        <f>"≥ "&amp;Thresholds[[#This Row],[Threshold2]]</f>
        <v>≥ 87</v>
      </c>
      <c r="E13">
        <v>81</v>
      </c>
      <c r="F13">
        <v>87</v>
      </c>
      <c r="H13" t="s">
        <v>201</v>
      </c>
      <c r="I13">
        <v>1.5</v>
      </c>
      <c r="J13">
        <v>1</v>
      </c>
      <c r="K13">
        <v>1</v>
      </c>
      <c r="M13" t="s">
        <v>201</v>
      </c>
      <c r="N13">
        <v>2</v>
      </c>
      <c r="O13">
        <v>1.5</v>
      </c>
      <c r="P13">
        <v>1.5</v>
      </c>
      <c r="R13"/>
      <c r="S13"/>
      <c r="T13"/>
      <c r="U13"/>
    </row>
    <row r="14" spans="1:21" x14ac:dyDescent="0.25">
      <c r="A14" t="s">
        <v>205</v>
      </c>
      <c r="B14" t="str">
        <f>"&lt; "&amp;Thresholds[[#This Row],[Threshold1]]</f>
        <v>&lt; 57</v>
      </c>
      <c r="C14" t="str">
        <f>"≥ "&amp;Thresholds[[#This Row],[Threshold1]]&amp;" and &lt; "&amp;Thresholds[[#This Row],[Threshold2]]</f>
        <v>≥ 57 and &lt; 70</v>
      </c>
      <c r="D14" t="str">
        <f>"≥ "&amp;Thresholds[[#This Row],[Threshold2]]</f>
        <v>≥ 70</v>
      </c>
      <c r="E14">
        <v>57</v>
      </c>
      <c r="F14">
        <v>70</v>
      </c>
      <c r="H14" t="s">
        <v>205</v>
      </c>
      <c r="I14">
        <v>1.5</v>
      </c>
      <c r="J14">
        <v>1</v>
      </c>
      <c r="K14">
        <v>1</v>
      </c>
      <c r="M14" t="s">
        <v>205</v>
      </c>
      <c r="N14">
        <v>2</v>
      </c>
      <c r="O14">
        <v>1.5</v>
      </c>
      <c r="P14">
        <v>1.5</v>
      </c>
      <c r="R14"/>
      <c r="S14"/>
      <c r="T14"/>
      <c r="U14"/>
    </row>
    <row r="15" spans="1:21" x14ac:dyDescent="0.25">
      <c r="A15" t="s">
        <v>209</v>
      </c>
      <c r="B15" t="str">
        <f>"&lt; "&amp;Thresholds[[#This Row],[Threshold1]]</f>
        <v>&lt; 33</v>
      </c>
      <c r="C15" t="str">
        <f>"≥ "&amp;Thresholds[[#This Row],[Threshold1]]&amp;" and &lt; "&amp;Thresholds[[#This Row],[Threshold2]]</f>
        <v>≥ 33 and &lt; 53</v>
      </c>
      <c r="D15" t="str">
        <f>"≥ "&amp;Thresholds[[#This Row],[Threshold2]]</f>
        <v>≥ 53</v>
      </c>
      <c r="E15">
        <v>33</v>
      </c>
      <c r="F15">
        <v>53</v>
      </c>
      <c r="H15" t="s">
        <v>209</v>
      </c>
      <c r="I15">
        <v>1.5</v>
      </c>
      <c r="J15">
        <v>1</v>
      </c>
      <c r="K15">
        <v>1</v>
      </c>
      <c r="M15" t="s">
        <v>209</v>
      </c>
      <c r="N15">
        <v>2</v>
      </c>
      <c r="O15">
        <v>1.5</v>
      </c>
      <c r="P15">
        <v>1.5</v>
      </c>
      <c r="R15"/>
      <c r="S15"/>
      <c r="U15"/>
    </row>
    <row r="16" spans="1:21" x14ac:dyDescent="0.25">
      <c r="A16" t="s">
        <v>213</v>
      </c>
      <c r="B16" t="s">
        <v>224</v>
      </c>
      <c r="C16" t="str">
        <f>"≥ "&amp;Thresholds[[#This Row],[Threshold1]]&amp;" and &lt; "&amp;Thresholds[[#This Row],[Threshold2]]</f>
        <v>≥ 80 and &lt; 91</v>
      </c>
      <c r="D16" t="str">
        <f>"≥ "&amp;Thresholds[[#This Row],[Threshold2]]</f>
        <v>≥ 91</v>
      </c>
      <c r="E16">
        <v>80</v>
      </c>
      <c r="F16">
        <v>91</v>
      </c>
      <c r="H16" t="s">
        <v>213</v>
      </c>
      <c r="I16" t="e">
        <v>#N/A</v>
      </c>
      <c r="J16">
        <v>1</v>
      </c>
      <c r="K16">
        <v>1</v>
      </c>
      <c r="M16" t="s">
        <v>213</v>
      </c>
      <c r="N16" t="e">
        <f>NA()</f>
        <v>#N/A</v>
      </c>
      <c r="O16">
        <v>2</v>
      </c>
      <c r="P16">
        <v>2</v>
      </c>
      <c r="R16"/>
      <c r="T16"/>
      <c r="U16"/>
    </row>
  </sheetData>
  <phoneticPr fontId="31" type="noConversion"/>
  <conditionalFormatting sqref="B4:D16">
    <cfRule type="cellIs" dxfId="5" priority="7" operator="equal">
      <formula>"no test"</formula>
    </cfRule>
  </conditionalFormatting>
  <conditionalFormatting sqref="I4:K16">
    <cfRule type="cellIs" dxfId="4" priority="6" operator="equal">
      <formula>""</formula>
    </cfRule>
  </conditionalFormatting>
  <conditionalFormatting sqref="N4:P16">
    <cfRule type="cellIs" dxfId="3" priority="5" operator="equal">
      <formula>""</formula>
    </cfRule>
  </conditionalFormatting>
  <conditionalFormatting sqref="I4:K16 N4:P16">
    <cfRule type="containsErrors" dxfId="2" priority="8">
      <formula>ISERROR(I4)</formula>
    </cfRule>
  </conditionalFormatting>
  <conditionalFormatting sqref="R4:R16">
    <cfRule type="containsBlanks" dxfId="1" priority="9">
      <formula>LEN(TRIM(R4))=0</formula>
    </cfRule>
  </conditionalFormatting>
  <conditionalFormatting sqref="O9">
    <cfRule type="cellIs" dxfId="0" priority="1" operator="equal">
      <formula>""</formula>
    </cfRule>
  </conditionalFormatting>
  <pageMargins left="0.7" right="0.7" top="0.75" bottom="0.75" header="0.3" footer="0.3"/>
  <tableParts count="4">
    <tablePart r:id="rId1"/>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52F78-5E32-41A8-9D26-27C07BA016CC}">
  <sheetPr codeName="Sheet14"/>
  <dimension ref="A1:AT2"/>
  <sheetViews>
    <sheetView workbookViewId="0">
      <selection activeCell="D34" sqref="D34"/>
    </sheetView>
  </sheetViews>
  <sheetFormatPr defaultRowHeight="15" x14ac:dyDescent="0.25"/>
  <cols>
    <col min="1" max="1" width="13.28515625" bestFit="1" customWidth="1"/>
    <col min="2" max="2" width="9.85546875" bestFit="1" customWidth="1"/>
    <col min="3" max="3" width="15.7109375" bestFit="1" customWidth="1"/>
    <col min="4" max="4" width="40.28515625" bestFit="1" customWidth="1"/>
    <col min="5" max="5" width="11.140625" bestFit="1" customWidth="1"/>
    <col min="6" max="6" width="14.7109375" bestFit="1" customWidth="1"/>
    <col min="7" max="7" width="13.5703125" bestFit="1" customWidth="1"/>
    <col min="8" max="8" width="36.28515625" bestFit="1" customWidth="1"/>
    <col min="9" max="9" width="49.42578125" bestFit="1" customWidth="1"/>
    <col min="10" max="10" width="13.85546875" bestFit="1" customWidth="1"/>
    <col min="11" max="11" width="10.7109375" bestFit="1" customWidth="1"/>
    <col min="12" max="12" width="15.85546875" bestFit="1" customWidth="1"/>
    <col min="13" max="13" width="10.42578125" bestFit="1" customWidth="1"/>
    <col min="14" max="14" width="17.7109375" bestFit="1" customWidth="1"/>
    <col min="15" max="15" width="20.85546875" bestFit="1" customWidth="1"/>
    <col min="16" max="16" width="25.5703125" bestFit="1" customWidth="1"/>
    <col min="17" max="17" width="7.7109375" bestFit="1" customWidth="1"/>
    <col min="18" max="18" width="17.140625" bestFit="1" customWidth="1"/>
    <col min="19" max="19" width="17.5703125" bestFit="1" customWidth="1"/>
    <col min="20" max="20" width="14" bestFit="1" customWidth="1"/>
    <col min="21" max="21" width="9.5703125" bestFit="1" customWidth="1"/>
    <col min="22" max="22" width="8.5703125" bestFit="1" customWidth="1"/>
    <col min="23" max="23" width="20" bestFit="1" customWidth="1"/>
    <col min="24" max="24" width="19.140625" bestFit="1" customWidth="1"/>
    <col min="25" max="25" width="24.140625" bestFit="1" customWidth="1"/>
    <col min="26" max="26" width="11.85546875" bestFit="1" customWidth="1"/>
    <col min="27" max="27" width="26.7109375" bestFit="1" customWidth="1"/>
    <col min="28" max="28" width="36.28515625" bestFit="1" customWidth="1"/>
    <col min="29" max="29" width="20.5703125" bestFit="1" customWidth="1"/>
    <col min="30" max="30" width="22.5703125" bestFit="1" customWidth="1"/>
    <col min="31" max="31" width="13.42578125" bestFit="1" customWidth="1"/>
    <col min="32" max="32" width="8.42578125" bestFit="1" customWidth="1"/>
    <col min="33" max="33" width="12" bestFit="1" customWidth="1"/>
    <col min="34" max="34" width="11.7109375" bestFit="1" customWidth="1"/>
    <col min="35" max="35" width="7.28515625" bestFit="1" customWidth="1"/>
    <col min="36" max="36" width="15.5703125" bestFit="1" customWidth="1"/>
    <col min="37" max="37" width="15.140625" bestFit="1" customWidth="1"/>
    <col min="38" max="38" width="17.85546875" bestFit="1" customWidth="1"/>
    <col min="39" max="39" width="16.5703125" bestFit="1" customWidth="1"/>
    <col min="40" max="40" width="19.28515625" bestFit="1" customWidth="1"/>
    <col min="41" max="41" width="22.140625" bestFit="1" customWidth="1"/>
    <col min="42" max="42" width="17.7109375" bestFit="1" customWidth="1"/>
    <col min="43" max="43" width="15.140625" bestFit="1" customWidth="1"/>
    <col min="44" max="44" width="18.85546875" bestFit="1" customWidth="1"/>
    <col min="45" max="45" width="20.7109375" bestFit="1" customWidth="1"/>
    <col min="46" max="46" width="23" bestFit="1" customWidth="1"/>
    <col min="47" max="47" width="24.28515625" bestFit="1" customWidth="1"/>
    <col min="48" max="48" width="49.42578125" bestFit="1" customWidth="1"/>
  </cols>
  <sheetData>
    <row r="1" spans="1:46"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row>
    <row r="2" spans="1:46" x14ac:dyDescent="0.25">
      <c r="D2" s="145"/>
      <c r="E2" s="145"/>
      <c r="H2" s="145"/>
      <c r="I2" s="145"/>
      <c r="J2" s="145"/>
      <c r="K2" s="145"/>
      <c r="O2" s="145"/>
      <c r="P2" s="145"/>
      <c r="S2" s="145"/>
      <c r="AA2" s="145"/>
      <c r="AB2" s="145"/>
      <c r="AD2" s="145"/>
      <c r="AE2" s="145"/>
      <c r="AM2" s="146"/>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BD7B-1D47-4774-8AD4-1314A34BD737}">
  <sheetPr codeName="Sheet6"/>
  <dimension ref="A1:CC1"/>
  <sheetViews>
    <sheetView topLeftCell="BE1" workbookViewId="0">
      <selection activeCell="BJ22" sqref="BJ22"/>
    </sheetView>
  </sheetViews>
  <sheetFormatPr defaultRowHeight="15" x14ac:dyDescent="0.25"/>
  <cols>
    <col min="1" max="1" width="14" bestFit="1" customWidth="1"/>
    <col min="2" max="2" width="13.85546875" bestFit="1" customWidth="1"/>
    <col min="3" max="3" width="81.140625" bestFit="1" customWidth="1"/>
    <col min="4" max="4" width="19.28515625" bestFit="1" customWidth="1"/>
    <col min="5" max="5" width="20.140625" bestFit="1" customWidth="1"/>
    <col min="6" max="6" width="16.7109375" bestFit="1" customWidth="1"/>
    <col min="7" max="7" width="16" bestFit="1" customWidth="1"/>
    <col min="8" max="8" width="14.140625" bestFit="1" customWidth="1"/>
    <col min="9" max="9" width="14.28515625" bestFit="1" customWidth="1"/>
    <col min="10" max="10" width="12.140625" bestFit="1" customWidth="1"/>
    <col min="11" max="11" width="26.28515625" bestFit="1" customWidth="1"/>
    <col min="12" max="12" width="22.28515625" bestFit="1" customWidth="1"/>
    <col min="13" max="13" width="22.42578125" bestFit="1" customWidth="1"/>
    <col min="14" max="14" width="20.28515625" bestFit="1" customWidth="1"/>
    <col min="15" max="15" width="34.140625" bestFit="1" customWidth="1"/>
    <col min="16" max="16" width="20" bestFit="1" customWidth="1"/>
    <col min="17" max="17" width="19.140625" bestFit="1" customWidth="1"/>
    <col min="18" max="18" width="13.5703125" bestFit="1" customWidth="1"/>
    <col min="19" max="19" width="20.5703125" bestFit="1" customWidth="1"/>
    <col min="20" max="20" width="11.42578125" bestFit="1" customWidth="1"/>
    <col min="21" max="21" width="18.85546875" bestFit="1" customWidth="1"/>
    <col min="22" max="22" width="18.42578125" bestFit="1" customWidth="1"/>
    <col min="23" max="23" width="14.7109375" bestFit="1" customWidth="1"/>
    <col min="24" max="24" width="18.85546875" bestFit="1" customWidth="1"/>
    <col min="25" max="25" width="20.85546875" bestFit="1" customWidth="1"/>
    <col min="26" max="26" width="17.140625" bestFit="1" customWidth="1"/>
    <col min="27" max="27" width="14.85546875" bestFit="1" customWidth="1"/>
    <col min="28" max="28" width="13.140625" bestFit="1" customWidth="1"/>
    <col min="29" max="29" width="16.42578125" bestFit="1" customWidth="1"/>
    <col min="30" max="30" width="14.140625" bestFit="1" customWidth="1"/>
    <col min="31" max="31" width="18.5703125" bestFit="1" customWidth="1"/>
    <col min="32" max="32" width="21" bestFit="1" customWidth="1"/>
    <col min="33" max="33" width="18.7109375" bestFit="1" customWidth="1"/>
    <col min="34" max="34" width="22.7109375" bestFit="1" customWidth="1"/>
    <col min="35" max="35" width="20.5703125" bestFit="1" customWidth="1"/>
    <col min="36" max="36" width="21.5703125" bestFit="1" customWidth="1"/>
    <col min="37" max="37" width="20.42578125" bestFit="1" customWidth="1"/>
    <col min="38" max="38" width="14.7109375" bestFit="1" customWidth="1"/>
    <col min="39" max="39" width="14.42578125" bestFit="1" customWidth="1"/>
    <col min="40" max="40" width="19.140625" bestFit="1" customWidth="1"/>
    <col min="41" max="41" width="31.42578125" bestFit="1" customWidth="1"/>
    <col min="42" max="42" width="30.7109375" bestFit="1" customWidth="1"/>
    <col min="43" max="43" width="19.85546875" bestFit="1" customWidth="1"/>
    <col min="44" max="44" width="23.7109375" bestFit="1" customWidth="1"/>
    <col min="45" max="45" width="14.28515625" bestFit="1" customWidth="1"/>
    <col min="46" max="46" width="16.7109375" bestFit="1" customWidth="1"/>
    <col min="47" max="47" width="14.42578125" bestFit="1" customWidth="1"/>
    <col min="48" max="48" width="15.7109375" bestFit="1" customWidth="1"/>
    <col min="49" max="49" width="22.42578125" bestFit="1" customWidth="1"/>
    <col min="50" max="50" width="11.140625" bestFit="1" customWidth="1"/>
    <col min="51" max="51" width="40.28515625" bestFit="1" customWidth="1"/>
    <col min="52" max="52" width="17.85546875" bestFit="1" customWidth="1"/>
    <col min="53" max="53" width="19" bestFit="1" customWidth="1"/>
    <col min="54" max="54" width="9.85546875" bestFit="1" customWidth="1"/>
    <col min="55" max="55" width="36.28515625" bestFit="1" customWidth="1"/>
    <col min="56" max="56" width="49.42578125" bestFit="1" customWidth="1"/>
    <col min="57" max="57" width="17" bestFit="1" customWidth="1"/>
    <col min="58" max="58" width="13.28515625" bestFit="1" customWidth="1"/>
    <col min="59" max="59" width="44.42578125" bestFit="1" customWidth="1"/>
    <col min="60" max="60" width="18.28515625" bestFit="1" customWidth="1"/>
    <col min="61" max="61" width="18.7109375" bestFit="1" customWidth="1"/>
    <col min="62" max="62" width="20.140625" bestFit="1" customWidth="1"/>
    <col min="63" max="63" width="81.140625" bestFit="1" customWidth="1"/>
    <col min="64" max="64" width="20.5703125" bestFit="1" customWidth="1"/>
    <col min="65" max="65" width="16.7109375" bestFit="1" customWidth="1"/>
    <col min="66" max="66" width="31.42578125" bestFit="1" customWidth="1"/>
    <col min="67" max="67" width="16" bestFit="1" customWidth="1"/>
    <col min="68" max="68" width="16.140625" bestFit="1" customWidth="1"/>
    <col min="69" max="69" width="13.85546875" bestFit="1" customWidth="1"/>
    <col min="70" max="70" width="28.140625" bestFit="1" customWidth="1"/>
    <col min="71" max="71" width="22.7109375" bestFit="1" customWidth="1"/>
    <col min="72" max="72" width="20.140625" bestFit="1" customWidth="1"/>
    <col min="73" max="75" width="18.85546875" bestFit="1" customWidth="1"/>
    <col min="76" max="76" width="19.85546875" bestFit="1" customWidth="1"/>
    <col min="77" max="77" width="72.7109375" bestFit="1" customWidth="1"/>
    <col min="78" max="78" width="16.85546875" bestFit="1" customWidth="1"/>
    <col min="79" max="79" width="12.85546875" bestFit="1" customWidth="1"/>
    <col min="80" max="80" width="10.85546875" bestFit="1" customWidth="1"/>
    <col min="81" max="81" width="18" bestFit="1" customWidth="1"/>
  </cols>
  <sheetData>
    <row r="1" spans="1:81" x14ac:dyDescent="0.2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vt:i4>
      </vt:variant>
    </vt:vector>
  </HeadingPairs>
  <TitlesOfParts>
    <vt:vector size="25" baseType="lpstr">
      <vt:lpstr>Worksheet</vt:lpstr>
      <vt:lpstr>Logo Page</vt:lpstr>
      <vt:lpstr>Filter Cert Data</vt:lpstr>
      <vt:lpstr>CERT AF</vt:lpstr>
      <vt:lpstr>CERT AL</vt:lpstr>
      <vt:lpstr>DropDowns</vt:lpstr>
      <vt:lpstr>MUG Table</vt:lpstr>
      <vt:lpstr>A2LA</vt:lpstr>
      <vt:lpstr>AssetId</vt:lpstr>
      <vt:lpstr>Blank</vt:lpstr>
      <vt:lpstr>ClientCompanyId</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2025-04-24T01:55:45Z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