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refreshAllConnections="1"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50533041-1E1A-4A44-B1CF-D92A5AE36403}"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UUT" sheetId="34" state="veryHidden" r:id="rId9"/>
    <sheet name="ServiceOrder" sheetId="38"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_xleta.UNIQUE" hidden="1" xlm="1">#NAME?</definedName>
    <definedName name="A2LA">'Logo Page'!$B$2</definedName>
    <definedName name="AssetId">ServiceOrderItems[AssetId]</definedName>
    <definedName name="Blank">'Logo Page'!$C$2</definedName>
    <definedName name="ClientAssets_GetAssetByAssetId__1" localSheetId="8" hidden="1">UUT!$A$1:$AT$2</definedName>
    <definedName name="ClientCompanyId">ServiceOrderItems[ClientCompanyId]</definedName>
    <definedName name="Comments">DropDowns!$H$3:$H$7</definedName>
    <definedName name="CommentsAF">DropDowns!$H$13:$H$15</definedName>
    <definedName name="CommentsAL">DropDowns!$H$3:$H$8</definedName>
    <definedName name="Condition">DropDowns!$D$3:$D$4</definedName>
    <definedName name="ExternalData_1" localSheetId="9" hidden="1">ServiceOrder!$A$1:$F$2</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d">ServiceOrderItems[ServiceOrderId]</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c r="G5" i="1"/>
  <c r="D12" i="3" a="1"/>
  <c r="D12" i="3"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D4" i="1"/>
  <c r="G3" i="1"/>
  <c r="D9" i="1"/>
  <c r="G7" i="1"/>
  <c r="D7" i="1"/>
  <c r="D5" i="1"/>
  <c r="D8" i="1" a="1"/>
  <c r="D8" i="1" l="1"/>
  <c r="O54" i="7"/>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A44" i="1"/>
  <c r="AI44" i="1" s="1"/>
  <c r="A22" i="1"/>
  <c r="AI22" i="1" s="1"/>
  <c r="O24" i="1"/>
  <c r="O31" i="1"/>
  <c r="O36" i="1"/>
  <c r="Y18" i="1"/>
  <c r="H6" i="29" s="1"/>
  <c r="Z18" i="1"/>
  <c r="O30" i="1"/>
  <c r="Q39" i="1"/>
  <c r="A40" i="1"/>
  <c r="AI40" i="1" s="1"/>
  <c r="B13" i="2"/>
  <c r="Z22" i="1"/>
  <c r="Y22" i="1"/>
  <c r="H10" i="29" s="1"/>
  <c r="Y20" i="1"/>
  <c r="H8" i="29" s="1"/>
  <c r="Z19" i="1"/>
  <c r="A24" i="1"/>
  <c r="AI24" i="1" s="1"/>
  <c r="O32" i="1"/>
  <c r="P35" i="1"/>
  <c r="I53" i="29" s="1"/>
  <c r="A30" i="1"/>
  <c r="AI30" i="1" s="1"/>
  <c r="O19" i="1"/>
  <c r="Z20" i="1"/>
  <c r="A31" i="1"/>
  <c r="AI31" i="1" s="1"/>
  <c r="A28" i="1"/>
  <c r="AI28" i="1" s="1"/>
  <c r="A38" i="1"/>
  <c r="AI38" i="1" s="1"/>
  <c r="O38" i="1"/>
  <c r="C17" i="2"/>
  <c r="O22" i="1"/>
  <c r="P31" i="1"/>
  <c r="I49" i="29" s="1"/>
  <c r="P19" i="1"/>
  <c r="I37" i="29" s="1"/>
  <c r="O23" i="1"/>
  <c r="Z24" i="1"/>
  <c r="O28" i="1"/>
  <c r="P38" i="1"/>
  <c r="I56" i="29" s="1"/>
  <c r="A43" i="1"/>
  <c r="AI43" i="1" s="1"/>
  <c r="A20" i="1"/>
  <c r="AI20" i="1" s="1"/>
  <c r="A27" i="1"/>
  <c r="AI27" i="1" s="1"/>
  <c r="A34" i="1"/>
  <c r="AI34" i="1" s="1"/>
  <c r="A32" i="1"/>
  <c r="AI32" i="1" s="1"/>
  <c r="A35" i="1"/>
  <c r="AI35" i="1" s="1"/>
  <c r="P43" i="1"/>
  <c r="I61" i="29"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I10" i="29"/>
  <c r="AA22" i="1"/>
  <c r="R42" i="1"/>
  <c r="J52" i="29"/>
  <c r="R34" i="1"/>
  <c r="R31" i="1"/>
  <c r="Q20" i="1"/>
  <c r="R28" i="1"/>
  <c r="R27" i="1"/>
  <c r="R23" i="1"/>
  <c r="K41" i="29" s="1"/>
  <c r="R22" i="1"/>
  <c r="R24" i="1"/>
  <c r="R18" i="1"/>
  <c r="K6" i="29" s="1"/>
  <c r="R26" i="1"/>
  <c r="R19" i="1"/>
  <c r="H38" i="29"/>
  <c r="S20" i="1"/>
  <c r="H36" i="29"/>
  <c r="S18" i="1"/>
  <c r="H37" i="29"/>
  <c r="S19" i="1"/>
  <c r="R20" i="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K42" i="29"/>
  <c r="K12" i="29"/>
  <c r="H46" i="29"/>
  <c r="Q19" i="1"/>
  <c r="T19" i="1" s="1"/>
  <c r="Q18" i="1"/>
  <c r="T18" i="1" s="1"/>
  <c r="Q28" i="1"/>
  <c r="T28" i="1" s="1"/>
  <c r="T24" i="1"/>
  <c r="Q22" i="1"/>
  <c r="T22" i="1"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3" xr16:uid="{38B498C4-CB69-4CB5-859E-9C8F4EA4A54A}" odcFile="C:\Users\JGI\Johnson Gage and Inspection, Inc\Johnson Gage and Inspection, Inc. - Documents\General\Excel-Qualer-SDK\ServiceOrders\ServiceOrders_GetWorkOrderByServiceOrderId.odc" keepAlive="1" name="Query - ServiceOrders_GetWorkOrderByServiceOrderId" description="Connection to the 'ServiceOrders_GetWorkOrderByServiceOrderId' query in the workbook." type="5" refreshedVersion="8" background="1" saveData="1">
    <dbPr connection="Provider=Microsoft.Mashup.OleDb.1;Data Source=$Workbook$;Location=ServiceOrders_GetWorkOrderByServiceOrderId;Extended Properties=&quot;&quot;" command="SELECT * FROM [ServiceOrders_GetWorkOrderByServiceOrderId]"/>
  </connection>
  <connection id="4"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5"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<sst xmlns="http://schemas.openxmlformats.org/spreadsheetml/2006/main" count="447" uniqueCount="233">
  <si>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</si>
  <si>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</si>
  <si>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</si>
  <si>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</si>
  <si>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</si>
  <si>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</si>
  <si>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</si>
  <si>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</si>
  <si>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</si>
  <si>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</si>
  <si>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</si>
  <si>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</si>
  <si>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</si>
  <si>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</si>
  <si>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</si>
  <si>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</si>
  <si>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</si>
  <si>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</si>
  <si>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</si>
  <si>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</si>
  <si>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</si>
  <si>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</si>
  <si>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</si>
  <si>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</si>
  <si>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</si>
  <si>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</si>
  <si>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</si>
  <si>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</si>
  <si>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</si>
  <si>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</si>
  <si>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</si>
  <si>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</si>
  <si>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</si>
  <si>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</si>
  <si>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</si>
  <si>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</si>
  <si>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</si>
  <si>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</si>
  <si>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</si>
  <si>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</si>
  <si>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</si>
  <si>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</si>
  <si>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</si>
  <si>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</si>
  <si>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</si>
  <si>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</si>
  <si>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</si>
  <si>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</si>
  <si>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</si>
  <si>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</si>
  <si>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</si>
  <si>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</si>
  <si>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</si>
  <si>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</si>
  <si>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</si>
  <si>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</si>
  <si>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</si>
  <si>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</si>
  <si>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</si>
  <si>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</si>
  <si>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</si>
  <si>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</si>
  <si>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</si>
  <si>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</si>
  <si>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</si>
  <si>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</si>
  <si>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</si>
  <si>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</si>
  <si>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</si>
  <si>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</si>
  <si>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</si>
  <si>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</si>
  <si>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</si>
  <si>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</si>
  <si>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</si>
  <si>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</si>
  <si>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</si>
  <si>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</si>
  <si>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</si>
  <si>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</si>
  <si>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</si>
  <si>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</si>
  <si>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</si>
  <si>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</si>
  <si>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</si>
  <si>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</si>
  <si>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</si>
  <si>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</si>
  <si>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</si>
  <si>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</si>
  <si>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</si>
  <si>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</si>
  <si>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</si>
  <si>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</si>
  <si>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</si>
  <si>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</si>
  <si>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</si>
  <si>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</si>
  <si>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</si>
  <si>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</si>
  <si>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</si>
  <si>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</si>
  <si>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</si>
  <si>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</si>
  <si>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</si>
  <si>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</si>
  <si>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</si>
  <si>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</si>
  <si>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</si>
  <si>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</si>
  <si>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</si>
  <si>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</si>
  <si>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</si>
  <si>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</si>
  <si>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</si>
  <si>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</si>
  <si>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</si>
  <si>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</si>
  <si>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</si>
  <si>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</si>
  <si>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</si>
  <si>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</si>
  <si>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</si>
  <si>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</si>
  <si>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</si>
  <si>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</si>
  <si>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</si>
  <si>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</si>
  <si>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</si>
  <si>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</si>
  <si>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</si>
  <si>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</si>
  <si>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</si>
  <si>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</si>
  <si>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</si>
  <si>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</si>
  <si>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</si>
  <si>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</si>
  <si>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</si>
  <si>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</si>
  <si>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</si>
  <si>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</si>
  <si>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</si>
  <si>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</si>
  <si>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</si>
  <si>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</si>
  <si>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</si>
  <si>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</si>
  <si>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</si>
  <si>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</si>
  <si>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</si>
  <si>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</si>
  <si>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</si>
  <si>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Address1</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</si>
  <si>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</si>
  <si>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</si>
  <si>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</si>
  <si>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</si>
  <si>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</si>
  <si>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</si>
  <si>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</si>
  <si>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</si>
  <si>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</si>
  <si>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</si>
  <si>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</si>
  <si>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</si>
  <si>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</si>
  <si>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</si>
  <si>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</si>
  <si>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</si>
  <si>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</si>
  <si>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</si>
  <si>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</si>
  <si>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</si>
  <si>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</si>
  <si>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</si>
  <si>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</si>
  <si>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</si>
  <si>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</si>
  <si>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</si>
  <si>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</si>
  <si>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</si>
  <si>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</si>
  <si>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</si>
  <si>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</si>
  <si>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</si>
  <si>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</si>
  <si>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</si>
  <si>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</si>
  <si>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</si>
  <si>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</si>
  <si>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</si>
  <si>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</si>
  <si>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</si>
  <si>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</si>
  <si>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</si>
  <si>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</si>
  <si>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</si>
  <si>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</si>
  <si>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</si>
  <si>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</si>
  <si>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</si>
  <si>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</si>
  <si>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</si>
  <si>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</si>
  <si>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</si>
  <si>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</si>
  <si>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</si>
  <si>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</si>
  <si>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</si>
  <si>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</si>
  <si>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</si>
  <si>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</si>
  <si>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</si>
  <si>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</si>
  <si>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</si>
  <si>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</si>
  <si>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</si>
  <si>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</si>
  <si>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</si>
  <si>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</si>
  <si>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</si>
  <si>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</si>
  <si>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</si>
  <si>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</si>
  <si>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Comments AF (Long)</t>
  </si>
  <si>
    <t>Comments AL (Long)</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</si>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</sst>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6">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0" fontId="29" fillId="7" borderId="0" xfId="3" applyAlignment="1"/>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0" fillId="4" borderId="1" xfId="0" applyFill="1" applyBorder="1" applyAlignment="1">
      <alignment horizontal="center"/>
    </xf>
    <xf numFmtId="49" fontId="11" fillId="2" borderId="1" xfId="0" applyNumberFormat="1" applyFont="1"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0" fillId="0" borderId="0" xfId="0" applyNumberFormat="1"/>
    <xf numFmtId="22" fontId="0" fillId="0" borderId="0" xfId="0" applyNumberFormat="1"/>
    <xf numFmtId="0" fontId="0" fillId="2" borderId="1" xfId="0" applyFill="1" applyBorder="1" applyProtection="1"/>
    <xf numFmtId="0" fontId="19" fillId="2" borderId="1" xfId="0" applyFont="1" applyFill="1" applyBorder="1" applyProtection="1"/>
    <xf numFmtId="0" fontId="11" fillId="2" borderId="1" xfId="0" applyFont="1" applyFill="1" applyBorder="1" applyAlignment="1" applyProtection="1">
      <alignment horizontal="left" shrinkToFit="1"/>
      <protection locked="0"/>
    </xf>
    <xf numFmtId="0" fontId="11" fillId="2" borderId="1" xfId="0" applyFont="1" applyFill="1" applyBorder="1" applyAlignment="1" applyProtection="1">
      <alignment shrinkToFit="1"/>
    </xf>
    <xf numFmtId="0" fontId="11" fillId="2" borderId="1" xfId="0" applyNumberFormat="1" applyFont="1" applyFill="1" applyBorder="1" applyAlignment="1" applyProtection="1">
      <alignment shrinkToFit="1"/>
    </xf>
    <xf numFmtId="0" fontId="11" fillId="2" borderId="1" xfId="0" applyNumberFormat="1" applyFont="1" applyFill="1" applyBorder="1" applyAlignment="1" applyProtection="1">
      <alignment horizontal="left" shrinkToFit="1"/>
    </xf>
    <xf numFmtId="0" fontId="0" fillId="2" borderId="1" xfId="0" applyFill="1" applyBorder="1" applyAlignment="1" applyProtection="1">
      <alignment shrinkToFit="1"/>
    </xf>
    <xf numFmtId="0" fontId="0" fillId="0" borderId="0" xfId="0" applyAlignment="1">
      <alignment horizontal="fill"/>
    </xf>
    <xf numFmtId="0" fontId="0" fillId="2" borderId="9" xfId="0" applyFill="1" applyBorder="1" applyAlignment="1" applyProtection="1">
      <protection locked="0"/>
    </xf>
    <xf numFmtId="0" fontId="0" fillId="2" borderId="10" xfId="0" applyFill="1" applyBorder="1" applyAlignment="1" applyProtection="1">
      <protection locked="0"/>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9</xdr:col>
          <xdr:colOff>409575</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97"/>
                </a:ext>
              </a:extLst>
            </xdr:cNvPicPr>
          </xdr:nvPicPr>
          <xdr:blipFill>
            <a:blip xmlns:r="http://schemas.openxmlformats.org/officeDocument/2006/relationships" r:embed="rId2"/>
            <a:stretch>
              <a:fillRect/>
            </a:stretch>
          </xdr:blipFill>
          <xdr:spPr>
            <a:xfrm>
              <a:off x="6781800" y="104775"/>
              <a:ext cx="409575"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9</xdr:col>
          <xdr:colOff>409575</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85"/>
                </a:ext>
              </a:extLst>
            </xdr:cNvPicPr>
          </xdr:nvPicPr>
          <xdr:blipFill>
            <a:blip xmlns:r="http://schemas.openxmlformats.org/officeDocument/2006/relationships" r:embed="rId2"/>
            <a:stretch>
              <a:fillRect/>
            </a:stretch>
          </xdr:blipFill>
          <xdr:spPr>
            <a:xfrm>
              <a:off x="6781800" y="104775"/>
              <a:ext cx="409575"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5"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0A93EE0F-259B-4BD5-9644-80D0F576BA16}" autoFormatId="16" applyNumberFormats="0" applyBorderFormats="0" applyFontFormats="0" applyPatternFormats="0" applyAlignmentFormats="0" applyWidthHeightFormats="0">
  <queryTableRefresh nextId="121">
    <queryTableFields count="6">
      <queryTableField id="114" name="Company" tableColumnId="114"/>
      <queryTableField id="64" name="PoNumber" tableColumnId="64"/>
      <queryTableField id="113" name="AddressType" tableColumnId="113"/>
      <queryTableField id="116" name="Address1" tableColumnId="116"/>
      <queryTableField id="117" name="Address2" tableColumnId="117"/>
      <queryTableField id="115" name="PhoneNumber" tableColumnId="1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2"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23"/>
    <tableColumn id="7" xr3:uid="{5CEEA402-82DD-4AB0-A9B0-905D017BC5CC}" uniqueName="7" name="AssetTag" queryTableFieldId="7" dataDxfId="2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21"/>
    <tableColumn id="11" xr3:uid="{7C4C8638-6649-4618-AFED-7320BF0D0EC5}" uniqueName="11" name="AssetDescription" queryTableFieldId="11" dataDxfId="20"/>
    <tableColumn id="12" xr3:uid="{3F0739AB-CF95-4141-9518-A6638647A2D9}" uniqueName="12" name="AssetMaker" queryTableFieldId="12" dataDxfId="19"/>
    <tableColumn id="13" xr3:uid="{CAC765BB-C741-473C-9256-76D69544B1BA}" uniqueName="13" name="Location" queryTableFieldId="13" dataDxfId="1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17"/>
    <tableColumn id="18" xr3:uid="{F2F9DBB8-48EC-4BFA-A70E-58859A19755C}" uniqueName="18" name="CategoryName" queryTableFieldId="18" dataDxfId="1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1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14"/>
    <tableColumn id="30" xr3:uid="{9C6E91A3-2855-4289-94A5-046C797BB057}" uniqueName="30" name="ProductName" queryTableFieldId="30" dataDxfId="13"/>
    <tableColumn id="31" xr3:uid="{4A901DD8-3823-43B8-AE10-D132A8626D56}" uniqueName="31" name="ProductDescription" queryTableFieldId="31"/>
    <tableColumn id="32" xr3:uid="{480629D5-8330-4A9C-99CD-351B6393B161}" uniqueName="32" name="ProductManufacturer" queryTableFieldId="32" dataDxfId="12"/>
    <tableColumn id="33" xr3:uid="{611C4C52-4CD2-473B-BCCB-D74DB8524CFA}" uniqueName="33" name="SiteName" queryTableFieldId="33" dataDxfId="1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1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BE88E2E-5E2E-43C4-A376-526DAF62B095}" name="ServiceOrder" displayName="ServiceOrder" ref="A1:F2" tableType="queryTable" insertRow="1" totalsRowShown="0">
  <autoFilter ref="A1:F2" xr:uid="{7BE88E2E-5E2E-43C4-A376-526DAF62B095}"/>
  <tableColumns count="6">
    <tableColumn id="114" xr3:uid="{EC5A5526-1DDC-4758-A2E4-9D282BCB0FF1}" uniqueName="114" name="Company" queryTableFieldId="114"/>
    <tableColumn id="64" xr3:uid="{CC1FA47D-9F13-4E7A-9852-3B0723D0B9BA}" uniqueName="64" name="PoNumber" queryTableFieldId="64" dataDxfId="9"/>
    <tableColumn id="113" xr3:uid="{0D0F8F4C-D044-47F4-A02C-55A4EB328F9B}" uniqueName="113" name="AddressType" queryTableFieldId="113" dataDxfId="8"/>
    <tableColumn id="116" xr3:uid="{FB7C915B-5BB4-4CA4-9333-153C0841D244}" uniqueName="116" name="Address1" queryTableFieldId="116"/>
    <tableColumn id="117" xr3:uid="{22F5DEE6-E9A3-4F66-952D-1EE26394F908}" uniqueName="117" name="Address2" queryTableFieldId="117"/>
    <tableColumn id="115" xr3:uid="{2ABC9E28-4023-4A1E-81DD-D0A6F7549B4C}" uniqueName="115" name="PhoneNumber" queryTableFieldId="1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231</v>
      </c>
      <c r="B1" s="122" t="s">
        <v>0</v>
      </c>
      <c r="C1" s="122"/>
      <c r="D1" s="122"/>
      <c r="E1" s="122"/>
      <c r="F1" s="122"/>
      <c r="G1" s="122"/>
      <c r="H1" s="122"/>
      <c r="I1" s="122"/>
      <c r="J1" s="122"/>
      <c r="K1" s="122"/>
      <c r="L1" s="122"/>
      <c r="M1" s="122"/>
      <c r="N1" s="122"/>
      <c r="O1" s="122"/>
      <c r="P1" s="118" t="s">
        <v>1</v>
      </c>
      <c r="Q1" s="118"/>
      <c r="R1" s="118"/>
      <c r="S1" s="118"/>
      <c r="W1" t="s">
        <v>2</v>
      </c>
    </row>
    <row r="2" spans="1:28" ht="26.25" x14ac:dyDescent="0.4">
      <c r="A2" s="78"/>
      <c r="B2" s="123" t="s">
        <v>3</v>
      </c>
      <c r="C2" s="123"/>
      <c r="D2" s="123"/>
      <c r="E2" s="123"/>
      <c r="F2" s="123"/>
      <c r="G2" s="123"/>
      <c r="H2" s="123"/>
      <c r="I2" s="123"/>
      <c r="J2" s="123"/>
      <c r="K2" s="123"/>
      <c r="L2" s="123"/>
      <c r="M2" s="123"/>
      <c r="N2" s="123"/>
      <c r="O2" s="123"/>
      <c r="P2" s="77" t="s">
        <v>4</v>
      </c>
      <c r="Q2" s="36"/>
      <c r="R2" s="36"/>
      <c r="U2" s="16" t="s">
        <v>5</v>
      </c>
      <c r="V2" s="17" t="s">
        <v>6</v>
      </c>
      <c r="W2" s="17"/>
      <c r="X2" s="17"/>
      <c r="Y2" s="17"/>
      <c r="Z2" s="17"/>
    </row>
    <row r="3" spans="1:28" ht="15.75" x14ac:dyDescent="0.25">
      <c r="C3" s="4" t="s">
        <v>7</v>
      </c>
      <c r="D3" s="148"/>
      <c r="E3" s="148"/>
      <c r="F3" s="87" t="s">
        <v>8</v>
      </c>
      <c r="G3" s="146" t="str">
        <f>NonBlank(INDEX(ServiceOrder[PoNumber],1))</f>
        <v/>
      </c>
      <c r="H3" s="146"/>
      <c r="K3" s="4" t="s">
        <v>9</v>
      </c>
      <c r="L3" s="105" t="s">
        <v>10</v>
      </c>
      <c r="N3" s="124"/>
      <c r="O3" s="124"/>
      <c r="P3" s="62" t="s">
        <v>11</v>
      </c>
      <c r="U3" s="4" t="s">
        <v>12</v>
      </c>
      <c r="V3" s="56"/>
      <c r="W3" s="47"/>
      <c r="X3" s="47"/>
      <c r="Y3" s="47"/>
      <c r="Z3" s="47"/>
    </row>
    <row r="4" spans="1:28" ht="15.75" x14ac:dyDescent="0.25">
      <c r="C4" s="4" t="s">
        <v>13</v>
      </c>
      <c r="D4" s="147" t="str">
        <f>NonBlank(INDEX(ServiceOrder[Company],1))</f>
        <v/>
      </c>
      <c r="E4" s="147"/>
      <c r="F4" s="86" t="s">
        <v>14</v>
      </c>
      <c r="G4" s="154"/>
      <c r="H4" s="155"/>
      <c r="K4" s="88" t="str">
        <f>IFERROR(VLOOKUP($D$4,#REF!,2,FALSE),"")</f>
        <v/>
      </c>
      <c r="L4" s="19"/>
      <c r="N4" s="125"/>
      <c r="O4" s="125"/>
      <c r="P4" s="63" t="s">
        <v>15</v>
      </c>
      <c r="U4" s="4" t="s">
        <v>16</v>
      </c>
      <c r="V4" s="56"/>
      <c r="W4" s="47" t="b">
        <v>1</v>
      </c>
      <c r="X4" s="47"/>
      <c r="Y4" s="47"/>
      <c r="Z4" s="47"/>
      <c r="AA4" s="103"/>
    </row>
    <row r="5" spans="1:28" ht="15.75" x14ac:dyDescent="0.25">
      <c r="C5" s="4" t="s">
        <v>17</v>
      </c>
      <c r="D5" s="149" t="str">
        <f>NonBlank(UUT[CategoryName])</f>
        <v/>
      </c>
      <c r="E5" s="149"/>
      <c r="F5" s="86" t="s">
        <v>18</v>
      </c>
      <c r="G5" s="146" t="str">
        <f>IFERROR(VLOOKUP(G4,ServiceOrder!D2:F2,2,FALSE),"")</f>
        <v/>
      </c>
      <c r="H5" s="146"/>
      <c r="K5" s="88"/>
      <c r="M5" s="4" t="s">
        <v>19</v>
      </c>
      <c r="N5" s="55"/>
      <c r="P5" s="63" t="s">
        <v>20</v>
      </c>
      <c r="U5" s="4" t="s">
        <v>21</v>
      </c>
      <c r="V5" s="56"/>
      <c r="W5" s="47"/>
      <c r="X5" s="47"/>
      <c r="Y5" s="47"/>
      <c r="Z5" s="47"/>
    </row>
    <row r="6" spans="1:28" ht="15.75" x14ac:dyDescent="0.25">
      <c r="C6" s="4" t="s">
        <v>22</v>
      </c>
      <c r="D6" s="130"/>
      <c r="E6" s="130"/>
      <c r="F6" s="86" t="s">
        <v>23</v>
      </c>
      <c r="G6" s="146" t="str">
        <f>IFERROR(VLOOKUP(G4,ServiceOrder!D2:F2,3,FALSE),"")</f>
        <v/>
      </c>
      <c r="H6" s="146"/>
      <c r="I6" t="s">
        <v>24</v>
      </c>
      <c r="K6" s="88"/>
      <c r="M6" s="4" t="s">
        <v>25</v>
      </c>
      <c r="N6" s="57"/>
      <c r="P6" s="63" t="s">
        <v>26</v>
      </c>
      <c r="U6" s="4" t="s">
        <v>27</v>
      </c>
      <c r="V6" s="56"/>
      <c r="W6" s="47"/>
      <c r="X6" s="47"/>
      <c r="Y6" s="47"/>
      <c r="Z6" s="47"/>
    </row>
    <row r="7" spans="1:28" ht="15.75" x14ac:dyDescent="0.25">
      <c r="C7" s="4" t="s">
        <v>28</v>
      </c>
      <c r="D7" s="150" t="str">
        <f>NonBlank(UUT[ProductManufacturer])</f>
        <v/>
      </c>
      <c r="E7" s="150"/>
      <c r="F7" s="4" t="s">
        <v>29</v>
      </c>
      <c r="G7" s="152" t="str">
        <f>NonBlank(UUT[ManufacturerPartNumber])</f>
        <v/>
      </c>
      <c r="H7" s="152"/>
      <c r="I7" s="82" t="str">
        <f>D7 &amp; " " &amp; G7</f>
        <v xml:space="preserve"> </v>
      </c>
      <c r="M7" s="4" t="s">
        <v>30</v>
      </c>
      <c r="N7" s="57"/>
      <c r="P7" s="63" t="s">
        <v>31</v>
      </c>
      <c r="U7" s="4" t="s">
        <v>32</v>
      </c>
      <c r="V7" s="56"/>
      <c r="W7" s="47"/>
      <c r="X7" s="47"/>
      <c r="Y7" s="47"/>
      <c r="Z7" s="47"/>
    </row>
    <row r="8" spans="1:28" ht="15.75" x14ac:dyDescent="0.25">
      <c r="C8" s="4" t="s">
        <v>33</v>
      </c>
      <c r="D8" s="151" t="str" cm="1">
        <f t="array" ref="D8">NonBlank(INDEX(ServiceOrderItems[SerialNumber],1))</f>
        <v/>
      </c>
      <c r="E8" s="151"/>
      <c r="M8" s="4" t="s">
        <v>34</v>
      </c>
      <c r="N8" s="58"/>
      <c r="P8" s="63" t="s">
        <v>35</v>
      </c>
      <c r="U8" s="4" t="s">
        <v>36</v>
      </c>
      <c r="V8" s="56"/>
      <c r="W8" s="47"/>
      <c r="X8" s="47"/>
      <c r="Y8" s="47"/>
      <c r="Z8" s="47"/>
    </row>
    <row r="9" spans="1:28" ht="15.75" x14ac:dyDescent="0.25">
      <c r="C9" s="4" t="s">
        <v>37</v>
      </c>
      <c r="D9" s="149" t="str">
        <f>NonBlank(UUT[Location])</f>
        <v/>
      </c>
      <c r="E9" s="149"/>
      <c r="H9" t="s">
        <v>38</v>
      </c>
      <c r="J9" s="105" t="s">
        <v>141</v>
      </c>
      <c r="M9" s="4" t="s">
        <v>39</v>
      </c>
      <c r="N9" s="59"/>
      <c r="P9" s="63" t="s">
        <v>40</v>
      </c>
      <c r="U9" s="4"/>
    </row>
    <row r="10" spans="1:28" x14ac:dyDescent="0.25">
      <c r="B10" s="114" t="s">
        <v>41</v>
      </c>
      <c r="C10" s="114"/>
      <c r="D10" s="114"/>
      <c r="E10" s="114"/>
      <c r="F10" s="114"/>
      <c r="G10" s="114"/>
      <c r="H10" s="114"/>
      <c r="I10" s="114"/>
      <c r="J10" s="114"/>
      <c r="K10" s="114"/>
      <c r="L10" s="114"/>
      <c r="M10" s="114"/>
      <c r="N10" s="114"/>
      <c r="O10" s="114"/>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4" t="s">
        <v>41</v>
      </c>
      <c r="C13" s="114"/>
      <c r="D13" s="114"/>
      <c r="E13" s="114"/>
      <c r="F13" s="114"/>
      <c r="G13" s="114"/>
      <c r="H13" s="114"/>
      <c r="I13" s="114"/>
      <c r="J13" s="114"/>
      <c r="K13" s="114"/>
      <c r="L13" s="114"/>
      <c r="M13" s="114"/>
      <c r="N13" s="114"/>
      <c r="O13" s="114"/>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5" t="s">
        <v>52</v>
      </c>
      <c r="C16" s="115"/>
      <c r="D16" s="115" t="s">
        <v>53</v>
      </c>
      <c r="E16" s="115"/>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2"/>
      <c r="T17" s="112"/>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6"/>
      <c r="E18" s="117"/>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6"/>
      <c r="E19" s="117"/>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6"/>
      <c r="E20" s="117"/>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3"/>
      <c r="E21" s="113"/>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1"/>
      <c r="E22" s="111"/>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1"/>
      <c r="E23" s="111"/>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1"/>
      <c r="E24" s="111"/>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3"/>
      <c r="E25" s="113"/>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1"/>
      <c r="E26" s="111"/>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1"/>
      <c r="E27" s="111"/>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1"/>
      <c r="E28" s="111"/>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3"/>
      <c r="E29" s="113"/>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1"/>
      <c r="E30" s="111"/>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1"/>
      <c r="E31" s="111"/>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1"/>
      <c r="E32" s="111"/>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3"/>
      <c r="E33" s="113"/>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1"/>
      <c r="E34" s="111"/>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1"/>
      <c r="E35" s="111"/>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1"/>
      <c r="E36" s="111"/>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3"/>
      <c r="E37" s="113"/>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1"/>
      <c r="E38" s="111"/>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1"/>
      <c r="E39" s="111"/>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1"/>
      <c r="E40" s="111"/>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3"/>
      <c r="E41" s="113"/>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1"/>
      <c r="E42" s="111"/>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1"/>
      <c r="E43" s="111"/>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1"/>
      <c r="E44" s="111"/>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6"/>
      <c r="C46" s="127"/>
      <c r="D46" s="127"/>
      <c r="E46" s="127"/>
      <c r="F46" s="127"/>
      <c r="G46" s="127"/>
      <c r="H46" s="127"/>
      <c r="I46" s="127"/>
      <c r="J46" s="127"/>
      <c r="K46" s="127"/>
      <c r="L46" s="128"/>
      <c r="M46" s="9"/>
      <c r="N46" t="s">
        <v>84</v>
      </c>
      <c r="O46" s="129" t="str">
        <f>IFERROR(VLOOKUP(B46,DropDowns!H13:I15,2,FALSE),"")</f>
        <v/>
      </c>
      <c r="P46" s="129"/>
      <c r="Q46" s="12"/>
      <c r="R46" s="12"/>
      <c r="U46" s="27"/>
      <c r="V46" s="27"/>
      <c r="W46" s="27"/>
      <c r="X46" s="27"/>
      <c r="Y46" s="27"/>
      <c r="Z46" s="27"/>
    </row>
    <row r="47" spans="1:35" x14ac:dyDescent="0.25">
      <c r="A47" s="4" t="s">
        <v>85</v>
      </c>
      <c r="B47" s="119"/>
      <c r="C47" s="120"/>
      <c r="D47" s="120"/>
      <c r="E47" s="120"/>
      <c r="F47" s="120"/>
      <c r="G47" s="120"/>
      <c r="H47" s="120"/>
      <c r="I47" s="120"/>
      <c r="J47" s="120"/>
      <c r="K47" s="120"/>
      <c r="L47" s="121"/>
      <c r="N47" t="s">
        <v>86</v>
      </c>
      <c r="O47" s="129" t="str">
        <f>IFERROR(VLOOKUP(B47,DropDowns!H3:I8,2,FALSE),"")</f>
        <v/>
      </c>
      <c r="P47" s="129"/>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s2UKygeBMU/Kx1Ai1WYMzLcC/aXgPXPyMf1vdEVBJZ6YT7/s4f9YmumQjWuTADuCcsZOX2vzZZZB5JEluitSCQ==" saltValue="ruM5KXblERIGYSzEVU7c1A==" spinCount="100000" sheet="1" objects="1" scenarios="1" selectLockedCells="1"/>
  <protectedRanges>
    <protectedRange sqref="G4:G6" name="address"/>
  </protectedRanges>
  <mergeCells count="52">
    <mergeCell ref="D8:E8"/>
    <mergeCell ref="D9:E9"/>
    <mergeCell ref="O46:P46"/>
    <mergeCell ref="O47:P47"/>
    <mergeCell ref="D3:E3"/>
    <mergeCell ref="D4:E4"/>
    <mergeCell ref="D5:E5"/>
    <mergeCell ref="D6:E6"/>
    <mergeCell ref="D7:E7"/>
    <mergeCell ref="G3:H3"/>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7"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D4:E4"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3E98397E-57CF-4F6B-A1D1-61FAF938413B}">
          <x14:formula1>
            <xm:f>_xlfn.ANCHORARRAY(DropDowns!$D$12)</xm:f>
          </x14:formula1>
          <xm:sqref>G4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Blank</v>
      </c>
    </row>
    <row r="2" spans="1:3" ht="87.75" customHeight="1" x14ac:dyDescent="0.25">
      <c r="B2" s="27" t="e" vm="1">
        <v>#VALUE!</v>
      </c>
    </row>
    <row r="3" spans="1:3" x14ac:dyDescent="0.25">
      <c r="C3" s="104" t="b">
        <v>0</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228</v>
      </c>
      <c r="B1" s="108" t="s">
        <v>227</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zoomScaleNormal="100" zoomScaleSheetLayoutView="100" workbookViewId="0">
      <selection activeCell="A16" sqref="A16:M1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3" t="s">
        <v>87</v>
      </c>
      <c r="C1" s="123"/>
      <c r="D1" s="123"/>
      <c r="E1" s="123"/>
      <c r="F1" s="123"/>
      <c r="G1" s="123"/>
      <c r="H1" s="123"/>
      <c r="I1" s="123"/>
      <c r="J1" s="123"/>
      <c r="K1" s="123"/>
    </row>
    <row r="2" spans="1:54" ht="18.75" x14ac:dyDescent="0.3">
      <c r="B2" s="132" t="s">
        <v>88</v>
      </c>
      <c r="C2" s="132"/>
      <c r="D2" s="132"/>
      <c r="E2" s="132"/>
      <c r="F2" s="132"/>
      <c r="G2" s="132"/>
      <c r="H2" s="132"/>
      <c r="I2" s="132"/>
      <c r="J2" s="132"/>
      <c r="K2" s="132"/>
      <c r="AG2" s="114"/>
      <c r="AH2" s="114"/>
      <c r="AJ2" s="114"/>
      <c r="AK2" s="114"/>
      <c r="AM2" s="114"/>
      <c r="AN2" s="114"/>
      <c r="AP2" s="114"/>
      <c r="AQ2" s="114"/>
      <c r="AR2" s="18"/>
      <c r="AS2" s="114"/>
      <c r="AT2" s="114"/>
    </row>
    <row r="3" spans="1:54" ht="18.75" x14ac:dyDescent="0.3">
      <c r="B3" s="132" t="s">
        <v>89</v>
      </c>
      <c r="C3" s="132"/>
      <c r="D3" s="132"/>
      <c r="E3" s="132"/>
      <c r="F3" s="132"/>
      <c r="G3" s="132"/>
      <c r="H3" s="132"/>
      <c r="I3" s="132"/>
      <c r="J3" s="132"/>
      <c r="K3" s="132"/>
    </row>
    <row r="4" spans="1:54" ht="23.25" x14ac:dyDescent="0.35">
      <c r="B4" s="70"/>
      <c r="C4" s="71"/>
      <c r="D4" s="134" t="s">
        <v>126</v>
      </c>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127</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ht="15" customHeight="1" x14ac:dyDescent="0.25">
      <c r="A16" s="153" t="s">
        <v>232</v>
      </c>
      <c r="B16" s="153"/>
      <c r="C16" s="153"/>
      <c r="D16" s="153"/>
      <c r="E16" s="153"/>
      <c r="F16" s="153"/>
      <c r="G16" s="153"/>
      <c r="H16" s="153"/>
      <c r="I16" s="153"/>
      <c r="J16" s="153"/>
      <c r="K16" s="153"/>
      <c r="L16" s="153"/>
      <c r="M16" s="15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3" t="s">
        <v>232</v>
      </c>
      <c r="B19" s="153"/>
      <c r="C19" s="153"/>
      <c r="D19" s="153"/>
      <c r="E19" s="153"/>
      <c r="F19" s="153"/>
      <c r="G19" s="153"/>
      <c r="H19" s="153"/>
      <c r="I19" s="153"/>
      <c r="J19" s="153"/>
      <c r="K19" s="153"/>
      <c r="L19" s="153"/>
      <c r="M19" s="153"/>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3" t="s">
        <v>232</v>
      </c>
      <c r="B49" s="153"/>
      <c r="C49" s="153"/>
      <c r="D49" s="153"/>
      <c r="E49" s="153"/>
      <c r="F49" s="153"/>
      <c r="G49" s="153"/>
      <c r="H49" s="153"/>
      <c r="I49" s="153"/>
      <c r="J49" s="153"/>
      <c r="K49" s="153"/>
      <c r="L49" s="153"/>
      <c r="M49" s="15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14" t="s">
        <v>100</v>
      </c>
      <c r="B53" s="114"/>
      <c r="C53" s="114"/>
      <c r="D53" s="114"/>
      <c r="E53" s="114"/>
      <c r="F53" s="114"/>
      <c r="G53" s="114"/>
      <c r="H53" s="114"/>
      <c r="I53" s="114"/>
      <c r="J53" s="114"/>
      <c r="K53" s="114"/>
      <c r="L53" s="114"/>
      <c r="M53" s="114"/>
    </row>
    <row r="54" spans="1:27" ht="15" customHeight="1" x14ac:dyDescent="0.25">
      <c r="A54" s="76" t="s">
        <v>109</v>
      </c>
      <c r="B54" s="143" t="s">
        <v>128</v>
      </c>
      <c r="C54" s="143"/>
      <c r="D54" s="143"/>
      <c r="E54" s="143"/>
      <c r="F54" s="143"/>
      <c r="G54" s="143"/>
      <c r="H54" s="143"/>
      <c r="I54" s="143"/>
      <c r="J54" s="143"/>
      <c r="K54" s="143"/>
      <c r="L54" s="143"/>
      <c r="M54" s="143"/>
      <c r="O54" s="139" t="str">
        <f>IFERROR(VLOOKUP(Worksheet!$B46,DropDowns!H13:J15,3,FALSE),"")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Worksheet!O46</f>
        <v/>
      </c>
      <c r="C58" s="131"/>
    </row>
    <row r="59" spans="1:27" ht="12" customHeight="1" x14ac:dyDescent="0.25">
      <c r="A59" s="141" t="str">
        <f>'CERT AL'!A59</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3" t="s">
        <v>232</v>
      </c>
      <c r="B61" s="153"/>
      <c r="C61" s="153"/>
      <c r="D61" s="153"/>
      <c r="E61" s="153"/>
      <c r="F61" s="153"/>
      <c r="G61" s="153"/>
      <c r="H61" s="153"/>
      <c r="I61" s="153"/>
      <c r="J61" s="153"/>
      <c r="K61" s="153"/>
      <c r="L61" s="153"/>
      <c r="M61" s="153"/>
    </row>
    <row r="66" spans="1:15" x14ac:dyDescent="0.25">
      <c r="A66" s="140"/>
      <c r="B66" s="140"/>
      <c r="C66" s="140"/>
      <c r="D66" s="140"/>
      <c r="E66" s="140"/>
      <c r="F66" s="140"/>
      <c r="G66" s="140"/>
      <c r="H66" s="140"/>
      <c r="I66" s="140"/>
      <c r="J66" s="140"/>
      <c r="K66" s="140"/>
      <c r="L66" s="140"/>
      <c r="M66" s="140"/>
      <c r="N66" s="140"/>
      <c r="O66" s="140"/>
    </row>
    <row r="67" spans="1:15" x14ac:dyDescent="0.25">
      <c r="A67" s="140"/>
      <c r="B67" s="140"/>
      <c r="C67" s="140"/>
      <c r="D67" s="140"/>
      <c r="E67" s="140"/>
      <c r="F67" s="140"/>
      <c r="G67" s="140"/>
      <c r="H67" s="140"/>
      <c r="I67" s="140"/>
      <c r="J67" s="140"/>
      <c r="K67" s="140"/>
      <c r="L67" s="140"/>
      <c r="M67" s="140"/>
      <c r="N67" s="140"/>
      <c r="O67" s="140"/>
    </row>
    <row r="68" spans="1:15" x14ac:dyDescent="0.25">
      <c r="A68" s="140"/>
      <c r="B68" s="140"/>
      <c r="C68" s="140"/>
      <c r="D68" s="140"/>
      <c r="E68" s="140"/>
      <c r="F68" s="140"/>
      <c r="G68" s="140"/>
      <c r="H68" s="140"/>
      <c r="I68" s="140"/>
      <c r="J68" s="140"/>
      <c r="K68" s="140"/>
      <c r="L68" s="140"/>
      <c r="M68" s="140"/>
      <c r="N68" s="140"/>
      <c r="O68" s="140"/>
    </row>
    <row r="69" spans="1:15" x14ac:dyDescent="0.25">
      <c r="A69" s="140"/>
      <c r="B69" s="140"/>
      <c r="C69" s="140"/>
      <c r="D69" s="140"/>
      <c r="E69" s="140"/>
      <c r="F69" s="140"/>
      <c r="G69" s="140"/>
      <c r="H69" s="140"/>
      <c r="I69" s="140"/>
      <c r="J69" s="140"/>
      <c r="K69" s="140"/>
      <c r="L69" s="140"/>
      <c r="M69" s="140"/>
      <c r="N69" s="140"/>
      <c r="O69" s="140"/>
    </row>
    <row r="70" spans="1:15" x14ac:dyDescent="0.25">
      <c r="A70" s="140"/>
      <c r="B70" s="140"/>
      <c r="C70" s="140"/>
      <c r="D70" s="140"/>
      <c r="E70" s="140"/>
      <c r="F70" s="140"/>
      <c r="G70" s="140"/>
      <c r="H70" s="140"/>
      <c r="I70" s="140"/>
      <c r="J70" s="140"/>
      <c r="K70" s="140"/>
      <c r="L70" s="140"/>
      <c r="M70" s="140"/>
      <c r="N70" s="140"/>
      <c r="O70" s="140"/>
    </row>
    <row r="71" spans="1:15" x14ac:dyDescent="0.25">
      <c r="A71" s="140"/>
      <c r="B71" s="140"/>
      <c r="C71" s="140"/>
      <c r="D71" s="140"/>
      <c r="E71" s="140"/>
      <c r="F71" s="140"/>
      <c r="G71" s="140"/>
      <c r="H71" s="140"/>
      <c r="I71" s="140"/>
      <c r="J71" s="140"/>
      <c r="K71" s="140"/>
      <c r="L71" s="140"/>
      <c r="M71" s="140"/>
      <c r="N71" s="140"/>
      <c r="O71" s="140"/>
    </row>
    <row r="72" spans="1:15" x14ac:dyDescent="0.25">
      <c r="A72" s="140"/>
      <c r="B72" s="140"/>
      <c r="C72" s="140"/>
      <c r="D72" s="140"/>
      <c r="E72" s="140"/>
      <c r="F72" s="140"/>
      <c r="G72" s="140"/>
      <c r="H72" s="140"/>
      <c r="I72" s="140"/>
      <c r="J72" s="140"/>
      <c r="K72" s="140"/>
      <c r="L72" s="140"/>
      <c r="M72" s="140"/>
      <c r="N72" s="140"/>
      <c r="O72" s="140"/>
    </row>
    <row r="73" spans="1:15" x14ac:dyDescent="0.25">
      <c r="A73" s="140"/>
      <c r="B73" s="140"/>
      <c r="C73" s="140"/>
      <c r="D73" s="140"/>
      <c r="E73" s="140"/>
      <c r="F73" s="140"/>
      <c r="G73" s="140"/>
      <c r="H73" s="140"/>
      <c r="I73" s="140"/>
      <c r="J73" s="140"/>
      <c r="K73" s="140"/>
      <c r="L73" s="140"/>
      <c r="M73" s="140"/>
      <c r="N73" s="140"/>
      <c r="O73" s="140"/>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7yUO3nOV2rC26uxmychNSkCZQf9I1AMwf0CbgemEqSce5fuOa6Zy31+CteuyNK/BFDhfGH5iQi16c5fyvs5q7Q==" saltValue="0Mi05ga+kXsITQtaflD82Q=="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zoomScaleNormal="100" zoomScaleSheetLayoutView="100" workbookViewId="0">
      <selection activeCell="S13" sqref="S13"/>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3" t="s">
        <v>87</v>
      </c>
      <c r="C1" s="123"/>
      <c r="D1" s="123"/>
      <c r="E1" s="123"/>
      <c r="F1" s="123"/>
      <c r="G1" s="123"/>
      <c r="H1" s="123"/>
      <c r="I1" s="123"/>
      <c r="J1" s="123"/>
      <c r="K1" s="123"/>
    </row>
    <row r="2" spans="1:54" ht="18.75" x14ac:dyDescent="0.3">
      <c r="B2" s="132" t="s">
        <v>88</v>
      </c>
      <c r="C2" s="132"/>
      <c r="D2" s="132"/>
      <c r="E2" s="132"/>
      <c r="F2" s="132"/>
      <c r="G2" s="132"/>
      <c r="H2" s="132"/>
      <c r="I2" s="132"/>
      <c r="J2" s="132"/>
      <c r="K2" s="132"/>
      <c r="AG2" s="114"/>
      <c r="AH2" s="114"/>
      <c r="AJ2" s="114"/>
      <c r="AK2" s="114"/>
      <c r="AM2" s="114"/>
      <c r="AN2" s="114"/>
      <c r="AP2" s="114"/>
      <c r="AQ2" s="114"/>
      <c r="AR2" s="18"/>
      <c r="AS2" s="114"/>
      <c r="AT2" s="114"/>
    </row>
    <row r="3" spans="1:54" ht="18.75" x14ac:dyDescent="0.3">
      <c r="B3" s="132" t="s">
        <v>89</v>
      </c>
      <c r="C3" s="132"/>
      <c r="D3" s="132"/>
      <c r="E3" s="132"/>
      <c r="F3" s="132"/>
      <c r="G3" s="132"/>
      <c r="H3" s="132"/>
      <c r="I3" s="132"/>
      <c r="J3" s="132"/>
      <c r="K3" s="132"/>
    </row>
    <row r="4" spans="1:54" ht="23.25" x14ac:dyDescent="0.35">
      <c r="B4" s="70"/>
      <c r="C4" s="71"/>
      <c r="D4" s="134"/>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91</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x14ac:dyDescent="0.25">
      <c r="A16" s="153" t="s">
        <v>232</v>
      </c>
      <c r="B16" s="153"/>
      <c r="C16" s="153"/>
      <c r="D16" s="153"/>
      <c r="E16" s="153"/>
      <c r="F16" s="153"/>
      <c r="G16" s="153"/>
      <c r="H16" s="153"/>
      <c r="I16" s="153"/>
      <c r="J16" s="153"/>
      <c r="K16" s="153"/>
      <c r="L16" s="153"/>
      <c r="M16" s="15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3" t="s">
        <v>232</v>
      </c>
      <c r="B19" s="153"/>
      <c r="C19" s="153"/>
      <c r="D19" s="153"/>
      <c r="E19" s="153"/>
      <c r="F19" s="153"/>
      <c r="G19" s="153"/>
      <c r="H19" s="153"/>
      <c r="I19" s="153"/>
      <c r="J19" s="153"/>
      <c r="K19" s="153"/>
      <c r="L19" s="153"/>
      <c r="M19" s="153"/>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3" t="s">
        <v>232</v>
      </c>
      <c r="B49" s="153"/>
      <c r="C49" s="153"/>
      <c r="D49" s="153"/>
      <c r="E49" s="153"/>
      <c r="F49" s="153"/>
      <c r="G49" s="153"/>
      <c r="H49" s="153"/>
      <c r="I49" s="153"/>
      <c r="J49" s="153"/>
      <c r="K49" s="153"/>
      <c r="L49" s="153"/>
      <c r="M49" s="15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53" t="s">
        <v>232</v>
      </c>
      <c r="B53" s="153"/>
      <c r="C53" s="153"/>
      <c r="D53" s="153"/>
      <c r="E53" s="153"/>
      <c r="F53" s="153"/>
      <c r="G53" s="153"/>
      <c r="H53" s="153"/>
      <c r="I53" s="153"/>
      <c r="J53" s="153"/>
      <c r="K53" s="153"/>
      <c r="L53" s="153"/>
      <c r="M53" s="153"/>
    </row>
    <row r="54" spans="1:27" ht="15" customHeight="1" x14ac:dyDescent="0.25">
      <c r="A54" s="76" t="s">
        <v>109</v>
      </c>
      <c r="B54" s="143" t="s">
        <v>110</v>
      </c>
      <c r="C54" s="143"/>
      <c r="D54" s="143"/>
      <c r="E54" s="143"/>
      <c r="F54" s="143"/>
      <c r="G54" s="143"/>
      <c r="H54" s="143"/>
      <c r="I54" s="143"/>
      <c r="J54" s="143"/>
      <c r="K54" s="143"/>
      <c r="L54" s="143"/>
      <c r="M54" s="143"/>
      <c r="O54" s="139" t="str">
        <f>IFERROR(VLOOKUP(Worksheet!$B47,DropDowns!H3:J8,3,FALSE),"")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Worksheet!O47</f>
        <v/>
      </c>
      <c r="C58" s="131"/>
    </row>
    <row r="59" spans="1:27" ht="12" customHeight="1" x14ac:dyDescent="0.25">
      <c r="A59" s="141" t="str">
        <f>IF(Worksheet!D11="YES",'CERT AL'!A87,"")</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3" t="s">
        <v>232</v>
      </c>
      <c r="B61" s="153"/>
      <c r="C61" s="153"/>
      <c r="D61" s="153"/>
      <c r="E61" s="153"/>
      <c r="F61" s="153"/>
      <c r="G61" s="153"/>
      <c r="H61" s="153"/>
      <c r="I61" s="153"/>
      <c r="J61" s="153"/>
      <c r="K61" s="153"/>
      <c r="L61" s="153"/>
      <c r="M61" s="153"/>
    </row>
    <row r="65" spans="1:16" x14ac:dyDescent="0.25">
      <c r="A65" s="64" t="s">
        <v>112</v>
      </c>
    </row>
    <row r="66" spans="1:16" x14ac:dyDescent="0.25">
      <c r="A66" s="140" t="s">
        <v>229</v>
      </c>
      <c r="B66" s="140"/>
      <c r="C66" s="140"/>
      <c r="D66" s="140"/>
      <c r="E66" s="140"/>
      <c r="F66" s="140"/>
      <c r="G66" s="140"/>
      <c r="H66" s="140"/>
      <c r="I66" s="140"/>
      <c r="J66" s="140"/>
      <c r="K66" s="140"/>
      <c r="L66" s="140"/>
      <c r="M66" s="140"/>
      <c r="N66" s="140"/>
      <c r="O66" s="140"/>
    </row>
    <row r="67" spans="1:16" x14ac:dyDescent="0.25">
      <c r="A67" s="140"/>
      <c r="B67" s="140"/>
      <c r="C67" s="140"/>
      <c r="D67" s="140"/>
      <c r="E67" s="140"/>
      <c r="F67" s="140"/>
      <c r="G67" s="140"/>
      <c r="H67" s="140"/>
      <c r="I67" s="140"/>
      <c r="J67" s="140"/>
      <c r="K67" s="140"/>
      <c r="L67" s="140"/>
      <c r="M67" s="140"/>
      <c r="N67" s="140"/>
      <c r="O67" s="140"/>
    </row>
    <row r="68" spans="1:16" x14ac:dyDescent="0.25">
      <c r="A68" s="140"/>
      <c r="B68" s="140"/>
      <c r="C68" s="140"/>
      <c r="D68" s="140"/>
      <c r="E68" s="140"/>
      <c r="F68" s="140"/>
      <c r="G68" s="140"/>
      <c r="H68" s="140"/>
      <c r="I68" s="140"/>
      <c r="J68" s="140"/>
      <c r="K68" s="140"/>
      <c r="L68" s="140"/>
      <c r="M68" s="140"/>
      <c r="N68" s="140"/>
      <c r="O68" s="140"/>
    </row>
    <row r="69" spans="1:16" x14ac:dyDescent="0.25">
      <c r="A69" s="140"/>
      <c r="B69" s="140"/>
      <c r="C69" s="140"/>
      <c r="D69" s="140"/>
      <c r="E69" s="140"/>
      <c r="F69" s="140"/>
      <c r="G69" s="140"/>
      <c r="H69" s="140"/>
      <c r="I69" s="140"/>
      <c r="J69" s="140"/>
      <c r="K69" s="140"/>
      <c r="L69" s="140"/>
      <c r="M69" s="140"/>
      <c r="N69" s="140"/>
      <c r="O69" s="140"/>
    </row>
    <row r="70" spans="1:16" x14ac:dyDescent="0.25">
      <c r="A70" s="140"/>
      <c r="B70" s="140"/>
      <c r="C70" s="140"/>
      <c r="D70" s="140"/>
      <c r="E70" s="140"/>
      <c r="F70" s="140"/>
      <c r="G70" s="140"/>
      <c r="H70" s="140"/>
      <c r="I70" s="140"/>
      <c r="J70" s="140"/>
      <c r="K70" s="140"/>
      <c r="L70" s="140"/>
      <c r="M70" s="140"/>
      <c r="N70" s="140"/>
      <c r="O70" s="140"/>
    </row>
    <row r="71" spans="1:16" x14ac:dyDescent="0.25">
      <c r="A71" s="140"/>
      <c r="B71" s="140"/>
      <c r="C71" s="140"/>
      <c r="D71" s="140"/>
      <c r="E71" s="140"/>
      <c r="F71" s="140"/>
      <c r="G71" s="140"/>
      <c r="H71" s="140"/>
      <c r="I71" s="140"/>
      <c r="J71" s="140"/>
      <c r="K71" s="140"/>
      <c r="L71" s="140"/>
      <c r="M71" s="140"/>
      <c r="N71" s="140"/>
      <c r="O71" s="140"/>
    </row>
    <row r="72" spans="1:16" x14ac:dyDescent="0.25">
      <c r="A72" s="140"/>
      <c r="B72" s="140"/>
      <c r="C72" s="140"/>
      <c r="D72" s="140"/>
      <c r="E72" s="140"/>
      <c r="F72" s="140"/>
      <c r="G72" s="140"/>
      <c r="H72" s="140"/>
      <c r="I72" s="140"/>
      <c r="J72" s="140"/>
      <c r="K72" s="140"/>
      <c r="L72" s="140"/>
      <c r="M72" s="140"/>
      <c r="N72" s="140"/>
      <c r="O72" s="140"/>
    </row>
    <row r="73" spans="1:16" x14ac:dyDescent="0.25">
      <c r="A73" s="140"/>
      <c r="B73" s="140"/>
      <c r="C73" s="140"/>
      <c r="D73" s="140"/>
      <c r="E73" s="140"/>
      <c r="F73" s="140"/>
      <c r="G73" s="140"/>
      <c r="H73" s="140"/>
      <c r="I73" s="140"/>
      <c r="J73" s="140"/>
      <c r="K73" s="140"/>
      <c r="L73" s="140"/>
      <c r="M73" s="140"/>
      <c r="N73" s="140"/>
      <c r="O73" s="140"/>
    </row>
    <row r="76" spans="1:16" x14ac:dyDescent="0.25">
      <c r="A76" s="64" t="s">
        <v>113</v>
      </c>
    </row>
    <row r="77" spans="1:16" ht="15" customHeight="1" x14ac:dyDescent="0.25">
      <c r="A77" s="140" t="s">
        <v>230</v>
      </c>
      <c r="B77" s="140"/>
      <c r="C77" s="140"/>
      <c r="D77" s="140"/>
      <c r="E77" s="140"/>
      <c r="F77" s="140"/>
      <c r="G77" s="140"/>
      <c r="H77" s="140"/>
      <c r="I77" s="140"/>
      <c r="J77" s="140"/>
      <c r="K77" s="140"/>
      <c r="L77" s="140"/>
      <c r="M77" s="140"/>
      <c r="N77" s="140"/>
      <c r="O77" s="140"/>
      <c r="P77" s="24"/>
    </row>
    <row r="78" spans="1:16" x14ac:dyDescent="0.25">
      <c r="A78" s="140"/>
      <c r="B78" s="140"/>
      <c r="C78" s="140"/>
      <c r="D78" s="140"/>
      <c r="E78" s="140"/>
      <c r="F78" s="140"/>
      <c r="G78" s="140"/>
      <c r="H78" s="140"/>
      <c r="I78" s="140"/>
      <c r="J78" s="140"/>
      <c r="K78" s="140"/>
      <c r="L78" s="140"/>
      <c r="M78" s="140"/>
      <c r="N78" s="140"/>
      <c r="O78" s="140"/>
      <c r="P78" s="24"/>
    </row>
    <row r="79" spans="1:16" x14ac:dyDescent="0.25">
      <c r="A79" s="140"/>
      <c r="B79" s="140"/>
      <c r="C79" s="140"/>
      <c r="D79" s="140"/>
      <c r="E79" s="140"/>
      <c r="F79" s="140"/>
      <c r="G79" s="140"/>
      <c r="H79" s="140"/>
      <c r="I79" s="140"/>
      <c r="J79" s="140"/>
      <c r="K79" s="140"/>
      <c r="L79" s="140"/>
      <c r="M79" s="140"/>
      <c r="N79" s="140"/>
      <c r="O79" s="140"/>
      <c r="P79" s="24"/>
    </row>
    <row r="80" spans="1:16" x14ac:dyDescent="0.25">
      <c r="A80" s="140"/>
      <c r="B80" s="140"/>
      <c r="C80" s="140"/>
      <c r="D80" s="140"/>
      <c r="E80" s="140"/>
      <c r="F80" s="140"/>
      <c r="G80" s="140"/>
      <c r="H80" s="140"/>
      <c r="I80" s="140"/>
      <c r="J80" s="140"/>
      <c r="K80" s="140"/>
      <c r="L80" s="140"/>
      <c r="M80" s="140"/>
      <c r="N80" s="140"/>
      <c r="O80" s="140"/>
      <c r="P80" s="24"/>
    </row>
    <row r="81" spans="1:16" x14ac:dyDescent="0.25">
      <c r="A81" s="140"/>
      <c r="B81" s="140"/>
      <c r="C81" s="140"/>
      <c r="D81" s="140"/>
      <c r="E81" s="140"/>
      <c r="F81" s="140"/>
      <c r="G81" s="140"/>
      <c r="H81" s="140"/>
      <c r="I81" s="140"/>
      <c r="J81" s="140"/>
      <c r="K81" s="140"/>
      <c r="L81" s="140"/>
      <c r="M81" s="140"/>
      <c r="N81" s="140"/>
      <c r="O81" s="140"/>
      <c r="P81" s="24"/>
    </row>
    <row r="82" spans="1:16" x14ac:dyDescent="0.25">
      <c r="A82" s="140"/>
      <c r="B82" s="140"/>
      <c r="C82" s="140"/>
      <c r="D82" s="140"/>
      <c r="E82" s="140"/>
      <c r="F82" s="140"/>
      <c r="G82" s="140"/>
      <c r="H82" s="140"/>
      <c r="I82" s="140"/>
      <c r="J82" s="140"/>
      <c r="K82" s="140"/>
      <c r="L82" s="140"/>
      <c r="M82" s="140"/>
      <c r="N82" s="140"/>
      <c r="O82" s="140"/>
      <c r="P82" s="24"/>
    </row>
    <row r="83" spans="1:16" x14ac:dyDescent="0.25">
      <c r="A83" s="140"/>
      <c r="B83" s="140"/>
      <c r="C83" s="140"/>
      <c r="D83" s="140"/>
      <c r="E83" s="140"/>
      <c r="F83" s="140"/>
      <c r="G83" s="140"/>
      <c r="H83" s="140"/>
      <c r="I83" s="140"/>
      <c r="J83" s="140"/>
      <c r="K83" s="140"/>
      <c r="L83" s="140"/>
      <c r="M83" s="140"/>
      <c r="N83" s="140"/>
      <c r="O83" s="140"/>
      <c r="P83" s="24"/>
    </row>
    <row r="84" spans="1:16" x14ac:dyDescent="0.25">
      <c r="A84" s="140"/>
      <c r="B84" s="140"/>
      <c r="C84" s="140"/>
      <c r="D84" s="140"/>
      <c r="E84" s="140"/>
      <c r="F84" s="140"/>
      <c r="G84" s="140"/>
      <c r="H84" s="140"/>
      <c r="I84" s="140"/>
      <c r="J84" s="140"/>
      <c r="K84" s="140"/>
      <c r="L84" s="140"/>
      <c r="M84" s="140"/>
      <c r="N84" s="140"/>
      <c r="O84" s="140"/>
      <c r="P84" s="24"/>
    </row>
    <row r="86" spans="1:16" x14ac:dyDescent="0.25">
      <c r="A86" s="64" t="s">
        <v>123</v>
      </c>
    </row>
    <row r="87" spans="1:16" x14ac:dyDescent="0.25">
      <c r="A87" s="140" t="s">
        <v>124</v>
      </c>
      <c r="B87" s="140"/>
      <c r="C87" s="140"/>
      <c r="D87" s="140"/>
      <c r="E87" s="140"/>
      <c r="F87" s="140"/>
      <c r="G87" s="140"/>
      <c r="H87" s="140"/>
      <c r="I87" s="140"/>
      <c r="J87" s="140"/>
      <c r="K87" s="140"/>
      <c r="L87" s="140"/>
      <c r="M87" s="140"/>
      <c r="N87" s="140"/>
      <c r="O87" s="140"/>
    </row>
    <row r="88" spans="1:16" x14ac:dyDescent="0.25">
      <c r="A88" s="140"/>
      <c r="B88" s="140"/>
      <c r="C88" s="140"/>
      <c r="D88" s="140"/>
      <c r="E88" s="140"/>
      <c r="F88" s="140"/>
      <c r="G88" s="140"/>
      <c r="H88" s="140"/>
      <c r="I88" s="140"/>
      <c r="J88" s="140"/>
      <c r="K88" s="140"/>
      <c r="L88" s="140"/>
      <c r="M88" s="140"/>
      <c r="N88" s="140"/>
      <c r="O88" s="140"/>
    </row>
  </sheetData>
  <sheetProtection algorithmName="SHA-512" hashValue="V6B4GtarDZY1QbcKecsn9mSlPv0PAaXK73zA6Xp7qbbXU/bm9I1Ctdg+IMF00OHLxN3Usx7TvJnoQPXTXJngqg==" saltValue="BHKPxfPhTlekrv5C1pQEGw=="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J24"/>
  <sheetViews>
    <sheetView topLeftCell="D1" workbookViewId="0">
      <selection activeCell="D12" sqref="D12"/>
    </sheetView>
  </sheetViews>
  <sheetFormatPr defaultRowHeight="15" x14ac:dyDescent="0.25"/>
  <cols>
    <col min="6" max="6" width="10.28515625" customWidth="1"/>
    <col min="7" max="7" width="11.7109375" customWidth="1"/>
    <col min="8" max="8" width="86.140625" bestFit="1" customWidth="1"/>
    <col min="9" max="9" width="14.140625" bestFit="1" customWidth="1"/>
    <col min="10" max="10" width="248.42578125" bestFit="1" customWidth="1"/>
  </cols>
  <sheetData>
    <row r="2" spans="2:10" x14ac:dyDescent="0.25">
      <c r="B2" s="99" t="s">
        <v>137</v>
      </c>
      <c r="D2" s="99" t="s">
        <v>138</v>
      </c>
      <c r="H2" s="99" t="s">
        <v>139</v>
      </c>
      <c r="I2" s="99" t="s">
        <v>140</v>
      </c>
      <c r="J2" s="110" t="s">
        <v>226</v>
      </c>
    </row>
    <row r="3" spans="2:10" x14ac:dyDescent="0.25">
      <c r="B3" t="s">
        <v>141</v>
      </c>
      <c r="D3" t="s">
        <v>142</v>
      </c>
      <c r="H3" s="25" t="s">
        <v>114</v>
      </c>
      <c r="I3" t="s">
        <v>143</v>
      </c>
      <c r="J3" t="s">
        <v>110</v>
      </c>
    </row>
    <row r="4" spans="2:10" ht="15" customHeight="1" x14ac:dyDescent="0.25">
      <c r="B4" t="s">
        <v>144</v>
      </c>
      <c r="D4" t="s">
        <v>10</v>
      </c>
      <c r="H4" t="s">
        <v>115</v>
      </c>
      <c r="I4" t="s">
        <v>143</v>
      </c>
      <c r="J4" t="s">
        <v>116</v>
      </c>
    </row>
    <row r="5" spans="2:10" x14ac:dyDescent="0.25">
      <c r="B5" t="s">
        <v>145</v>
      </c>
      <c r="H5" t="s">
        <v>117</v>
      </c>
      <c r="I5" t="s">
        <v>143</v>
      </c>
      <c r="J5" t="s">
        <v>118</v>
      </c>
    </row>
    <row r="6" spans="2:10" x14ac:dyDescent="0.25">
      <c r="H6" t="s">
        <v>119</v>
      </c>
      <c r="I6" t="s">
        <v>143</v>
      </c>
      <c r="J6" t="s">
        <v>120</v>
      </c>
    </row>
    <row r="7" spans="2:10" x14ac:dyDescent="0.25">
      <c r="H7" t="s">
        <v>121</v>
      </c>
      <c r="I7" t="s">
        <v>146</v>
      </c>
      <c r="J7" t="s">
        <v>122</v>
      </c>
    </row>
    <row r="8" spans="2:10" x14ac:dyDescent="0.25">
      <c r="H8" t="s">
        <v>147</v>
      </c>
      <c r="I8" t="s">
        <v>143</v>
      </c>
      <c r="J8" t="s">
        <v>125</v>
      </c>
    </row>
    <row r="10" spans="2:10" ht="15.75" thickBot="1" x14ac:dyDescent="0.3">
      <c r="B10" s="99" t="s">
        <v>148</v>
      </c>
      <c r="D10" s="83" t="s">
        <v>153</v>
      </c>
    </row>
    <row r="11" spans="2:10" ht="15.75" thickTop="1" x14ac:dyDescent="0.25"/>
    <row r="12" spans="2:10" x14ac:dyDescent="0.25">
      <c r="B12" t="str" cm="1">
        <f t="array" ref="B12:B24">Thresholds[Scale]</f>
        <v>HRA</v>
      </c>
      <c r="D12" t="str" cm="1">
        <f t="array" ref="D12">_xlfn.UNIQUE(IF(ServiceOrder[Address1]=0,"",ServiceOrder[Address1]))</f>
        <v/>
      </c>
      <c r="H12" s="99" t="s">
        <v>149</v>
      </c>
      <c r="I12" s="99" t="s">
        <v>150</v>
      </c>
      <c r="J12" s="110" t="s">
        <v>225</v>
      </c>
    </row>
    <row r="13" spans="2:10" x14ac:dyDescent="0.25">
      <c r="B13" t="str">
        <v>HRBW</v>
      </c>
      <c r="H13" t="s">
        <v>129</v>
      </c>
      <c r="I13" t="s">
        <v>151</v>
      </c>
      <c r="J13" t="s">
        <v>128</v>
      </c>
    </row>
    <row r="14" spans="2:10" x14ac:dyDescent="0.25">
      <c r="B14" t="str">
        <v>HRC</v>
      </c>
      <c r="H14" t="s">
        <v>130</v>
      </c>
      <c r="I14" t="s">
        <v>146</v>
      </c>
      <c r="J14" t="s">
        <v>131</v>
      </c>
    </row>
    <row r="15" spans="2:10" x14ac:dyDescent="0.25">
      <c r="B15" t="str">
        <v>HREW</v>
      </c>
      <c r="H15" t="s">
        <v>132</v>
      </c>
      <c r="I15" t="s">
        <v>151</v>
      </c>
      <c r="J15" t="s">
        <v>133</v>
      </c>
    </row>
    <row r="16" spans="2:10" x14ac:dyDescent="0.25">
      <c r="B16" t="str">
        <v>HRFW</v>
      </c>
      <c r="I16" t="s">
        <v>152</v>
      </c>
    </row>
    <row r="17" spans="2:2" x14ac:dyDescent="0.25">
      <c r="B17" t="str">
        <v>HRHW</v>
      </c>
    </row>
    <row r="18" spans="2:2" x14ac:dyDescent="0.25">
      <c r="B18" t="str">
        <v>HR15N</v>
      </c>
    </row>
    <row r="19" spans="2:2" x14ac:dyDescent="0.25">
      <c r="B19" t="str">
        <v>HR30N</v>
      </c>
    </row>
    <row r="20" spans="2:2" x14ac:dyDescent="0.25">
      <c r="B20" t="str">
        <v>HR45N</v>
      </c>
    </row>
    <row r="21" spans="2:2" x14ac:dyDescent="0.25">
      <c r="B21" t="str">
        <v>HR15TW</v>
      </c>
    </row>
    <row r="22" spans="2:2" x14ac:dyDescent="0.25">
      <c r="B22" t="str">
        <v>HR30TW</v>
      </c>
    </row>
    <row r="23" spans="2:2" x14ac:dyDescent="0.25">
      <c r="B23" t="str">
        <v>HR45TW</v>
      </c>
    </row>
    <row r="24" spans="2:2" x14ac:dyDescent="0.25">
      <c r="B24" t="str">
        <v>HRMW</v>
      </c>
    </row>
  </sheetData>
  <sheetProtection algorithmName="SHA-512" hashValue="gjDmENHb/wH4Z7ynafhP1EHBNwJ86D9gGAdMUao50Etf3dZ/6Srn58fYkArtN4S85omraLTHHFHJccNIg6mDkQ==" saltValue="KR1boC2crEgXgtrvdIstvw==" spinCount="100000" sheet="1" objects="1" scenarios="1"/>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154</v>
      </c>
      <c r="B1" t="s">
        <v>155</v>
      </c>
      <c r="C1" t="s">
        <v>156</v>
      </c>
      <c r="D1" t="s">
        <v>157</v>
      </c>
      <c r="E1" t="s">
        <v>158</v>
      </c>
      <c r="F1" t="s">
        <v>159</v>
      </c>
      <c r="G1" t="s">
        <v>160</v>
      </c>
      <c r="H1" t="s">
        <v>161</v>
      </c>
      <c r="I1" t="s">
        <v>162</v>
      </c>
      <c r="J1" t="s">
        <v>163</v>
      </c>
    </row>
    <row r="2" spans="1:10" x14ac:dyDescent="0.25">
      <c r="A2" t="s">
        <v>164</v>
      </c>
      <c r="B2" s="30" t="s">
        <v>165</v>
      </c>
      <c r="C2" s="31">
        <v>0.1</v>
      </c>
      <c r="D2" s="31">
        <v>0.31</v>
      </c>
      <c r="E2" s="31">
        <v>0</v>
      </c>
      <c r="F2" s="31">
        <v>0.28600278396116963</v>
      </c>
      <c r="G2" s="31">
        <v>0</v>
      </c>
      <c r="H2" s="31">
        <v>1</v>
      </c>
      <c r="I2" s="31" t="s">
        <v>166</v>
      </c>
      <c r="J2" s="31" t="str">
        <f>IF(Table3[[#This Row],[Item_C]]="Rockwell Indirect",
    IF(ISNUMBER(SEARCH("≥", Table3[[#This Row],[Main Name]])), "HIGH",
        IF(ISNUMBER(SEARCH("≤", Table3[[#This Row],[Main Name]])), "MID", "LOW")),
    "")</f>
        <v>LOW</v>
      </c>
    </row>
    <row r="3" spans="1:10" x14ac:dyDescent="0.25">
      <c r="A3" t="s">
        <v>167</v>
      </c>
      <c r="B3" s="32" t="s">
        <v>165</v>
      </c>
      <c r="C3">
        <v>0.1</v>
      </c>
      <c r="D3">
        <v>0.32</v>
      </c>
      <c r="E3">
        <v>0</v>
      </c>
      <c r="F3">
        <v>0.29579991959691171</v>
      </c>
      <c r="G3">
        <v>0</v>
      </c>
      <c r="H3">
        <v>1</v>
      </c>
      <c r="I3" t="s">
        <v>166</v>
      </c>
      <c r="J3" t="str">
        <f>IF(Table3[[#This Row],[Item_C]]="Rockwell Indirect",
    IF(ISNUMBER(SEARCH("≥", Table3[[#This Row],[Main Name]])), "HIGH",
        IF(ISNUMBER(SEARCH("≤", Table3[[#This Row],[Main Name]])), "MID", "LOW")),
    "")</f>
        <v>MID</v>
      </c>
    </row>
    <row r="4" spans="1:10" ht="15.75" thickBot="1" x14ac:dyDescent="0.3">
      <c r="A4" t="s">
        <v>168</v>
      </c>
      <c r="B4" s="32" t="s">
        <v>165</v>
      </c>
      <c r="C4">
        <v>0.1</v>
      </c>
      <c r="D4">
        <v>0.2</v>
      </c>
      <c r="E4">
        <v>0</v>
      </c>
      <c r="F4">
        <v>0.17971530940223054</v>
      </c>
      <c r="G4">
        <v>0</v>
      </c>
      <c r="H4">
        <v>1</v>
      </c>
      <c r="I4" t="s">
        <v>166</v>
      </c>
      <c r="J4" t="str">
        <f>IF(Table3[[#This Row],[Item_C]]="Rockwell Indirect",
    IF(ISNUMBER(SEARCH("≥", Table3[[#This Row],[Main Name]])), "HIGH",
        IF(ISNUMBER(SEARCH("≤", Table3[[#This Row],[Main Name]])), "MID", "LOW")),
    "")</f>
        <v>HIGH</v>
      </c>
    </row>
    <row r="5" spans="1:10" x14ac:dyDescent="0.25">
      <c r="A5" t="s">
        <v>169</v>
      </c>
      <c r="B5" s="32" t="s">
        <v>165</v>
      </c>
      <c r="C5">
        <v>0.1</v>
      </c>
      <c r="D5">
        <v>0.36</v>
      </c>
      <c r="E5">
        <v>0</v>
      </c>
      <c r="F5">
        <v>0.33510832940041863</v>
      </c>
      <c r="G5">
        <v>0</v>
      </c>
      <c r="H5">
        <v>1</v>
      </c>
      <c r="I5" t="s">
        <v>170</v>
      </c>
      <c r="J5" s="31" t="str">
        <f>IF(Table3[[#This Row],[Item_C]]="Rockwell Indirect",
    IF(ISNUMBER(SEARCH("≥", Table3[[#This Row],[Main Name]])), "HIGH",
        IF(ISNUMBER(SEARCH("≤", Table3[[#This Row],[Main Name]])), "MID", "LOW")),
    "")</f>
        <v>LOW</v>
      </c>
    </row>
    <row r="6" spans="1:10" x14ac:dyDescent="0.25">
      <c r="A6" t="s">
        <v>171</v>
      </c>
      <c r="B6" s="32" t="s">
        <v>165</v>
      </c>
      <c r="C6">
        <v>0.1</v>
      </c>
      <c r="D6">
        <v>0.26</v>
      </c>
      <c r="E6">
        <v>0</v>
      </c>
      <c r="F6">
        <v>0.24697690668064382</v>
      </c>
      <c r="G6">
        <v>0</v>
      </c>
      <c r="H6">
        <v>1</v>
      </c>
      <c r="I6" t="s">
        <v>170</v>
      </c>
      <c r="J6" t="str">
        <f>IF(Table3[[#This Row],[Item_C]]="Rockwell Indirect",
    IF(ISNUMBER(SEARCH("≥", Table3[[#This Row],[Main Name]])), "HIGH",
        IF(ISNUMBER(SEARCH("≤", Table3[[#This Row],[Main Name]])), "MID", "LOW")),
    "")</f>
        <v>MID</v>
      </c>
    </row>
    <row r="7" spans="1:10" ht="15.75" thickBot="1" x14ac:dyDescent="0.3">
      <c r="A7" t="s">
        <v>172</v>
      </c>
      <c r="B7" s="32" t="s">
        <v>165</v>
      </c>
      <c r="C7">
        <v>0.1</v>
      </c>
      <c r="D7">
        <v>0.39</v>
      </c>
      <c r="E7">
        <v>0</v>
      </c>
      <c r="F7">
        <v>0.37456320218828149</v>
      </c>
      <c r="G7">
        <v>0</v>
      </c>
      <c r="H7">
        <v>1</v>
      </c>
      <c r="I7" t="s">
        <v>170</v>
      </c>
      <c r="J7" t="str">
        <f>IF(Table3[[#This Row],[Item_C]]="Rockwell Indirect",
    IF(ISNUMBER(SEARCH("≥", Table3[[#This Row],[Main Name]])), "HIGH",
        IF(ISNUMBER(SEARCH("≤", Table3[[#This Row],[Main Name]])), "MID", "LOW")),
    "")</f>
        <v>HIGH</v>
      </c>
    </row>
    <row r="8" spans="1:10" x14ac:dyDescent="0.25">
      <c r="A8" t="s">
        <v>173</v>
      </c>
      <c r="B8" s="32" t="s">
        <v>165</v>
      </c>
      <c r="C8">
        <v>0.1</v>
      </c>
      <c r="D8">
        <v>0.39</v>
      </c>
      <c r="E8">
        <v>0</v>
      </c>
      <c r="F8">
        <v>0.37456320218828149</v>
      </c>
      <c r="G8">
        <v>0</v>
      </c>
      <c r="H8">
        <v>1</v>
      </c>
      <c r="I8" t="s">
        <v>174</v>
      </c>
      <c r="J8" s="31" t="str">
        <f>IF(Table3[[#This Row],[Item_C]]="Rockwell Indirect",
    IF(ISNUMBER(SEARCH("≥", Table3[[#This Row],[Main Name]])), "HIGH",
        IF(ISNUMBER(SEARCH("≤", Table3[[#This Row],[Main Name]])), "MID", "LOW")),
    "")</f>
        <v>LOW</v>
      </c>
    </row>
    <row r="9" spans="1:10" x14ac:dyDescent="0.25">
      <c r="A9" t="s">
        <v>175</v>
      </c>
      <c r="B9" s="32" t="s">
        <v>165</v>
      </c>
      <c r="C9">
        <v>0.1</v>
      </c>
      <c r="D9">
        <v>0.34</v>
      </c>
      <c r="E9">
        <v>0</v>
      </c>
      <c r="F9">
        <v>0.32526541844090873</v>
      </c>
      <c r="G9">
        <v>0</v>
      </c>
      <c r="H9">
        <v>1</v>
      </c>
      <c r="I9" t="s">
        <v>174</v>
      </c>
      <c r="J9" t="str">
        <f>IF(Table3[[#This Row],[Item_C]]="Rockwell Indirect",
    IF(ISNUMBER(SEARCH("≥", Table3[[#This Row],[Main Name]])), "HIGH",
        IF(ISNUMBER(SEARCH("≤", Table3[[#This Row],[Main Name]])), "MID", "LOW")),
    "")</f>
        <v>MID</v>
      </c>
    </row>
    <row r="10" spans="1:10" ht="15.75" thickBot="1" x14ac:dyDescent="0.3">
      <c r="A10" t="s">
        <v>176</v>
      </c>
      <c r="B10" s="32" t="s">
        <v>165</v>
      </c>
      <c r="C10">
        <v>0.1</v>
      </c>
      <c r="D10">
        <v>0.32</v>
      </c>
      <c r="E10">
        <v>0</v>
      </c>
      <c r="F10">
        <v>0.31543238963926873</v>
      </c>
      <c r="G10">
        <v>0</v>
      </c>
      <c r="H10">
        <v>1</v>
      </c>
      <c r="I10" t="s">
        <v>174</v>
      </c>
      <c r="J10" t="str">
        <f>IF(Table3[[#This Row],[Item_C]]="Rockwell Indirect",
    IF(ISNUMBER(SEARCH("≥", Table3[[#This Row],[Main Name]])), "HIGH",
        IF(ISNUMBER(SEARCH("≤", Table3[[#This Row],[Main Name]])), "MID", "LOW")),
    "")</f>
        <v>HIGH</v>
      </c>
    </row>
    <row r="11" spans="1:10" x14ac:dyDescent="0.25">
      <c r="A11" t="s">
        <v>177</v>
      </c>
      <c r="B11" s="32" t="s">
        <v>165</v>
      </c>
      <c r="C11">
        <v>0.1</v>
      </c>
      <c r="D11">
        <v>0.39</v>
      </c>
      <c r="E11">
        <v>0</v>
      </c>
      <c r="F11">
        <v>0.3646883497365106</v>
      </c>
      <c r="G11">
        <v>0</v>
      </c>
      <c r="H11">
        <v>1</v>
      </c>
      <c r="I11" t="s">
        <v>178</v>
      </c>
      <c r="J11" s="31" t="str">
        <f>IF(Table3[[#This Row],[Item_C]]="Rockwell Indirect",
    IF(ISNUMBER(SEARCH("≥", Table3[[#This Row],[Main Name]])), "HIGH",
        IF(ISNUMBER(SEARCH("≤", Table3[[#This Row],[Main Name]])), "MID", "LOW")),
    "")</f>
        <v>LOW</v>
      </c>
    </row>
    <row r="12" spans="1:10" x14ac:dyDescent="0.25">
      <c r="A12" t="s">
        <v>179</v>
      </c>
      <c r="B12" s="32" t="s">
        <v>165</v>
      </c>
      <c r="C12">
        <v>0.1</v>
      </c>
      <c r="D12">
        <v>0.49</v>
      </c>
      <c r="E12">
        <v>0</v>
      </c>
      <c r="F12">
        <v>0.48352620656334588</v>
      </c>
      <c r="G12">
        <v>0</v>
      </c>
      <c r="H12">
        <v>1</v>
      </c>
      <c r="I12" t="s">
        <v>178</v>
      </c>
      <c r="J12" t="str">
        <f>IF(Table3[[#This Row],[Item_C]]="Rockwell Indirect",
    IF(ISNUMBER(SEARCH("≥", Table3[[#This Row],[Main Name]])), "HIGH",
        IF(ISNUMBER(SEARCH("≤", Table3[[#This Row],[Main Name]])), "MID", "LOW")),
    "")</f>
        <v>MID</v>
      </c>
    </row>
    <row r="13" spans="1:10" ht="15.75" thickBot="1" x14ac:dyDescent="0.3">
      <c r="A13" t="s">
        <v>180</v>
      </c>
      <c r="B13" s="32" t="s">
        <v>165</v>
      </c>
      <c r="C13">
        <v>0.1</v>
      </c>
      <c r="D13">
        <v>0.49</v>
      </c>
      <c r="E13">
        <v>0</v>
      </c>
      <c r="F13">
        <v>0.48352620656334588</v>
      </c>
      <c r="G13">
        <v>0</v>
      </c>
      <c r="H13">
        <v>1</v>
      </c>
      <c r="I13" t="s">
        <v>178</v>
      </c>
      <c r="J13" t="str">
        <f>IF(Table3[[#This Row],[Item_C]]="Rockwell Indirect",
    IF(ISNUMBER(SEARCH("≥", Table3[[#This Row],[Main Name]])), "HIGH",
        IF(ISNUMBER(SEARCH("≤", Table3[[#This Row],[Main Name]])), "MID", "LOW")),
    "")</f>
        <v>HIGH</v>
      </c>
    </row>
    <row r="14" spans="1:10" x14ac:dyDescent="0.25">
      <c r="A14" t="s">
        <v>181</v>
      </c>
      <c r="B14" s="32" t="s">
        <v>165</v>
      </c>
      <c r="C14">
        <v>0.1</v>
      </c>
      <c r="D14">
        <v>0.28000000000000003</v>
      </c>
      <c r="E14">
        <v>0</v>
      </c>
      <c r="F14">
        <v>0.25670526374334329</v>
      </c>
      <c r="G14">
        <v>0</v>
      </c>
      <c r="H14">
        <v>1</v>
      </c>
      <c r="I14" t="s">
        <v>182</v>
      </c>
      <c r="J14" s="31" t="str">
        <f>IF(Table3[[#This Row],[Item_C]]="Rockwell Indirect",
    IF(ISNUMBER(SEARCH("≥", Table3[[#This Row],[Main Name]])), "HIGH",
        IF(ISNUMBER(SEARCH("≤", Table3[[#This Row],[Main Name]])), "MID", "LOW")),
    "")</f>
        <v>LOW</v>
      </c>
    </row>
    <row r="15" spans="1:10" x14ac:dyDescent="0.25">
      <c r="A15" t="s">
        <v>183</v>
      </c>
      <c r="B15" s="32" t="s">
        <v>165</v>
      </c>
      <c r="C15">
        <v>0.1</v>
      </c>
      <c r="D15">
        <v>0.47</v>
      </c>
      <c r="E15">
        <v>0</v>
      </c>
      <c r="F15">
        <v>0.4537593992784496</v>
      </c>
      <c r="G15">
        <v>0</v>
      </c>
      <c r="H15">
        <v>1</v>
      </c>
      <c r="I15" t="s">
        <v>182</v>
      </c>
      <c r="J15" t="str">
        <f>IF(Table3[[#This Row],[Item_C]]="Rockwell Indirect",
    IF(ISNUMBER(SEARCH("≥", Table3[[#This Row],[Main Name]])), "HIGH",
        IF(ISNUMBER(SEARCH("≤", Table3[[#This Row],[Main Name]])), "MID", "LOW")),
    "")</f>
        <v>MID</v>
      </c>
    </row>
    <row r="16" spans="1:10" ht="15.75" thickBot="1" x14ac:dyDescent="0.3">
      <c r="A16" t="s">
        <v>184</v>
      </c>
      <c r="B16" s="32" t="s">
        <v>165</v>
      </c>
      <c r="C16">
        <v>0.1</v>
      </c>
      <c r="D16">
        <v>0.45</v>
      </c>
      <c r="E16">
        <v>0</v>
      </c>
      <c r="F16">
        <v>0.44384410825597254</v>
      </c>
      <c r="G16">
        <v>0</v>
      </c>
      <c r="H16">
        <v>1</v>
      </c>
      <c r="I16" t="s">
        <v>182</v>
      </c>
      <c r="J16" t="str">
        <f>IF(Table3[[#This Row],[Item_C]]="Rockwell Indirect",
    IF(ISNUMBER(SEARCH("≥", Table3[[#This Row],[Main Name]])), "HIGH",
        IF(ISNUMBER(SEARCH("≤", Table3[[#This Row],[Main Name]])), "MID", "LOW")),
    "")</f>
        <v>HIGH</v>
      </c>
    </row>
    <row r="17" spans="1:10" x14ac:dyDescent="0.25">
      <c r="A17" t="s">
        <v>185</v>
      </c>
      <c r="B17" s="32" t="s">
        <v>165</v>
      </c>
      <c r="C17">
        <v>0.1</v>
      </c>
      <c r="D17">
        <v>0.45</v>
      </c>
      <c r="E17">
        <v>0</v>
      </c>
      <c r="F17">
        <v>0.44384410825597254</v>
      </c>
      <c r="G17">
        <v>0</v>
      </c>
      <c r="H17">
        <v>1</v>
      </c>
      <c r="I17" t="s">
        <v>186</v>
      </c>
      <c r="J17" s="31" t="str">
        <f>IF(Table3[[#This Row],[Item_C]]="Rockwell Indirect",
    IF(ISNUMBER(SEARCH("≥", Table3[[#This Row],[Main Name]])), "HIGH",
        IF(ISNUMBER(SEARCH("≤", Table3[[#This Row],[Main Name]])), "MID", "LOW")),
    "")</f>
        <v>LOW</v>
      </c>
    </row>
    <row r="18" spans="1:10" ht="15.75" thickBot="1" x14ac:dyDescent="0.3">
      <c r="A18" t="s">
        <v>187</v>
      </c>
      <c r="B18" s="32" t="s">
        <v>165</v>
      </c>
      <c r="C18">
        <v>0.1</v>
      </c>
      <c r="D18">
        <v>0.36</v>
      </c>
      <c r="E18">
        <v>0</v>
      </c>
      <c r="F18">
        <v>0.35482050734637566</v>
      </c>
      <c r="G18">
        <v>0</v>
      </c>
      <c r="H18">
        <v>1</v>
      </c>
      <c r="I18" t="s">
        <v>186</v>
      </c>
      <c r="J18" t="str">
        <f>IF(Table3[[#This Row],[Item_C]]="Rockwell Indirect",
    IF(ISNUMBER(SEARCH("≥", Table3[[#This Row],[Main Name]])), "HIGH",
        IF(ISNUMBER(SEARCH("≤", Table3[[#This Row],[Main Name]])), "MID", "LOW")),
    "")</f>
        <v>HIGH</v>
      </c>
    </row>
    <row r="19" spans="1:10" x14ac:dyDescent="0.25">
      <c r="A19" t="s">
        <v>188</v>
      </c>
      <c r="B19" s="32" t="s">
        <v>165</v>
      </c>
      <c r="C19">
        <v>0.1</v>
      </c>
      <c r="D19">
        <v>0.42</v>
      </c>
      <c r="E19">
        <v>0</v>
      </c>
      <c r="F19">
        <v>0.39433183035806213</v>
      </c>
      <c r="G19">
        <v>0</v>
      </c>
      <c r="H19">
        <v>1</v>
      </c>
      <c r="I19" t="s">
        <v>189</v>
      </c>
      <c r="J19" s="31" t="str">
        <f>IF(Table3[[#This Row],[Item_C]]="Rockwell Indirect",
    IF(ISNUMBER(SEARCH("≥", Table3[[#This Row],[Main Name]])), "HIGH",
        IF(ISNUMBER(SEARCH("≤", Table3[[#This Row],[Main Name]])), "MID", "LOW")),
    "")</f>
        <v>LOW</v>
      </c>
    </row>
    <row r="20" spans="1:10" x14ac:dyDescent="0.25">
      <c r="A20" t="s">
        <v>190</v>
      </c>
      <c r="B20" s="32" t="s">
        <v>165</v>
      </c>
      <c r="C20">
        <v>0.1</v>
      </c>
      <c r="D20">
        <v>0.42</v>
      </c>
      <c r="E20">
        <v>0</v>
      </c>
      <c r="F20">
        <v>0.40422468063385181</v>
      </c>
      <c r="G20">
        <v>0</v>
      </c>
      <c r="H20">
        <v>1</v>
      </c>
      <c r="I20" t="s">
        <v>189</v>
      </c>
      <c r="J20" t="str">
        <f>IF(Table3[[#This Row],[Item_C]]="Rockwell Indirect",
    IF(ISNUMBER(SEARCH("≥", Table3[[#This Row],[Main Name]])), "HIGH",
        IF(ISNUMBER(SEARCH("≤", Table3[[#This Row],[Main Name]])), "MID", "LOW")),
    "")</f>
        <v>MID</v>
      </c>
    </row>
    <row r="21" spans="1:10" ht="15.75" thickBot="1" x14ac:dyDescent="0.3">
      <c r="A21" t="s">
        <v>191</v>
      </c>
      <c r="B21" s="32" t="s">
        <v>165</v>
      </c>
      <c r="C21">
        <v>0.1</v>
      </c>
      <c r="D21">
        <v>0.51</v>
      </c>
      <c r="E21">
        <v>0</v>
      </c>
      <c r="F21">
        <v>0.50338612658032145</v>
      </c>
      <c r="G21">
        <v>0</v>
      </c>
      <c r="H21">
        <v>1</v>
      </c>
      <c r="I21" t="s">
        <v>189</v>
      </c>
      <c r="J21" t="str">
        <f>IF(Table3[[#This Row],[Item_C]]="Rockwell Indirect",
    IF(ISNUMBER(SEARCH("≥", Table3[[#This Row],[Main Name]])), "HIGH",
        IF(ISNUMBER(SEARCH("≤", Table3[[#This Row],[Main Name]])), "MID", "LOW")),
    "")</f>
        <v>HIGH</v>
      </c>
    </row>
    <row r="22" spans="1:10" x14ac:dyDescent="0.25">
      <c r="A22" t="s">
        <v>192</v>
      </c>
      <c r="B22" s="32" t="s">
        <v>165</v>
      </c>
      <c r="C22">
        <v>0.1</v>
      </c>
      <c r="D22">
        <v>0.3</v>
      </c>
      <c r="E22">
        <v>0</v>
      </c>
      <c r="F22">
        <v>0.26645373413322521</v>
      </c>
      <c r="G22">
        <v>0</v>
      </c>
      <c r="H22">
        <v>1</v>
      </c>
      <c r="I22" t="s">
        <v>193</v>
      </c>
      <c r="J22" s="31" t="str">
        <f>IF(Table3[[#This Row],[Item_C]]="Rockwell Indirect",
    IF(ISNUMBER(SEARCH("≥", Table3[[#This Row],[Main Name]])), "HIGH",
        IF(ISNUMBER(SEARCH("≤", Table3[[#This Row],[Main Name]])), "MID", "LOW")),
    "")</f>
        <v>LOW</v>
      </c>
    </row>
    <row r="23" spans="1:10" x14ac:dyDescent="0.25">
      <c r="A23" t="s">
        <v>194</v>
      </c>
      <c r="B23" s="32" t="s">
        <v>165</v>
      </c>
      <c r="C23">
        <v>0.1</v>
      </c>
      <c r="D23">
        <v>0.47</v>
      </c>
      <c r="E23">
        <v>0</v>
      </c>
      <c r="F23">
        <v>0.4537593992784496</v>
      </c>
      <c r="G23">
        <v>0</v>
      </c>
      <c r="H23">
        <v>1</v>
      </c>
      <c r="I23" t="s">
        <v>193</v>
      </c>
      <c r="J23" t="str">
        <f>IF(Table3[[#This Row],[Item_C]]="Rockwell Indirect",
    IF(ISNUMBER(SEARCH("≥", Table3[[#This Row],[Main Name]])), "HIGH",
        IF(ISNUMBER(SEARCH("≤", Table3[[#This Row],[Main Name]])), "MID", "LOW")),
    "")</f>
        <v>MID</v>
      </c>
    </row>
    <row r="24" spans="1:10" ht="15.75" thickBot="1" x14ac:dyDescent="0.3">
      <c r="A24" t="s">
        <v>195</v>
      </c>
      <c r="B24" s="32" t="s">
        <v>165</v>
      </c>
      <c r="C24">
        <v>0.1</v>
      </c>
      <c r="D24">
        <v>0.54</v>
      </c>
      <c r="E24">
        <v>0</v>
      </c>
      <c r="F24">
        <v>0.52325671752356839</v>
      </c>
      <c r="G24">
        <v>0</v>
      </c>
      <c r="H24">
        <v>1</v>
      </c>
      <c r="I24" t="s">
        <v>193</v>
      </c>
      <c r="J24" t="str">
        <f>IF(Table3[[#This Row],[Item_C]]="Rockwell Indirect",
    IF(ISNUMBER(SEARCH("≥", Table3[[#This Row],[Main Name]])), "HIGH",
        IF(ISNUMBER(SEARCH("≤", Table3[[#This Row],[Main Name]])), "MID", "LOW")),
    "")</f>
        <v>HIGH</v>
      </c>
    </row>
    <row r="25" spans="1:10" x14ac:dyDescent="0.25">
      <c r="A25" t="s">
        <v>196</v>
      </c>
      <c r="B25" s="32" t="s">
        <v>165</v>
      </c>
      <c r="C25">
        <v>0.1</v>
      </c>
      <c r="D25">
        <v>0.5</v>
      </c>
      <c r="E25">
        <v>0</v>
      </c>
      <c r="F25">
        <v>0.4736006676869654</v>
      </c>
      <c r="G25">
        <v>0</v>
      </c>
      <c r="H25">
        <v>1</v>
      </c>
      <c r="I25" t="s">
        <v>197</v>
      </c>
      <c r="J25" s="31" t="str">
        <f>IF(Table3[[#This Row],[Item_C]]="Rockwell Indirect",
    IF(ISNUMBER(SEARCH("≥", Table3[[#This Row],[Main Name]])), "HIGH",
        IF(ISNUMBER(SEARCH("≤", Table3[[#This Row],[Main Name]])), "MID", "LOW")),
    "")</f>
        <v>LOW</v>
      </c>
    </row>
    <row r="26" spans="1:10" x14ac:dyDescent="0.25">
      <c r="A26" t="s">
        <v>198</v>
      </c>
      <c r="B26" s="32" t="s">
        <v>165</v>
      </c>
      <c r="C26">
        <v>0.1</v>
      </c>
      <c r="D26">
        <v>0.25</v>
      </c>
      <c r="E26">
        <v>0</v>
      </c>
      <c r="F26">
        <v>0.21793942377077957</v>
      </c>
      <c r="G26">
        <v>0</v>
      </c>
      <c r="H26">
        <v>1</v>
      </c>
      <c r="I26" t="s">
        <v>197</v>
      </c>
      <c r="J26" t="str">
        <f>IF(Table3[[#This Row],[Item_C]]="Rockwell Indirect",
    IF(ISNUMBER(SEARCH("≥", Table3[[#This Row],[Main Name]])), "HIGH",
        IF(ISNUMBER(SEARCH("≤", Table3[[#This Row],[Main Name]])), "MID", "LOW")),
    "")</f>
        <v>MID</v>
      </c>
    </row>
    <row r="27" spans="1:10" ht="15.75" thickBot="1" x14ac:dyDescent="0.3">
      <c r="A27" t="s">
        <v>199</v>
      </c>
      <c r="B27" s="32" t="s">
        <v>165</v>
      </c>
      <c r="C27">
        <v>0.1</v>
      </c>
      <c r="D27">
        <v>0.2</v>
      </c>
      <c r="E27">
        <v>0</v>
      </c>
      <c r="F27">
        <v>0.17971530940223054</v>
      </c>
      <c r="G27">
        <v>0</v>
      </c>
      <c r="H27">
        <v>1</v>
      </c>
      <c r="I27" t="s">
        <v>197</v>
      </c>
      <c r="J27" t="str">
        <f>IF(Table3[[#This Row],[Item_C]]="Rockwell Indirect",
    IF(ISNUMBER(SEARCH("≥", Table3[[#This Row],[Main Name]])), "HIGH",
        IF(ISNUMBER(SEARCH("≤", Table3[[#This Row],[Main Name]])), "MID", "LOW")),
    "")</f>
        <v>HIGH</v>
      </c>
    </row>
    <row r="28" spans="1:10" x14ac:dyDescent="0.25">
      <c r="A28" t="s">
        <v>200</v>
      </c>
      <c r="B28" s="32" t="s">
        <v>165</v>
      </c>
      <c r="C28">
        <v>0.1</v>
      </c>
      <c r="D28">
        <v>0.45</v>
      </c>
      <c r="E28">
        <v>0</v>
      </c>
      <c r="F28">
        <v>0.4141226779995747</v>
      </c>
      <c r="G28">
        <v>0</v>
      </c>
      <c r="H28">
        <v>1</v>
      </c>
      <c r="I28" t="s">
        <v>201</v>
      </c>
      <c r="J28" s="31" t="str">
        <f>IF(Table3[[#This Row],[Item_C]]="Rockwell Indirect",
    IF(ISNUMBER(SEARCH("≥", Table3[[#This Row],[Main Name]])), "HIGH",
        IF(ISNUMBER(SEARCH("≤", Table3[[#This Row],[Main Name]])), "MID", "LOW")),
    "")</f>
        <v>LOW</v>
      </c>
    </row>
    <row r="29" spans="1:10" x14ac:dyDescent="0.25">
      <c r="A29" t="s">
        <v>202</v>
      </c>
      <c r="B29" s="32" t="s">
        <v>165</v>
      </c>
      <c r="C29">
        <v>0.1</v>
      </c>
      <c r="D29">
        <v>0.39</v>
      </c>
      <c r="E29">
        <v>0</v>
      </c>
      <c r="F29">
        <v>0.3646883497365106</v>
      </c>
      <c r="G29">
        <v>0</v>
      </c>
      <c r="H29">
        <v>1</v>
      </c>
      <c r="I29" t="s">
        <v>201</v>
      </c>
      <c r="J29" t="str">
        <f>IF(Table3[[#This Row],[Item_C]]="Rockwell Indirect",
    IF(ISNUMBER(SEARCH("≥", Table3[[#This Row],[Main Name]])), "HIGH",
        IF(ISNUMBER(SEARCH("≤", Table3[[#This Row],[Main Name]])), "MID", "LOW")),
    "")</f>
        <v>MID</v>
      </c>
    </row>
    <row r="30" spans="1:10" ht="15.75" thickBot="1" x14ac:dyDescent="0.3">
      <c r="A30" t="s">
        <v>203</v>
      </c>
      <c r="B30" s="32" t="s">
        <v>165</v>
      </c>
      <c r="C30">
        <v>0.1</v>
      </c>
      <c r="D30">
        <v>0.32</v>
      </c>
      <c r="E30">
        <v>0</v>
      </c>
      <c r="F30">
        <v>0.29579991959691171</v>
      </c>
      <c r="G30">
        <v>0</v>
      </c>
      <c r="H30">
        <v>1</v>
      </c>
      <c r="I30" t="s">
        <v>201</v>
      </c>
      <c r="J30" t="str">
        <f>IF(Table3[[#This Row],[Item_C]]="Rockwell Indirect",
    IF(ISNUMBER(SEARCH("≥", Table3[[#This Row],[Main Name]])), "HIGH",
        IF(ISNUMBER(SEARCH("≤", Table3[[#This Row],[Main Name]])), "MID", "LOW")),
    "")</f>
        <v>HIGH</v>
      </c>
    </row>
    <row r="31" spans="1:10" x14ac:dyDescent="0.25">
      <c r="A31" t="s">
        <v>204</v>
      </c>
      <c r="B31" s="32" t="s">
        <v>165</v>
      </c>
      <c r="C31">
        <v>0.1</v>
      </c>
      <c r="D31">
        <v>0.57999999999999996</v>
      </c>
      <c r="E31">
        <v>0</v>
      </c>
      <c r="F31">
        <v>0.55308009585731743</v>
      </c>
      <c r="G31">
        <v>0</v>
      </c>
      <c r="H31">
        <v>1</v>
      </c>
      <c r="I31" t="s">
        <v>205</v>
      </c>
      <c r="J31" s="31" t="str">
        <f>IF(Table3[[#This Row],[Item_C]]="Rockwell Indirect",
    IF(ISNUMBER(SEARCH("≥", Table3[[#This Row],[Main Name]])), "HIGH",
        IF(ISNUMBER(SEARCH("≤", Table3[[#This Row],[Main Name]])), "MID", "LOW")),
    "")</f>
        <v>LOW</v>
      </c>
    </row>
    <row r="32" spans="1:10" x14ac:dyDescent="0.25">
      <c r="A32" t="s">
        <v>206</v>
      </c>
      <c r="B32" s="32" t="s">
        <v>165</v>
      </c>
      <c r="C32">
        <v>0.1</v>
      </c>
      <c r="D32">
        <v>0.64</v>
      </c>
      <c r="E32">
        <v>0</v>
      </c>
      <c r="F32">
        <v>0.62273396601882847</v>
      </c>
      <c r="G32">
        <v>0</v>
      </c>
      <c r="H32">
        <v>1</v>
      </c>
      <c r="I32" t="s">
        <v>205</v>
      </c>
      <c r="J32" t="str">
        <f>IF(Table3[[#This Row],[Item_C]]="Rockwell Indirect",
    IF(ISNUMBER(SEARCH("≥", Table3[[#This Row],[Main Name]])), "HIGH",
        IF(ISNUMBER(SEARCH("≤", Table3[[#This Row],[Main Name]])), "MID", "LOW")),
    "")</f>
        <v>MID</v>
      </c>
    </row>
    <row r="33" spans="1:10" ht="15.75" thickBot="1" x14ac:dyDescent="0.3">
      <c r="A33" t="s">
        <v>207</v>
      </c>
      <c r="B33" s="32" t="s">
        <v>165</v>
      </c>
      <c r="C33">
        <v>0.1</v>
      </c>
      <c r="D33">
        <v>0.22</v>
      </c>
      <c r="E33">
        <v>0</v>
      </c>
      <c r="F33">
        <v>0.19874001216045914</v>
      </c>
      <c r="G33">
        <v>0</v>
      </c>
      <c r="H33">
        <v>1</v>
      </c>
      <c r="I33" t="s">
        <v>205</v>
      </c>
      <c r="J33" t="str">
        <f>IF(Table3[[#This Row],[Item_C]]="Rockwell Indirect",
    IF(ISNUMBER(SEARCH("≥", Table3[[#This Row],[Main Name]])), "HIGH",
        IF(ISNUMBER(SEARCH("≤", Table3[[#This Row],[Main Name]])), "MID", "LOW")),
    "")</f>
        <v>HIGH</v>
      </c>
    </row>
    <row r="34" spans="1:10" x14ac:dyDescent="0.25">
      <c r="A34" t="s">
        <v>208</v>
      </c>
      <c r="B34" s="32" t="s">
        <v>165</v>
      </c>
      <c r="C34">
        <v>0.1</v>
      </c>
      <c r="D34">
        <v>0.7</v>
      </c>
      <c r="E34">
        <v>0</v>
      </c>
      <c r="F34">
        <v>0.68249365743099732</v>
      </c>
      <c r="G34">
        <v>0</v>
      </c>
      <c r="H34">
        <v>1</v>
      </c>
      <c r="I34" t="s">
        <v>209</v>
      </c>
      <c r="J34" s="31" t="str">
        <f>IF(Table3[[#This Row],[Item_C]]="Rockwell Indirect",
    IF(ISNUMBER(SEARCH("≥", Table3[[#This Row],[Main Name]])), "HIGH",
        IF(ISNUMBER(SEARCH("≤", Table3[[#This Row],[Main Name]])), "MID", "LOW")),
    "")</f>
        <v>LOW</v>
      </c>
    </row>
    <row r="35" spans="1:10" x14ac:dyDescent="0.25">
      <c r="A35" t="s">
        <v>210</v>
      </c>
      <c r="B35" s="32" t="s">
        <v>165</v>
      </c>
      <c r="C35">
        <v>0.1</v>
      </c>
      <c r="D35">
        <v>0.41</v>
      </c>
      <c r="E35">
        <v>0</v>
      </c>
      <c r="F35">
        <v>0.38444452452016981</v>
      </c>
      <c r="G35">
        <v>0</v>
      </c>
      <c r="H35">
        <v>1</v>
      </c>
      <c r="I35" t="s">
        <v>209</v>
      </c>
      <c r="J35" t="str">
        <f>IF(Table3[[#This Row],[Item_C]]="Rockwell Indirect",
    IF(ISNUMBER(SEARCH("≥", Table3[[#This Row],[Main Name]])), "HIGH",
        IF(ISNUMBER(SEARCH("≤", Table3[[#This Row],[Main Name]])), "MID", "LOW")),
    "")</f>
        <v>MID</v>
      </c>
    </row>
    <row r="36" spans="1:10" ht="15.75" thickBot="1" x14ac:dyDescent="0.3">
      <c r="A36" t="s">
        <v>211</v>
      </c>
      <c r="B36" s="32" t="s">
        <v>165</v>
      </c>
      <c r="C36">
        <v>0.1</v>
      </c>
      <c r="D36">
        <v>0.39</v>
      </c>
      <c r="E36">
        <v>0</v>
      </c>
      <c r="F36">
        <v>0.37456320218828149</v>
      </c>
      <c r="G36">
        <v>0</v>
      </c>
      <c r="H36">
        <v>1</v>
      </c>
      <c r="I36" t="s">
        <v>209</v>
      </c>
      <c r="J36" t="str">
        <f>IF(Table3[[#This Row],[Item_C]]="Rockwell Indirect",
    IF(ISNUMBER(SEARCH("≥", Table3[[#This Row],[Main Name]])), "HIGH",
        IF(ISNUMBER(SEARCH("≤", Table3[[#This Row],[Main Name]])), "MID", "LOW")),
    "")</f>
        <v>HIGH</v>
      </c>
    </row>
    <row r="37" spans="1:10" x14ac:dyDescent="0.25">
      <c r="A37" t="s">
        <v>212</v>
      </c>
      <c r="B37" s="32" t="s">
        <v>165</v>
      </c>
      <c r="C37">
        <v>0.1</v>
      </c>
      <c r="D37">
        <v>0.44</v>
      </c>
      <c r="E37">
        <v>0</v>
      </c>
      <c r="G37">
        <v>0</v>
      </c>
      <c r="H37">
        <v>1</v>
      </c>
      <c r="I37" t="s">
        <v>213</v>
      </c>
      <c r="J37" s="31" t="str">
        <f>IF(Table3[[#This Row],[Item_C]]="Rockwell Indirect",
    IF(ISNUMBER(SEARCH("≥", Table3[[#This Row],[Main Name]])), "HIGH",
        IF(ISNUMBER(SEARCH("≤", Table3[[#This Row],[Main Name]])), "MID", "LOW")),
    "")</f>
        <v>MID</v>
      </c>
    </row>
    <row r="38" spans="1:10" ht="15.75" thickBot="1" x14ac:dyDescent="0.3">
      <c r="A38" t="s">
        <v>214</v>
      </c>
      <c r="B38" s="33" t="s">
        <v>165</v>
      </c>
      <c r="C38" s="34">
        <v>0.1</v>
      </c>
      <c r="D38" s="34">
        <v>0.55000000000000004</v>
      </c>
      <c r="E38" s="34">
        <v>0</v>
      </c>
      <c r="F38" s="34"/>
      <c r="G38" s="34">
        <v>0</v>
      </c>
      <c r="H38" s="34">
        <v>1</v>
      </c>
      <c r="I38" s="34" t="s">
        <v>213</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6"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N20" sqref="N20"/>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215</v>
      </c>
      <c r="B2" s="84" t="s">
        <v>216</v>
      </c>
      <c r="C2" s="84" t="s">
        <v>217</v>
      </c>
      <c r="D2" s="85" t="s">
        <v>218</v>
      </c>
      <c r="H2" s="17" t="s">
        <v>63</v>
      </c>
      <c r="M2" s="17" t="s">
        <v>81</v>
      </c>
      <c r="R2" s="17" t="s">
        <v>105</v>
      </c>
      <c r="S2" s="17"/>
      <c r="T2" s="17"/>
      <c r="U2" s="17"/>
    </row>
    <row r="3" spans="1:21" ht="15.75" thickTop="1" x14ac:dyDescent="0.25">
      <c r="A3" t="s">
        <v>65</v>
      </c>
      <c r="B3" t="s">
        <v>219</v>
      </c>
      <c r="C3" t="s">
        <v>220</v>
      </c>
      <c r="D3" t="s">
        <v>221</v>
      </c>
      <c r="E3" t="s">
        <v>222</v>
      </c>
      <c r="F3" t="s">
        <v>223</v>
      </c>
      <c r="H3" t="s">
        <v>65</v>
      </c>
      <c r="I3" t="s">
        <v>216</v>
      </c>
      <c r="J3" t="s">
        <v>217</v>
      </c>
      <c r="K3" t="s">
        <v>218</v>
      </c>
      <c r="M3" t="s">
        <v>24</v>
      </c>
      <c r="N3" t="s">
        <v>216</v>
      </c>
      <c r="O3" t="s">
        <v>217</v>
      </c>
      <c r="P3" t="s">
        <v>218</v>
      </c>
      <c r="R3"/>
      <c r="S3"/>
      <c r="T3"/>
      <c r="U3"/>
    </row>
    <row r="4" spans="1:21" x14ac:dyDescent="0.25">
      <c r="A4" t="s">
        <v>166</v>
      </c>
      <c r="B4" t="str">
        <f>"&lt; "&amp;Thresholds[[#This Row],[Threshold1]]</f>
        <v>&lt; 70</v>
      </c>
      <c r="C4" t="str">
        <f>"≥ "&amp;Thresholds[[#This Row],[Threshold1]]&amp;" and &lt; "&amp;Thresholds[[#This Row],[Threshold2]]</f>
        <v>≥ 70 and &lt; 80</v>
      </c>
      <c r="D4" t="str">
        <f>"≥ "&amp;Thresholds[[#This Row],[Threshold2]]</f>
        <v>≥ 80</v>
      </c>
      <c r="E4">
        <v>70</v>
      </c>
      <c r="F4">
        <v>80</v>
      </c>
      <c r="H4" t="s">
        <v>166</v>
      </c>
      <c r="I4">
        <v>1</v>
      </c>
      <c r="J4">
        <v>1</v>
      </c>
      <c r="K4">
        <v>0.5</v>
      </c>
      <c r="M4" t="s">
        <v>166</v>
      </c>
      <c r="N4">
        <v>2</v>
      </c>
      <c r="O4">
        <v>1.5</v>
      </c>
      <c r="P4">
        <v>1</v>
      </c>
      <c r="R4"/>
      <c r="S4"/>
      <c r="T4"/>
      <c r="U4"/>
    </row>
    <row r="5" spans="1:21" x14ac:dyDescent="0.25">
      <c r="A5" t="s">
        <v>170</v>
      </c>
      <c r="B5" t="str">
        <f>"&lt; "&amp;Thresholds[[#This Row],[Threshold1]]</f>
        <v>&lt; 60</v>
      </c>
      <c r="C5" t="str">
        <f>"≥ "&amp;Thresholds[[#This Row],[Threshold1]]&amp;" and &lt; "&amp;Thresholds[[#This Row],[Threshold2]]</f>
        <v>≥ 60 and &lt; 88</v>
      </c>
      <c r="D5" t="str">
        <f>"≥ "&amp;Thresholds[[#This Row],[Threshold2]]</f>
        <v>≥ 88</v>
      </c>
      <c r="E5">
        <v>60</v>
      </c>
      <c r="F5">
        <v>88</v>
      </c>
      <c r="H5" t="s">
        <v>170</v>
      </c>
      <c r="I5">
        <v>2.5</v>
      </c>
      <c r="J5">
        <v>2.5</v>
      </c>
      <c r="K5">
        <v>1</v>
      </c>
      <c r="M5" t="s">
        <v>170</v>
      </c>
      <c r="N5">
        <v>2</v>
      </c>
      <c r="O5">
        <v>1.5</v>
      </c>
      <c r="P5">
        <v>1.5</v>
      </c>
      <c r="R5"/>
      <c r="S5"/>
      <c r="T5"/>
      <c r="U5"/>
    </row>
    <row r="6" spans="1:21" x14ac:dyDescent="0.25">
      <c r="A6" t="s">
        <v>174</v>
      </c>
      <c r="B6" t="str">
        <f>"&lt; "&amp;Thresholds[[#This Row],[Threshold1]]</f>
        <v>&lt; 35</v>
      </c>
      <c r="C6" t="str">
        <f>"≥ "&amp;Thresholds[[#This Row],[Threshold1]]&amp;" and &lt; "&amp;Thresholds[[#This Row],[Threshold2]]</f>
        <v>≥ 35 and &lt; 60</v>
      </c>
      <c r="D6" t="str">
        <f>"≥ "&amp;Thresholds[[#This Row],[Threshold2]]</f>
        <v>≥ 60</v>
      </c>
      <c r="E6">
        <v>35</v>
      </c>
      <c r="F6">
        <v>60</v>
      </c>
      <c r="H6" t="s">
        <v>174</v>
      </c>
      <c r="I6">
        <v>1</v>
      </c>
      <c r="J6">
        <v>1</v>
      </c>
      <c r="K6">
        <v>0.5</v>
      </c>
      <c r="M6" t="s">
        <v>174</v>
      </c>
      <c r="N6">
        <v>2</v>
      </c>
      <c r="O6">
        <v>1.5</v>
      </c>
      <c r="P6">
        <v>1</v>
      </c>
      <c r="R6"/>
      <c r="S6"/>
      <c r="T6"/>
      <c r="U6"/>
    </row>
    <row r="7" spans="1:21" x14ac:dyDescent="0.25">
      <c r="A7" t="s">
        <v>178</v>
      </c>
      <c r="B7" t="str">
        <f>"&lt; "&amp;Thresholds[[#This Row],[Threshold1]]</f>
        <v>&lt; 84</v>
      </c>
      <c r="C7" t="str">
        <f>"≥ "&amp;Thresholds[[#This Row],[Threshold1]]&amp;" and &lt; "&amp;Thresholds[[#This Row],[Threshold2]]</f>
        <v>≥ 84 and &lt; 93</v>
      </c>
      <c r="D7" t="str">
        <f>"≥ "&amp;Thresholds[[#This Row],[Threshold2]]</f>
        <v>≥ 93</v>
      </c>
      <c r="E7">
        <v>84</v>
      </c>
      <c r="F7">
        <v>93</v>
      </c>
      <c r="H7" t="s">
        <v>178</v>
      </c>
      <c r="I7">
        <v>1</v>
      </c>
      <c r="J7">
        <v>1</v>
      </c>
      <c r="K7">
        <v>1</v>
      </c>
      <c r="M7" t="s">
        <v>178</v>
      </c>
      <c r="N7">
        <v>1.5</v>
      </c>
      <c r="O7">
        <v>1.5</v>
      </c>
      <c r="P7">
        <v>1</v>
      </c>
      <c r="R7"/>
      <c r="S7"/>
      <c r="T7"/>
      <c r="U7"/>
    </row>
    <row r="8" spans="1:21" x14ac:dyDescent="0.25">
      <c r="A8" t="s">
        <v>182</v>
      </c>
      <c r="B8" t="str">
        <f>"&lt; "&amp;Thresholds[[#This Row],[Threshold1]]</f>
        <v>&lt; 80</v>
      </c>
      <c r="C8" t="str">
        <f>"≥ "&amp;Thresholds[[#This Row],[Threshold1]]&amp;" and &lt; "&amp;Thresholds[[#This Row],[Threshold2]]</f>
        <v>≥ 80 and &lt; 94</v>
      </c>
      <c r="D8" t="str">
        <f>"≥ "&amp;Thresholds[[#This Row],[Threshold2]]</f>
        <v>≥ 94</v>
      </c>
      <c r="E8">
        <v>80</v>
      </c>
      <c r="F8">
        <v>94</v>
      </c>
      <c r="H8" t="s">
        <v>182</v>
      </c>
      <c r="I8">
        <v>1</v>
      </c>
      <c r="J8">
        <v>1</v>
      </c>
      <c r="K8">
        <v>1</v>
      </c>
      <c r="M8" t="s">
        <v>182</v>
      </c>
      <c r="N8">
        <v>1.5</v>
      </c>
      <c r="O8">
        <v>1.5</v>
      </c>
      <c r="P8">
        <v>1</v>
      </c>
      <c r="R8"/>
      <c r="S8"/>
      <c r="T8"/>
      <c r="U8"/>
    </row>
    <row r="9" spans="1:21" x14ac:dyDescent="0.25">
      <c r="A9" t="s">
        <v>186</v>
      </c>
      <c r="B9" t="str">
        <f>"&lt; "&amp;Thresholds[[#This Row],[Threshold1]]</f>
        <v>&lt; 96</v>
      </c>
      <c r="C9" t="s">
        <v>224</v>
      </c>
      <c r="D9" t="str">
        <f>"≥ "&amp;Thresholds[[#This Row],[Threshold2]]</f>
        <v>≥ 96</v>
      </c>
      <c r="E9">
        <v>96</v>
      </c>
      <c r="F9">
        <v>96</v>
      </c>
      <c r="H9" t="s">
        <v>186</v>
      </c>
      <c r="I9">
        <v>1</v>
      </c>
      <c r="J9" t="e">
        <v>#N/A</v>
      </c>
      <c r="K9">
        <v>1</v>
      </c>
      <c r="M9" t="s">
        <v>186</v>
      </c>
      <c r="N9">
        <v>2</v>
      </c>
      <c r="O9" t="e">
        <v>#N/A</v>
      </c>
      <c r="P9">
        <v>1.5</v>
      </c>
      <c r="R9"/>
      <c r="S9"/>
      <c r="T9"/>
      <c r="U9"/>
    </row>
    <row r="10" spans="1:21" x14ac:dyDescent="0.25">
      <c r="A10" t="s">
        <v>189</v>
      </c>
      <c r="B10" t="str">
        <f>"&lt; "&amp;Thresholds[[#This Row],[Threshold1]]</f>
        <v>&lt; 78</v>
      </c>
      <c r="C10" t="str">
        <f>"≥ "&amp;Thresholds[[#This Row],[Threshold1]]&amp;" and &lt; "&amp;Thresholds[[#This Row],[Threshold2]]</f>
        <v>≥ 78 and &lt; 90</v>
      </c>
      <c r="D10" t="str">
        <f>"≥ "&amp;Thresholds[[#This Row],[Threshold2]]</f>
        <v>≥ 90</v>
      </c>
      <c r="E10">
        <v>78</v>
      </c>
      <c r="F10">
        <v>90</v>
      </c>
      <c r="H10" t="s">
        <v>189</v>
      </c>
      <c r="I10">
        <v>1</v>
      </c>
      <c r="J10">
        <v>1</v>
      </c>
      <c r="K10">
        <v>0.7</v>
      </c>
      <c r="M10" t="s">
        <v>189</v>
      </c>
      <c r="N10">
        <v>2</v>
      </c>
      <c r="O10">
        <v>1.5</v>
      </c>
      <c r="P10">
        <v>1</v>
      </c>
      <c r="R10"/>
      <c r="S10"/>
      <c r="T10"/>
      <c r="U10"/>
    </row>
    <row r="11" spans="1:21" x14ac:dyDescent="0.25">
      <c r="A11" t="s">
        <v>193</v>
      </c>
      <c r="B11" t="str">
        <f>"&lt; "&amp;Thresholds[[#This Row],[Threshold1]]</f>
        <v>&lt; 55</v>
      </c>
      <c r="C11" t="str">
        <f>"≥ "&amp;Thresholds[[#This Row],[Threshold1]]&amp;" and &lt; "&amp;Thresholds[[#This Row],[Threshold2]]</f>
        <v>≥ 55 and &lt; 77</v>
      </c>
      <c r="D11" t="str">
        <f>"≥ "&amp;Thresholds[[#This Row],[Threshold2]]</f>
        <v>≥ 77</v>
      </c>
      <c r="E11">
        <v>55</v>
      </c>
      <c r="F11">
        <v>77</v>
      </c>
      <c r="H11" t="s">
        <v>193</v>
      </c>
      <c r="I11">
        <v>1</v>
      </c>
      <c r="J11">
        <v>1</v>
      </c>
      <c r="K11">
        <v>0.7</v>
      </c>
      <c r="M11" t="s">
        <v>193</v>
      </c>
      <c r="N11">
        <v>2</v>
      </c>
      <c r="O11">
        <v>1.5</v>
      </c>
      <c r="P11">
        <v>1</v>
      </c>
      <c r="R11"/>
      <c r="S11"/>
      <c r="T11"/>
      <c r="U11"/>
    </row>
    <row r="12" spans="1:21" x14ac:dyDescent="0.25">
      <c r="A12" t="s">
        <v>197</v>
      </c>
      <c r="B12" t="str">
        <f>"&lt; "&amp;Thresholds[[#This Row],[Threshold1]]</f>
        <v>&lt; 37</v>
      </c>
      <c r="C12" t="str">
        <f>"≥ "&amp;Thresholds[[#This Row],[Threshold1]]&amp;" and &lt; "&amp;Thresholds[[#This Row],[Threshold2]]</f>
        <v>≥ 37 and &lt; 66</v>
      </c>
      <c r="D12" t="str">
        <f>"≥ "&amp;Thresholds[[#This Row],[Threshold2]]</f>
        <v>≥ 66</v>
      </c>
      <c r="E12">
        <v>37</v>
      </c>
      <c r="F12">
        <v>66</v>
      </c>
      <c r="H12" t="s">
        <v>197</v>
      </c>
      <c r="I12">
        <v>1</v>
      </c>
      <c r="J12">
        <v>1</v>
      </c>
      <c r="K12">
        <v>0.7</v>
      </c>
      <c r="M12" t="s">
        <v>197</v>
      </c>
      <c r="N12">
        <v>2</v>
      </c>
      <c r="O12">
        <v>1.5</v>
      </c>
      <c r="P12">
        <v>1</v>
      </c>
      <c r="R12"/>
      <c r="S12"/>
      <c r="T12"/>
      <c r="U12"/>
    </row>
    <row r="13" spans="1:21" x14ac:dyDescent="0.25">
      <c r="A13" t="s">
        <v>201</v>
      </c>
      <c r="B13" t="str">
        <f>"&lt; "&amp;Thresholds[[#This Row],[Threshold1]]</f>
        <v>&lt; 81</v>
      </c>
      <c r="C13" t="str">
        <f>"≥ "&amp;Thresholds[[#This Row],[Threshold1]]&amp;" and &lt; "&amp;Thresholds[[#This Row],[Threshold2]]</f>
        <v>≥ 81 and &lt; 87</v>
      </c>
      <c r="D13" t="str">
        <f>"≥ "&amp;Thresholds[[#This Row],[Threshold2]]</f>
        <v>≥ 87</v>
      </c>
      <c r="E13">
        <v>81</v>
      </c>
      <c r="F13">
        <v>87</v>
      </c>
      <c r="H13" t="s">
        <v>201</v>
      </c>
      <c r="I13">
        <v>1.5</v>
      </c>
      <c r="J13">
        <v>1</v>
      </c>
      <c r="K13">
        <v>1</v>
      </c>
      <c r="M13" t="s">
        <v>201</v>
      </c>
      <c r="N13">
        <v>2</v>
      </c>
      <c r="O13">
        <v>1.5</v>
      </c>
      <c r="P13">
        <v>1.5</v>
      </c>
      <c r="R13"/>
      <c r="S13"/>
      <c r="T13"/>
      <c r="U13"/>
    </row>
    <row r="14" spans="1:21" x14ac:dyDescent="0.25">
      <c r="A14" t="s">
        <v>205</v>
      </c>
      <c r="B14" t="str">
        <f>"&lt; "&amp;Thresholds[[#This Row],[Threshold1]]</f>
        <v>&lt; 57</v>
      </c>
      <c r="C14" t="str">
        <f>"≥ "&amp;Thresholds[[#This Row],[Threshold1]]&amp;" and &lt; "&amp;Thresholds[[#This Row],[Threshold2]]</f>
        <v>≥ 57 and &lt; 70</v>
      </c>
      <c r="D14" t="str">
        <f>"≥ "&amp;Thresholds[[#This Row],[Threshold2]]</f>
        <v>≥ 70</v>
      </c>
      <c r="E14">
        <v>57</v>
      </c>
      <c r="F14">
        <v>70</v>
      </c>
      <c r="H14" t="s">
        <v>205</v>
      </c>
      <c r="I14">
        <v>1.5</v>
      </c>
      <c r="J14">
        <v>1</v>
      </c>
      <c r="K14">
        <v>1</v>
      </c>
      <c r="M14" t="s">
        <v>205</v>
      </c>
      <c r="N14">
        <v>2</v>
      </c>
      <c r="O14">
        <v>1.5</v>
      </c>
      <c r="P14">
        <v>1.5</v>
      </c>
      <c r="R14"/>
      <c r="S14"/>
      <c r="T14"/>
      <c r="U14"/>
    </row>
    <row r="15" spans="1:21" x14ac:dyDescent="0.25">
      <c r="A15" t="s">
        <v>209</v>
      </c>
      <c r="B15" t="str">
        <f>"&lt; "&amp;Thresholds[[#This Row],[Threshold1]]</f>
        <v>&lt; 33</v>
      </c>
      <c r="C15" t="str">
        <f>"≥ "&amp;Thresholds[[#This Row],[Threshold1]]&amp;" and &lt; "&amp;Thresholds[[#This Row],[Threshold2]]</f>
        <v>≥ 33 and &lt; 53</v>
      </c>
      <c r="D15" t="str">
        <f>"≥ "&amp;Thresholds[[#This Row],[Threshold2]]</f>
        <v>≥ 53</v>
      </c>
      <c r="E15">
        <v>33</v>
      </c>
      <c r="F15">
        <v>53</v>
      </c>
      <c r="H15" t="s">
        <v>209</v>
      </c>
      <c r="I15">
        <v>1.5</v>
      </c>
      <c r="J15">
        <v>1</v>
      </c>
      <c r="K15">
        <v>1</v>
      </c>
      <c r="M15" t="s">
        <v>209</v>
      </c>
      <c r="N15">
        <v>2</v>
      </c>
      <c r="O15">
        <v>1.5</v>
      </c>
      <c r="P15">
        <v>1.5</v>
      </c>
      <c r="R15"/>
      <c r="S15"/>
      <c r="U15"/>
    </row>
    <row r="16" spans="1:21" x14ac:dyDescent="0.25">
      <c r="A16" t="s">
        <v>213</v>
      </c>
      <c r="B16" t="s">
        <v>224</v>
      </c>
      <c r="C16" t="str">
        <f>"≥ "&amp;Thresholds[[#This Row],[Threshold1]]&amp;" and &lt; "&amp;Thresholds[[#This Row],[Threshold2]]</f>
        <v>≥ 80 and &lt; 91</v>
      </c>
      <c r="D16" t="str">
        <f>"≥ "&amp;Thresholds[[#This Row],[Threshold2]]</f>
        <v>≥ 91</v>
      </c>
      <c r="E16">
        <v>80</v>
      </c>
      <c r="F16">
        <v>91</v>
      </c>
      <c r="H16" t="s">
        <v>213</v>
      </c>
      <c r="I16" t="e">
        <v>#N/A</v>
      </c>
      <c r="J16">
        <v>1</v>
      </c>
      <c r="K16">
        <v>1</v>
      </c>
      <c r="M16" t="s">
        <v>213</v>
      </c>
      <c r="N16" t="e">
        <f>NA()</f>
        <v>#N/A</v>
      </c>
      <c r="O16">
        <v>2</v>
      </c>
      <c r="P16">
        <v>2</v>
      </c>
      <c r="R16"/>
      <c r="T16"/>
      <c r="U16"/>
    </row>
  </sheetData>
  <phoneticPr fontId="31" type="noConversion"/>
  <conditionalFormatting sqref="B4:D16">
    <cfRule type="cellIs" dxfId="5" priority="7" operator="equal">
      <formula>"no test"</formula>
    </cfRule>
  </conditionalFormatting>
  <conditionalFormatting sqref="I4:K16">
    <cfRule type="cellIs" dxfId="4" priority="6" operator="equal">
      <formula>""</formula>
    </cfRule>
  </conditionalFormatting>
  <conditionalFormatting sqref="N4:P16">
    <cfRule type="cellIs" dxfId="3" priority="5" operator="equal">
      <formula>""</formula>
    </cfRule>
  </conditionalFormatting>
  <conditionalFormatting sqref="I4:K16 N4:P16">
    <cfRule type="containsErrors" dxfId="2" priority="8">
      <formula>ISERROR(I4)</formula>
    </cfRule>
  </conditionalFormatting>
  <conditionalFormatting sqref="R4:R16">
    <cfRule type="containsBlanks" dxfId="1" priority="9">
      <formula>LEN(TRIM(R4))=0</formula>
    </cfRule>
  </conditionalFormatting>
  <conditionalFormatting sqref="O9">
    <cfRule type="cellIs" dxfId="0"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39.7109375" bestFit="1" customWidth="1"/>
    <col min="5" max="5" width="11.140625" bestFit="1" customWidth="1"/>
    <col min="6" max="6" width="14.7109375" bestFit="1" customWidth="1"/>
    <col min="7" max="7" width="13.5703125" bestFit="1" customWidth="1"/>
    <col min="8" max="9" width="53.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6" width="20.8554687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53.710937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row>
    <row r="2" spans="1:46" x14ac:dyDescent="0.25">
      <c r="D2" s="144"/>
      <c r="E2" s="144"/>
      <c r="H2" s="144"/>
      <c r="I2" s="144"/>
      <c r="J2" s="144"/>
      <c r="K2" s="144"/>
      <c r="O2" s="144"/>
      <c r="P2" s="144"/>
      <c r="S2" s="144"/>
      <c r="AA2" s="144"/>
      <c r="AB2" s="144"/>
      <c r="AD2" s="144"/>
      <c r="AE2" s="144"/>
      <c r="AM2" s="145"/>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78C60-C19B-4B8D-BECC-5293EC9785DC}">
  <sheetPr codeName="Sheet18"/>
  <dimension ref="A1:F2"/>
  <sheetViews>
    <sheetView workbookViewId="0">
      <selection activeCell="D9" sqref="D9"/>
    </sheetView>
  </sheetViews>
  <sheetFormatPr defaultRowHeight="15" x14ac:dyDescent="0.25"/>
  <cols>
    <col min="1" max="1" width="44.42578125" bestFit="1" customWidth="1"/>
    <col min="2" max="2" width="12.85546875" bestFit="1" customWidth="1"/>
    <col min="3" max="3" width="16" bestFit="1" customWidth="1"/>
    <col min="4" max="4" width="19.28515625" bestFit="1" customWidth="1"/>
    <col min="5" max="5" width="17.5703125" bestFit="1" customWidth="1"/>
    <col min="6" max="6" width="16.42578125" bestFit="1" customWidth="1"/>
    <col min="7" max="7" width="16.140625" bestFit="1" customWidth="1"/>
    <col min="8" max="8" width="16.28515625" bestFit="1" customWidth="1"/>
    <col min="9" max="9" width="14.5703125" bestFit="1" customWidth="1"/>
    <col min="10" max="10" width="19.5703125" bestFit="1" customWidth="1"/>
    <col min="11" max="11" width="17.42578125" bestFit="1" customWidth="1"/>
    <col min="12" max="12" width="24.28515625" bestFit="1" customWidth="1"/>
    <col min="13" max="13" width="19.7109375" bestFit="1" customWidth="1"/>
    <col min="14" max="14" width="19.140625" bestFit="1" customWidth="1"/>
    <col min="15" max="15" width="32.7109375" bestFit="1" customWidth="1"/>
    <col min="16" max="16" width="24.140625" bestFit="1" customWidth="1"/>
    <col min="17" max="17" width="17.85546875" bestFit="1" customWidth="1"/>
    <col min="18" max="18" width="20.85546875" bestFit="1" customWidth="1"/>
    <col min="19" max="19" width="18.140625" bestFit="1" customWidth="1"/>
    <col min="20" max="20" width="19.7109375" bestFit="1" customWidth="1"/>
    <col min="21" max="21" width="18.42578125" bestFit="1" customWidth="1"/>
    <col min="22" max="22" width="14.5703125" bestFit="1" customWidth="1"/>
    <col min="23" max="23" width="19.7109375" bestFit="1" customWidth="1"/>
    <col min="24" max="24" width="16.85546875" bestFit="1" customWidth="1"/>
    <col min="25" max="25" width="18.7109375" bestFit="1" customWidth="1"/>
    <col min="26" max="26" width="44.42578125" bestFit="1" customWidth="1"/>
    <col min="27" max="27" width="21" bestFit="1" customWidth="1"/>
    <col min="28" max="28" width="25.140625" bestFit="1" customWidth="1"/>
    <col min="29" max="29" width="19.5703125" bestFit="1" customWidth="1"/>
    <col min="30" max="30" width="26" bestFit="1" customWidth="1"/>
    <col min="31" max="31" width="15.85546875" bestFit="1" customWidth="1"/>
    <col min="32" max="32" width="14.5703125" bestFit="1" customWidth="1"/>
    <col min="33" max="33" width="12.42578125" bestFit="1" customWidth="1"/>
    <col min="34" max="34" width="19.140625" bestFit="1" customWidth="1"/>
    <col min="35" max="36" width="15.85546875" bestFit="1" customWidth="1"/>
    <col min="37" max="37" width="13.140625" bestFit="1" customWidth="1"/>
    <col min="38" max="38" width="14.140625" bestFit="1" customWidth="1"/>
    <col min="39" max="39" width="27.5703125" bestFit="1" customWidth="1"/>
    <col min="40" max="40" width="19" bestFit="1" customWidth="1"/>
    <col min="41" max="41" width="14.5703125" bestFit="1" customWidth="1"/>
    <col min="42" max="42" width="15.85546875" bestFit="1" customWidth="1"/>
    <col min="43" max="43" width="17" bestFit="1" customWidth="1"/>
    <col min="44" max="44" width="17.42578125" bestFit="1" customWidth="1"/>
    <col min="45" max="45" width="9.7109375" bestFit="1" customWidth="1"/>
    <col min="46" max="46" width="12.85546875" bestFit="1" customWidth="1"/>
    <col min="47" max="47" width="14.5703125" bestFit="1" customWidth="1"/>
    <col min="48" max="48" width="11.85546875" bestFit="1" customWidth="1"/>
    <col min="49" max="49" width="17.140625" bestFit="1" customWidth="1"/>
    <col min="50" max="50" width="16.7109375" bestFit="1" customWidth="1"/>
    <col min="51" max="51" width="15.85546875" bestFit="1" customWidth="1"/>
    <col min="52" max="52" width="13.7109375" bestFit="1" customWidth="1"/>
    <col min="53" max="53" width="20.5703125" bestFit="1" customWidth="1"/>
    <col min="54" max="54" width="16" bestFit="1" customWidth="1"/>
    <col min="55" max="55" width="14.140625" bestFit="1" customWidth="1"/>
    <col min="56" max="56" width="15.5703125" bestFit="1" customWidth="1"/>
    <col min="57" max="57" width="29" bestFit="1" customWidth="1"/>
    <col min="58" max="58" width="20.42578125" bestFit="1" customWidth="1"/>
    <col min="59" max="59" width="14.140625" bestFit="1" customWidth="1"/>
    <col min="60" max="60" width="17.140625" bestFit="1" customWidth="1"/>
    <col min="61" max="61" width="14.42578125" bestFit="1" customWidth="1"/>
    <col min="62" max="62" width="16" bestFit="1" customWidth="1"/>
    <col min="63" max="63" width="14.7109375" bestFit="1" customWidth="1"/>
    <col min="64" max="64" width="11" bestFit="1" customWidth="1"/>
    <col min="65" max="65" width="16" bestFit="1" customWidth="1"/>
    <col min="66" max="66" width="13.140625" bestFit="1" customWidth="1"/>
    <col min="67" max="67" width="12.85546875" bestFit="1" customWidth="1"/>
    <col min="68" max="68" width="14.7109375" bestFit="1" customWidth="1"/>
    <col min="69" max="69" width="14.140625" bestFit="1" customWidth="1"/>
    <col min="70" max="70" width="14.28515625" bestFit="1" customWidth="1"/>
    <col min="71" max="71" width="12.140625" bestFit="1" customWidth="1"/>
    <col min="72" max="72" width="26.28515625" bestFit="1" customWidth="1"/>
    <col min="73" max="73" width="20.140625" bestFit="1" customWidth="1"/>
    <col min="74" max="74" width="18.28515625" bestFit="1" customWidth="1"/>
    <col min="75" max="75" width="13.42578125" bestFit="1" customWidth="1"/>
    <col min="76" max="76" width="14.28515625" bestFit="1" customWidth="1"/>
    <col min="77" max="77" width="14.85546875" bestFit="1" customWidth="1"/>
    <col min="78" max="78" width="10.28515625" bestFit="1" customWidth="1"/>
    <col min="79" max="79" width="14.42578125" bestFit="1" customWidth="1"/>
    <col min="80" max="80" width="17.5703125" bestFit="1" customWidth="1"/>
    <col min="81" max="81" width="15.5703125" bestFit="1" customWidth="1"/>
    <col min="82" max="82" width="15.7109375" bestFit="1" customWidth="1"/>
    <col min="83" max="83" width="13.140625" bestFit="1" customWidth="1"/>
    <col min="84" max="84" width="14.28515625" bestFit="1" customWidth="1"/>
    <col min="85" max="85" width="19.85546875" bestFit="1" customWidth="1"/>
    <col min="86" max="86" width="24" bestFit="1" customWidth="1"/>
    <col min="87" max="87" width="21.85546875" bestFit="1" customWidth="1"/>
    <col min="88" max="88" width="22" bestFit="1" customWidth="1"/>
    <col min="89" max="89" width="16.5703125" bestFit="1" customWidth="1"/>
    <col min="90" max="90" width="22.42578125" bestFit="1" customWidth="1"/>
    <col min="91" max="91" width="21.85546875" bestFit="1" customWidth="1"/>
    <col min="92" max="92" width="22.7109375" bestFit="1" customWidth="1"/>
    <col min="93" max="93" width="16.7109375" bestFit="1" customWidth="1"/>
    <col min="94" max="95" width="17.42578125" bestFit="1" customWidth="1"/>
    <col min="96" max="96" width="13.85546875" bestFit="1" customWidth="1"/>
    <col min="97" max="97" width="11" bestFit="1" customWidth="1"/>
    <col min="98" max="98" width="20.28515625" bestFit="1" customWidth="1"/>
    <col min="99" max="99" width="13.42578125" bestFit="1" customWidth="1"/>
    <col min="100" max="100" width="16.7109375" bestFit="1" customWidth="1"/>
    <col min="101" max="101" width="13.42578125" bestFit="1" customWidth="1"/>
    <col min="102" max="102" width="10.28515625" bestFit="1" customWidth="1"/>
    <col min="103" max="103" width="36.140625" bestFit="1" customWidth="1"/>
    <col min="104" max="104" width="20.28515625" bestFit="1" customWidth="1"/>
    <col min="105" max="105" width="17.7109375" bestFit="1" customWidth="1"/>
    <col min="106" max="106" width="18" bestFit="1" customWidth="1"/>
    <col min="107" max="107" width="14.85546875" bestFit="1" customWidth="1"/>
    <col min="108" max="108" width="15.5703125" bestFit="1" customWidth="1"/>
    <col min="109" max="109" width="19.5703125" bestFit="1" customWidth="1"/>
    <col min="110" max="110" width="19.85546875" bestFit="1" customWidth="1"/>
    <col min="111" max="111" width="17" bestFit="1" customWidth="1"/>
    <col min="112" max="112" width="17.28515625" bestFit="1" customWidth="1"/>
    <col min="113" max="113" width="13.7109375" bestFit="1" customWidth="1"/>
    <col min="114" max="114" width="16.140625" bestFit="1" customWidth="1"/>
    <col min="115" max="115" width="18.28515625" bestFit="1" customWidth="1"/>
    <col min="116" max="116" width="30.42578125" bestFit="1" customWidth="1"/>
    <col min="117" max="117" width="44.42578125" bestFit="1" customWidth="1"/>
  </cols>
  <sheetData>
    <row r="1" spans="1:6" x14ac:dyDescent="0.25">
      <c r="A1"/>
      <c r="B1"/>
      <c r="C1"/>
      <c r="D1"/>
      <c r="E1"/>
      <c r="F1"/>
    </row>
    <row r="2" spans="1:6" x14ac:dyDescent="0.25">
      <c r="B2" s="144"/>
      <c r="C2" s="144"/>
    </row>
  </sheetData>
  <phoneticPr fontId="3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Z1" workbookViewId="0">
      <selection activeCell="BA3" sqref="BA3"/>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2.5703125" bestFit="1" customWidth="1"/>
    <col min="38" max="38" width="14.7109375" bestFit="1" customWidth="1"/>
    <col min="39" max="39" width="21.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53.42578125" bestFit="1" customWidth="1"/>
    <col min="56" max="56" width="68.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3.570312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Worksheet</vt:lpstr>
      <vt:lpstr>Logo Page</vt:lpstr>
      <vt:lpstr>Filter Cert Data</vt:lpstr>
      <vt:lpstr>CERT AF</vt:lpstr>
      <vt:lpstr>CERT AL</vt:lpstr>
      <vt:lpstr>DropDowns</vt:lpstr>
      <vt:lpstr>MUG Table</vt:lpstr>
      <vt:lpstr>A2LA</vt:lpstr>
      <vt:lpstr>AssetId</vt:lpstr>
      <vt:lpstr>Blank</vt:lpstr>
      <vt:lpstr>ClientCompanyId</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ServiceOrderId</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2025-04-24T02:32:57Z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